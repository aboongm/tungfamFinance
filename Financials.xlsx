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4800" windowWidth="20640" windowHeight="11760" activeTab="4"/>
  </bookViews>
  <sheets>
    <sheet name="Investments" sheetId="13" r:id="rId1"/>
    <sheet name="deposit" sheetId="15" r:id="rId2"/>
    <sheet name="BalanceSheet" sheetId="12" r:id="rId3"/>
    <sheet name="Expenses" sheetId="14" r:id="rId4"/>
    <sheet name="anand" sheetId="16" r:id="rId5"/>
  </sheets>
  <calcPr calcId="162913"/>
</workbook>
</file>

<file path=xl/calcChain.xml><?xml version="1.0" encoding="utf-8"?>
<calcChain xmlns="http://schemas.openxmlformats.org/spreadsheetml/2006/main">
  <c r="G45" i="16" l="1"/>
  <c r="E36" i="16" l="1"/>
  <c r="D36" i="16"/>
  <c r="E6" i="15" l="1"/>
  <c r="E5" i="15"/>
  <c r="E9" i="15" l="1"/>
  <c r="E6" i="13" l="1"/>
  <c r="E14" i="13"/>
  <c r="E9" i="13" s="1"/>
  <c r="E5" i="13" l="1"/>
</calcChain>
</file>

<file path=xl/sharedStrings.xml><?xml version="1.0" encoding="utf-8"?>
<sst xmlns="http://schemas.openxmlformats.org/spreadsheetml/2006/main" count="134" uniqueCount="104">
  <si>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</si>
  <si>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</si>
  <si>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</si>
  <si>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</si>
  <si>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</si>
  <si>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</si>
  <si>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</si>
  <si>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</si>
  <si>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</si>
  <si>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</si>
  <si>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</si>
  <si>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</si>
  <si>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</si>
  <si>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</si>
  <si>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</si>
  <si>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</si>
  <si>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</si>
  <si>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</si>
  <si>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</si>
  <si>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</si>
  <si>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</si>
  <si>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</si>
  <si>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</si>
  <si>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</si>
  <si>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</si>
  <si>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</si>
  <si>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</si>
  <si>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</si>
  <si>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</si>
  <si>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</si>
  <si>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</si>
  <si>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</si>
  <si>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</si>
  <si>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</si>
  <si>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</si>
  <si>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</si>
  <si>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</si>
  <si>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</si>
  <si>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</si>
  <si>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</si>
  <si>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</si>
  <si>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</si>
  <si>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</si>
  <si>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</si>
  <si>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</si>
  <si>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</si>
  <si>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</si>
  <si>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</si>
  <si>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</si>
  <si>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</si>
  <si>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</si>
  <si>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</si>
  <si>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</si>
  <si>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</si>
  <si>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</si>
  <si>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</si>
  <si>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</si>
  <si>
    <t>marup</t>
  </si>
  <si>
    <t>A1 ranjit</t>
  </si>
  <si>
    <t>A2 ranjita</t>
  </si>
  <si>
    <t>robita</t>
  </si>
  <si>
    <t>D1</t>
  </si>
  <si>
    <t>@2% per month</t>
  </si>
  <si>
    <t>dividend:</t>
  </si>
  <si>
    <t>ranjita balance:</t>
  </si>
  <si>
    <t>pay to ranjit:</t>
  </si>
  <si>
    <t>sales of rice:</t>
  </si>
  <si>
    <t>8000+3500</t>
  </si>
  <si>
    <t>ranjit deposit</t>
  </si>
  <si>
    <t>ranjit deposit:</t>
  </si>
  <si>
    <t>ranjit deposit total:</t>
  </si>
  <si>
    <t>5000+2300</t>
  </si>
  <si>
    <t>D2</t>
  </si>
  <si>
    <t>Ranjit</t>
  </si>
  <si>
    <t>Anand 1st installment of loan</t>
  </si>
  <si>
    <t xml:space="preserve"> - rice Rs 21000</t>
  </si>
  <si>
    <t xml:space="preserve"> - Tungfam Rs 3250</t>
  </si>
  <si>
    <t xml:space="preserve"> - Aboong Rs 11750</t>
  </si>
  <si>
    <t>Anand 2nd Installment of Loan</t>
  </si>
  <si>
    <t>credit card</t>
  </si>
  <si>
    <t>hdfc bank - suresh 5000 for rice like 2025</t>
  </si>
  <si>
    <t>credit  card - Rs 16000 Rs 11000 for tunfam</t>
  </si>
  <si>
    <t>from bechau</t>
  </si>
  <si>
    <t>to bechau</t>
  </si>
  <si>
    <t>to and from gpay</t>
  </si>
  <si>
    <t>from bechau Cash</t>
  </si>
  <si>
    <t>Emoinu - Bechau</t>
  </si>
  <si>
    <t>grocery/vegetables from tungfam</t>
  </si>
  <si>
    <t>naobi marup Rs 500 for bechau</t>
  </si>
  <si>
    <t>gas cylinder for ema Rs 1200</t>
  </si>
  <si>
    <t>Emoinu = Ema Rs 1500</t>
  </si>
  <si>
    <t>grocery</t>
  </si>
  <si>
    <t>bomcha marup</t>
  </si>
  <si>
    <t>Anand final Installment of Loan from bechau</t>
  </si>
  <si>
    <t>bomcha marup 11500-3000 = 8500</t>
  </si>
  <si>
    <t>angom marup 11000-2500 = 8500</t>
  </si>
  <si>
    <t>tungfam balance with aboong 31100 - 3000 = 28100</t>
  </si>
  <si>
    <t xml:space="preserve">1st and 2nd installment - 11750 + 14000 = 25750 </t>
  </si>
  <si>
    <t>expenditure from aboong's fund = 25750+8500+8500=42750</t>
  </si>
  <si>
    <t>payable to aboong by Tungfam 41000-28100 = 14650</t>
  </si>
  <si>
    <t>rice</t>
  </si>
  <si>
    <t>3rd installment</t>
  </si>
  <si>
    <t>aboongm</t>
  </si>
  <si>
    <t>tungfam online 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</si>
</sst>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  <numFmt numFmtId="166" formatCode="[$-409]d\-mmm\-yy;@"/>
    <numFmt numFmtId="168" formatCode="[$₹-4009]#,##0.00;[Red]\-[$₹-4009]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11"/>
      <color theme="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rgb="FF003300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2" fillId="2" borderId="0" xfId="0" quotePrefix="1" applyFont="1" applyFill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166" fontId="9" fillId="7" borderId="5" xfId="0" applyNumberFormat="1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left" vertical="center"/>
    </xf>
    <xf numFmtId="168" fontId="9" fillId="7" borderId="5" xfId="0" applyNumberFormat="1" applyFont="1" applyFill="1" applyBorder="1"/>
    <xf numFmtId="0" fontId="9" fillId="6" borderId="0" xfId="0" applyFont="1" applyFill="1"/>
    <xf numFmtId="0" fontId="9" fillId="7" borderId="5" xfId="0" applyFont="1" applyFill="1" applyBorder="1" applyAlignment="1">
      <alignment horizontal="left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workbookViewId="0">
      <selection activeCell="E34" sqref="E3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6" ht="22.5" customHeight="1" x14ac:dyDescent="0.25">
      <c r="B5" s="5" t="s">
        <v>29</v>
      </c>
      <c r="C5" s="35" t="s">
        <v>38</v>
      </c>
      <c r="D5" s="36"/>
      <c r="E5" s="6">
        <f>SUM(E13:E24)</f>
        <v>171000</v>
      </c>
    </row>
    <row r="6" spans="2:6" ht="22.5" customHeight="1" x14ac:dyDescent="0.25">
      <c r="B6" s="18" t="s">
        <v>30</v>
      </c>
      <c r="C6" s="37" t="s">
        <v>33</v>
      </c>
      <c r="D6" s="38"/>
      <c r="E6" s="19">
        <f>SUM(E26:E30)</f>
        <v>17380</v>
      </c>
      <c r="F6" s="29"/>
    </row>
    <row r="7" spans="2:6" ht="22.5" customHeight="1" x14ac:dyDescent="0.25">
      <c r="B7" s="5" t="s">
        <v>48</v>
      </c>
      <c r="C7" s="35"/>
      <c r="D7" s="36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58</v>
      </c>
      <c r="E12" s="6"/>
    </row>
    <row r="13" spans="2:6" ht="22.5" customHeight="1" x14ac:dyDescent="0.25">
      <c r="D13" s="20">
        <v>45180</v>
      </c>
      <c r="E13" s="19">
        <v>17500</v>
      </c>
      <c r="F13" s="28"/>
    </row>
    <row r="14" spans="2:6" ht="22.5" customHeight="1" x14ac:dyDescent="0.25">
      <c r="D14" s="9">
        <v>45256</v>
      </c>
      <c r="E14" s="6">
        <f>2000+3000+3000+2000</f>
        <v>10000</v>
      </c>
      <c r="F14" s="28"/>
    </row>
    <row r="15" spans="2:6" ht="22.5" customHeight="1" x14ac:dyDescent="0.25">
      <c r="D15" s="20">
        <v>45272</v>
      </c>
      <c r="E15" s="19">
        <v>35000</v>
      </c>
      <c r="F15" s="29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59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1"/>
  <sheetViews>
    <sheetView topLeftCell="A4" workbookViewId="0">
      <selection activeCell="C13" sqref="C13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7" width="17.5703125" style="4" customWidth="1"/>
    <col min="8" max="16384" width="9.140625" style="4"/>
  </cols>
  <sheetData>
    <row r="2" spans="2:8" ht="22.5" customHeight="1" x14ac:dyDescent="0.25">
      <c r="B2" s="30" t="s">
        <v>39</v>
      </c>
      <c r="C2" s="2"/>
      <c r="D2" s="2"/>
      <c r="E2" s="3">
        <v>45219</v>
      </c>
    </row>
    <row r="4" spans="2:8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8" ht="22.5" customHeight="1" x14ac:dyDescent="0.25">
      <c r="B5" s="5" t="s">
        <v>61</v>
      </c>
      <c r="C5" s="35" t="s">
        <v>60</v>
      </c>
      <c r="D5" s="36"/>
      <c r="E5" s="6">
        <f>SUM(E13:E15)</f>
        <v>10000</v>
      </c>
      <c r="F5" s="31" t="s">
        <v>62</v>
      </c>
    </row>
    <row r="6" spans="2:8" ht="22.5" customHeight="1" x14ac:dyDescent="0.25">
      <c r="B6" s="18" t="s">
        <v>72</v>
      </c>
      <c r="C6" s="37" t="s">
        <v>73</v>
      </c>
      <c r="D6" s="38"/>
      <c r="E6" s="6">
        <f>SUM(E18:E21)</f>
        <v>11300</v>
      </c>
      <c r="F6" s="31" t="s">
        <v>62</v>
      </c>
    </row>
    <row r="7" spans="2:8" ht="22.5" customHeight="1" x14ac:dyDescent="0.25">
      <c r="B7" s="5"/>
      <c r="C7" s="35"/>
      <c r="D7" s="36"/>
      <c r="E7" s="6"/>
    </row>
    <row r="8" spans="2:8" x14ac:dyDescent="0.25">
      <c r="C8" s="7"/>
      <c r="D8" s="7"/>
    </row>
    <row r="9" spans="2:8" ht="22.5" customHeight="1" x14ac:dyDescent="0.25">
      <c r="D9" s="21" t="s">
        <v>34</v>
      </c>
      <c r="E9" s="22">
        <f>SUM(E12:E30)</f>
        <v>21300</v>
      </c>
    </row>
    <row r="10" spans="2:8" ht="15" x14ac:dyDescent="0.25">
      <c r="E10" s="8"/>
      <c r="G10" s="4" t="s">
        <v>66</v>
      </c>
      <c r="H10" s="4">
        <v>14600</v>
      </c>
    </row>
    <row r="11" spans="2:8" ht="22.5" customHeight="1" x14ac:dyDescent="0.25">
      <c r="D11" s="21" t="s">
        <v>35</v>
      </c>
      <c r="E11" s="22" t="s">
        <v>36</v>
      </c>
      <c r="G11" s="4" t="s">
        <v>63</v>
      </c>
      <c r="H11" s="4">
        <v>7300</v>
      </c>
    </row>
    <row r="12" spans="2:8" ht="22.5" customHeight="1" x14ac:dyDescent="0.25">
      <c r="D12" s="9" t="s">
        <v>61</v>
      </c>
      <c r="E12" s="6"/>
      <c r="G12" s="4" t="s">
        <v>65</v>
      </c>
      <c r="H12" s="4" t="s">
        <v>67</v>
      </c>
    </row>
    <row r="13" spans="2:8" ht="22.5" customHeight="1" x14ac:dyDescent="0.25">
      <c r="D13" s="20">
        <v>45647</v>
      </c>
      <c r="E13" s="19">
        <v>10000</v>
      </c>
      <c r="F13" s="28"/>
      <c r="G13" s="4" t="s">
        <v>64</v>
      </c>
      <c r="H13" s="4">
        <v>-4200</v>
      </c>
    </row>
    <row r="14" spans="2:8" ht="22.5" customHeight="1" x14ac:dyDescent="0.25">
      <c r="D14" s="9"/>
      <c r="E14" s="6"/>
      <c r="F14" s="28"/>
      <c r="G14" s="4" t="s">
        <v>68</v>
      </c>
      <c r="H14" s="4">
        <v>2300</v>
      </c>
    </row>
    <row r="15" spans="2:8" ht="22.5" customHeight="1" x14ac:dyDescent="0.25">
      <c r="D15" s="20"/>
      <c r="E15" s="19"/>
      <c r="F15" s="29"/>
      <c r="G15" s="4" t="s">
        <v>65</v>
      </c>
      <c r="H15" s="4">
        <v>-1900</v>
      </c>
    </row>
    <row r="16" spans="2:8" ht="22.5" customHeight="1" x14ac:dyDescent="0.25">
      <c r="G16" s="4" t="s">
        <v>69</v>
      </c>
      <c r="H16" s="4">
        <v>5000</v>
      </c>
    </row>
    <row r="17" spans="4:8" ht="22.5" customHeight="1" x14ac:dyDescent="0.25">
      <c r="D17" s="4" t="s">
        <v>72</v>
      </c>
      <c r="G17" s="4" t="s">
        <v>70</v>
      </c>
      <c r="H17" s="4" t="s">
        <v>71</v>
      </c>
    </row>
    <row r="18" spans="4:8" ht="22.5" customHeight="1" x14ac:dyDescent="0.25">
      <c r="D18" s="20">
        <v>45661</v>
      </c>
      <c r="E18" s="19">
        <v>7300</v>
      </c>
    </row>
    <row r="19" spans="4:8" ht="22.5" customHeight="1" x14ac:dyDescent="0.25">
      <c r="D19" s="9">
        <v>45707</v>
      </c>
      <c r="E19" s="6">
        <v>4000</v>
      </c>
    </row>
    <row r="20" spans="4:8" ht="22.5" customHeight="1" x14ac:dyDescent="0.25">
      <c r="D20" s="9"/>
      <c r="E20" s="6"/>
    </row>
    <row r="21" spans="4:8" ht="22.5" customHeight="1" x14ac:dyDescent="0.25">
      <c r="D21" s="9"/>
      <c r="E21" s="6"/>
    </row>
    <row r="22" spans="4:8" ht="22.5" customHeight="1" x14ac:dyDescent="0.25"/>
    <row r="23" spans="4:8" ht="22.5" customHeight="1" x14ac:dyDescent="0.25"/>
    <row r="24" spans="4:8" ht="22.5" customHeight="1" x14ac:dyDescent="0.25"/>
    <row r="25" spans="4:8" ht="22.5" customHeight="1" x14ac:dyDescent="0.25">
      <c r="D25" s="9"/>
      <c r="E25" s="6"/>
    </row>
    <row r="26" spans="4:8" ht="22.5" customHeight="1" x14ac:dyDescent="0.25">
      <c r="D26" s="20"/>
      <c r="E26" s="19"/>
    </row>
    <row r="27" spans="4:8" ht="22.5" customHeight="1" x14ac:dyDescent="0.25">
      <c r="D27" s="9"/>
      <c r="E27" s="6"/>
    </row>
    <row r="28" spans="4:8" ht="22.5" customHeight="1" x14ac:dyDescent="0.25">
      <c r="D28" s="20"/>
      <c r="E28" s="19"/>
    </row>
    <row r="29" spans="4:8" ht="22.5" customHeight="1" x14ac:dyDescent="0.25">
      <c r="D29" s="9"/>
      <c r="E29" s="6"/>
    </row>
    <row r="30" spans="4:8" ht="22.5" customHeight="1" x14ac:dyDescent="0.25">
      <c r="D30" s="20"/>
      <c r="E30" s="19"/>
    </row>
    <row r="31" spans="4:8" ht="15" x14ac:dyDescent="0.25">
      <c r="D31" s="10"/>
    </row>
  </sheetData>
  <mergeCells count="4">
    <mergeCell ref="C4:D4"/>
    <mergeCell ref="C5:D5"/>
    <mergeCell ref="C6:D6"/>
    <mergeCell ref="C7:D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opLeftCell="A7" workbookViewId="0">
      <selection activeCell="F22" sqref="F22"/>
    </sheetView>
  </sheetViews>
  <sheetFormatPr defaultRowHeight="12.75" x14ac:dyDescent="0.25"/>
  <cols>
    <col min="1" max="1" width="9.140625" style="4"/>
    <col min="2" max="2" width="15.28515625" style="4" customWidth="1"/>
    <col min="3" max="3" width="12.7109375" style="4" customWidth="1"/>
    <col min="4" max="4" width="22.140625" style="4" customWidth="1"/>
    <col min="5" max="5" width="17" style="4" customWidth="1"/>
    <col min="6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1" t="s">
        <v>35</v>
      </c>
      <c r="C4" s="22" t="s">
        <v>51</v>
      </c>
      <c r="D4" s="21" t="s">
        <v>50</v>
      </c>
      <c r="E4" s="22" t="s">
        <v>36</v>
      </c>
    </row>
    <row r="5" spans="2:5" ht="22.5" customHeight="1" x14ac:dyDescent="0.25">
      <c r="B5" s="32">
        <v>45274</v>
      </c>
      <c r="C5" s="19" t="s">
        <v>52</v>
      </c>
      <c r="D5" s="19" t="s">
        <v>53</v>
      </c>
      <c r="E5" s="19">
        <v>480</v>
      </c>
    </row>
    <row r="6" spans="2:5" ht="22.5" customHeight="1" x14ac:dyDescent="0.25">
      <c r="B6" s="32">
        <v>45283</v>
      </c>
      <c r="C6" s="19"/>
      <c r="D6" s="19" t="s">
        <v>54</v>
      </c>
      <c r="E6" s="19">
        <v>500</v>
      </c>
    </row>
    <row r="7" spans="2:5" ht="22.5" customHeight="1" x14ac:dyDescent="0.25">
      <c r="B7" s="32">
        <v>45301</v>
      </c>
      <c r="C7" s="19"/>
      <c r="D7" s="19" t="s">
        <v>54</v>
      </c>
      <c r="E7" s="19">
        <v>500</v>
      </c>
    </row>
    <row r="8" spans="2:5" ht="22.5" customHeight="1" x14ac:dyDescent="0.25">
      <c r="B8" s="32">
        <v>45327</v>
      </c>
      <c r="C8" s="19"/>
      <c r="D8" s="19" t="s">
        <v>56</v>
      </c>
      <c r="E8" s="19">
        <v>10000</v>
      </c>
    </row>
    <row r="9" spans="2:5" ht="22.5" customHeight="1" x14ac:dyDescent="0.25">
      <c r="B9" s="32">
        <v>45380</v>
      </c>
      <c r="C9" s="19"/>
      <c r="D9" s="19" t="s">
        <v>54</v>
      </c>
      <c r="E9" s="19">
        <v>500</v>
      </c>
    </row>
    <row r="10" spans="2:5" ht="22.5" customHeight="1" x14ac:dyDescent="0.25">
      <c r="B10" s="32">
        <v>45394</v>
      </c>
      <c r="C10" s="19"/>
      <c r="D10" s="19" t="s">
        <v>54</v>
      </c>
      <c r="E10" s="19">
        <v>500</v>
      </c>
    </row>
    <row r="11" spans="2:5" ht="22.5" customHeight="1" x14ac:dyDescent="0.25">
      <c r="B11" s="32">
        <v>45424</v>
      </c>
      <c r="C11" s="19"/>
      <c r="D11" s="19" t="s">
        <v>54</v>
      </c>
      <c r="E11" s="19">
        <v>500</v>
      </c>
    </row>
    <row r="12" spans="2:5" ht="22.5" customHeight="1" x14ac:dyDescent="0.25">
      <c r="B12" s="32">
        <v>45455</v>
      </c>
      <c r="C12" s="19"/>
      <c r="D12" s="19" t="s">
        <v>54</v>
      </c>
      <c r="E12" s="19">
        <v>500</v>
      </c>
    </row>
    <row r="13" spans="2:5" ht="22.5" customHeight="1" x14ac:dyDescent="0.25">
      <c r="B13" s="32">
        <v>45485</v>
      </c>
      <c r="C13" s="19"/>
      <c r="D13" s="19" t="s">
        <v>54</v>
      </c>
      <c r="E13" s="19">
        <v>500</v>
      </c>
    </row>
    <row r="14" spans="2:5" ht="22.5" customHeight="1" x14ac:dyDescent="0.25">
      <c r="B14" s="32">
        <v>45519</v>
      </c>
      <c r="C14" s="19"/>
      <c r="D14" s="19" t="s">
        <v>57</v>
      </c>
      <c r="E14" s="19">
        <v>5000</v>
      </c>
    </row>
    <row r="15" spans="2:5" ht="22.5" customHeight="1" x14ac:dyDescent="0.25">
      <c r="B15" s="32">
        <v>45544</v>
      </c>
      <c r="C15" s="19"/>
      <c r="D15" s="19" t="s">
        <v>57</v>
      </c>
      <c r="E15" s="19">
        <v>5000</v>
      </c>
    </row>
    <row r="16" spans="2:5" ht="22.5" customHeight="1" x14ac:dyDescent="0.25">
      <c r="B16" s="32">
        <v>45544</v>
      </c>
      <c r="C16" s="19"/>
      <c r="D16" s="19" t="s">
        <v>54</v>
      </c>
      <c r="E16" s="19">
        <v>500</v>
      </c>
    </row>
    <row r="17" spans="2:5" ht="22.5" customHeight="1" x14ac:dyDescent="0.25">
      <c r="B17" s="32">
        <v>45611</v>
      </c>
      <c r="C17" s="19"/>
      <c r="D17" s="19" t="s">
        <v>57</v>
      </c>
      <c r="E17" s="19">
        <v>6500</v>
      </c>
    </row>
    <row r="18" spans="2:5" ht="22.5" customHeight="1" x14ac:dyDescent="0.25">
      <c r="B18" s="32">
        <v>45640</v>
      </c>
      <c r="C18" s="19"/>
      <c r="D18" s="19" t="s">
        <v>57</v>
      </c>
      <c r="E18" s="19">
        <v>6500</v>
      </c>
    </row>
    <row r="19" spans="2:5" ht="22.5" customHeight="1" x14ac:dyDescent="0.25">
      <c r="B19" s="32"/>
      <c r="C19" s="19"/>
      <c r="D19" s="19"/>
      <c r="E19" s="19"/>
    </row>
    <row r="20" spans="2:5" ht="22.5" customHeight="1" x14ac:dyDescent="0.25">
      <c r="B20" s="32"/>
      <c r="C20" s="19"/>
      <c r="D20" s="19"/>
      <c r="E20" s="19"/>
    </row>
    <row r="21" spans="2:5" ht="22.5" customHeight="1" x14ac:dyDescent="0.25">
      <c r="B21" s="32"/>
      <c r="C21" s="19"/>
      <c r="D21" s="19"/>
      <c r="E21" s="19"/>
    </row>
    <row r="22" spans="2:5" ht="22.5" customHeight="1" x14ac:dyDescent="0.25">
      <c r="B22" s="32"/>
      <c r="C22" s="19"/>
      <c r="D22" s="19"/>
      <c r="E22" s="19"/>
    </row>
    <row r="23" spans="2:5" ht="22.5" customHeight="1" x14ac:dyDescent="0.25">
      <c r="B23" s="32"/>
      <c r="C23" s="19"/>
      <c r="D23" s="19"/>
      <c r="E23" s="19"/>
    </row>
    <row r="24" spans="2:5" ht="22.5" customHeight="1" x14ac:dyDescent="0.25">
      <c r="B24" s="32"/>
      <c r="C24" s="19"/>
      <c r="D24" s="19"/>
      <c r="E24" s="19"/>
    </row>
    <row r="25" spans="2:5" ht="22.5" customHeight="1" x14ac:dyDescent="0.25">
      <c r="B25" s="32"/>
      <c r="C25" s="19"/>
      <c r="D25" s="19"/>
      <c r="E25" s="19"/>
    </row>
    <row r="26" spans="2:5" ht="22.5" customHeight="1" x14ac:dyDescent="0.25"/>
    <row r="27" spans="2:5" ht="22.5" customHeight="1" x14ac:dyDescent="0.25"/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45"/>
  <sheetViews>
    <sheetView tabSelected="1" topLeftCell="A37" workbookViewId="0">
      <selection activeCell="C48" sqref="C48:C49"/>
    </sheetView>
  </sheetViews>
  <sheetFormatPr defaultRowHeight="16.5" x14ac:dyDescent="0.3"/>
  <cols>
    <col min="1" max="1" width="9.140625" style="42"/>
    <col min="2" max="2" width="12.7109375" style="42" customWidth="1"/>
    <col min="3" max="3" width="41.42578125" style="42" customWidth="1"/>
    <col min="4" max="4" width="16.5703125" style="42" customWidth="1"/>
    <col min="5" max="5" width="12.7109375" style="42" customWidth="1"/>
    <col min="6" max="6" width="12.85546875" style="42" customWidth="1"/>
    <col min="7" max="16384" width="9.140625" style="42"/>
  </cols>
  <sheetData>
    <row r="2" spans="2:6" x14ac:dyDescent="0.3">
      <c r="B2" s="39">
        <v>45985</v>
      </c>
      <c r="C2" s="40" t="s">
        <v>74</v>
      </c>
      <c r="D2" s="41">
        <v>36000</v>
      </c>
      <c r="E2" s="41"/>
      <c r="F2" s="41">
        <v>4250</v>
      </c>
    </row>
    <row r="3" spans="2:6" x14ac:dyDescent="0.3">
      <c r="B3" s="39"/>
      <c r="C3" s="40" t="s">
        <v>75</v>
      </c>
      <c r="D3" s="41"/>
      <c r="E3" s="41"/>
      <c r="F3" s="41"/>
    </row>
    <row r="4" spans="2:6" x14ac:dyDescent="0.3">
      <c r="B4" s="39"/>
      <c r="C4" s="40" t="s">
        <v>76</v>
      </c>
      <c r="D4" s="41"/>
      <c r="E4" s="41"/>
      <c r="F4" s="41"/>
    </row>
    <row r="5" spans="2:6" x14ac:dyDescent="0.3">
      <c r="B5" s="39"/>
      <c r="C5" s="40" t="s">
        <v>77</v>
      </c>
      <c r="D5" s="41"/>
      <c r="E5" s="41"/>
      <c r="F5" s="41"/>
    </row>
    <row r="6" spans="2:6" x14ac:dyDescent="0.3">
      <c r="B6" s="39">
        <v>46021</v>
      </c>
      <c r="C6" s="40" t="s">
        <v>78</v>
      </c>
      <c r="D6" s="41">
        <v>14000</v>
      </c>
      <c r="E6" s="41"/>
      <c r="F6" s="41"/>
    </row>
    <row r="7" spans="2:6" x14ac:dyDescent="0.3">
      <c r="B7" s="39">
        <v>46033</v>
      </c>
      <c r="C7" s="40" t="s">
        <v>93</v>
      </c>
      <c r="D7" s="41">
        <v>10000</v>
      </c>
      <c r="E7" s="41"/>
      <c r="F7" s="41"/>
    </row>
    <row r="8" spans="2:6" x14ac:dyDescent="0.3">
      <c r="B8" s="39"/>
      <c r="C8" s="40"/>
      <c r="D8" s="41"/>
      <c r="E8" s="41"/>
      <c r="F8" s="41"/>
    </row>
    <row r="9" spans="2:6" x14ac:dyDescent="0.3">
      <c r="B9" s="39"/>
      <c r="C9" s="40"/>
      <c r="D9" s="41"/>
      <c r="E9" s="41"/>
      <c r="F9" s="41"/>
    </row>
    <row r="10" spans="2:6" x14ac:dyDescent="0.3">
      <c r="B10" s="39"/>
      <c r="C10" s="40"/>
      <c r="D10" s="41"/>
      <c r="E10" s="41"/>
      <c r="F10" s="41"/>
    </row>
    <row r="12" spans="2:6" x14ac:dyDescent="0.3">
      <c r="B12" s="39"/>
      <c r="C12" s="40"/>
      <c r="D12" s="41"/>
      <c r="E12" s="41"/>
      <c r="F12" s="41"/>
    </row>
    <row r="13" spans="2:6" x14ac:dyDescent="0.3">
      <c r="B13" s="39"/>
      <c r="C13" s="40"/>
      <c r="D13" s="41"/>
      <c r="E13" s="41"/>
      <c r="F13" s="41"/>
    </row>
    <row r="14" spans="2:6" x14ac:dyDescent="0.3">
      <c r="B14" s="39">
        <v>46020</v>
      </c>
      <c r="C14" s="40" t="s">
        <v>79</v>
      </c>
      <c r="D14" s="41">
        <v>8000</v>
      </c>
      <c r="E14" s="41"/>
      <c r="F14" s="41"/>
    </row>
    <row r="15" spans="2:6" x14ac:dyDescent="0.3">
      <c r="B15" s="39">
        <v>46385</v>
      </c>
      <c r="C15" s="40" t="s">
        <v>80</v>
      </c>
      <c r="D15" s="41"/>
      <c r="E15" s="41"/>
      <c r="F15" s="41"/>
    </row>
    <row r="16" spans="2:6" x14ac:dyDescent="0.3">
      <c r="B16" s="39">
        <v>46034</v>
      </c>
      <c r="C16" s="40" t="s">
        <v>81</v>
      </c>
      <c r="D16" s="41">
        <v>11000</v>
      </c>
      <c r="E16" s="41"/>
      <c r="F16" s="41"/>
    </row>
    <row r="17" spans="2:6" x14ac:dyDescent="0.3">
      <c r="B17" s="39"/>
      <c r="C17" s="40"/>
      <c r="D17" s="41"/>
      <c r="E17" s="41"/>
      <c r="F17" s="41"/>
    </row>
    <row r="18" spans="2:6" x14ac:dyDescent="0.3">
      <c r="B18" s="39"/>
      <c r="C18" s="40" t="s">
        <v>84</v>
      </c>
      <c r="D18" s="41"/>
      <c r="E18" s="41"/>
      <c r="F18" s="41"/>
    </row>
    <row r="19" spans="2:6" x14ac:dyDescent="0.3">
      <c r="B19" s="39">
        <v>46021</v>
      </c>
      <c r="C19" s="40" t="s">
        <v>82</v>
      </c>
      <c r="D19" s="41">
        <v>1000</v>
      </c>
      <c r="E19" s="41"/>
      <c r="F19" s="41"/>
    </row>
    <row r="20" spans="2:6" x14ac:dyDescent="0.3">
      <c r="B20" s="39">
        <v>46021</v>
      </c>
      <c r="C20" s="40" t="s">
        <v>85</v>
      </c>
      <c r="D20" s="41">
        <v>7500</v>
      </c>
      <c r="E20" s="41"/>
      <c r="F20" s="41"/>
    </row>
    <row r="21" spans="2:6" x14ac:dyDescent="0.3">
      <c r="B21" s="39">
        <v>46021</v>
      </c>
      <c r="C21" s="40" t="s">
        <v>86</v>
      </c>
      <c r="D21" s="41"/>
      <c r="E21" s="41">
        <v>1500</v>
      </c>
      <c r="F21" s="41"/>
    </row>
    <row r="22" spans="2:6" x14ac:dyDescent="0.3">
      <c r="B22" s="39">
        <v>46021</v>
      </c>
      <c r="C22" s="40" t="s">
        <v>90</v>
      </c>
      <c r="D22" s="41"/>
      <c r="E22" s="41"/>
      <c r="F22" s="41"/>
    </row>
    <row r="23" spans="2:6" x14ac:dyDescent="0.3">
      <c r="B23" s="39">
        <v>46023</v>
      </c>
      <c r="C23" s="40" t="s">
        <v>82</v>
      </c>
      <c r="D23" s="41">
        <v>2000</v>
      </c>
      <c r="E23" s="41"/>
      <c r="F23" s="41"/>
    </row>
    <row r="24" spans="2:6" x14ac:dyDescent="0.3">
      <c r="B24" s="39">
        <v>46026</v>
      </c>
      <c r="C24" s="40" t="s">
        <v>83</v>
      </c>
      <c r="D24" s="41"/>
      <c r="E24" s="41">
        <v>1000</v>
      </c>
      <c r="F24" s="41"/>
    </row>
    <row r="25" spans="2:6" x14ac:dyDescent="0.3">
      <c r="B25" s="39">
        <v>46033</v>
      </c>
      <c r="C25" s="40" t="s">
        <v>82</v>
      </c>
      <c r="D25" s="41">
        <v>4000</v>
      </c>
      <c r="E25" s="41"/>
      <c r="F25" s="41"/>
    </row>
    <row r="26" spans="2:6" x14ac:dyDescent="0.3">
      <c r="B26" s="39">
        <v>46033</v>
      </c>
      <c r="C26" s="40" t="s">
        <v>87</v>
      </c>
      <c r="D26" s="41"/>
      <c r="E26" s="41"/>
      <c r="F26" s="41">
        <v>2000</v>
      </c>
    </row>
    <row r="27" spans="2:6" x14ac:dyDescent="0.3">
      <c r="B27" s="39">
        <v>46034</v>
      </c>
      <c r="C27" s="40" t="s">
        <v>89</v>
      </c>
      <c r="D27" s="41">
        <v>1200</v>
      </c>
      <c r="E27" s="41"/>
      <c r="F27" s="41"/>
    </row>
    <row r="28" spans="2:6" x14ac:dyDescent="0.3">
      <c r="B28" s="39">
        <v>46034</v>
      </c>
      <c r="C28" s="40" t="s">
        <v>88</v>
      </c>
      <c r="D28" s="41"/>
      <c r="E28" s="41">
        <v>500</v>
      </c>
      <c r="F28" s="41"/>
    </row>
    <row r="29" spans="2:6" x14ac:dyDescent="0.3">
      <c r="B29" s="39">
        <v>46037</v>
      </c>
      <c r="C29" s="40" t="s">
        <v>91</v>
      </c>
      <c r="D29" s="41"/>
      <c r="E29" s="41"/>
      <c r="F29" s="41">
        <v>1700</v>
      </c>
    </row>
    <row r="30" spans="2:6" x14ac:dyDescent="0.3">
      <c r="B30" s="39">
        <v>46037</v>
      </c>
      <c r="C30" s="40" t="s">
        <v>92</v>
      </c>
      <c r="D30" s="41">
        <v>3000</v>
      </c>
      <c r="E30" s="41"/>
      <c r="F30" s="41"/>
    </row>
    <row r="31" spans="2:6" x14ac:dyDescent="0.3">
      <c r="B31" s="39">
        <v>46043</v>
      </c>
      <c r="C31" s="40" t="s">
        <v>82</v>
      </c>
      <c r="D31" s="41">
        <v>4900</v>
      </c>
      <c r="E31" s="41"/>
      <c r="F31" s="41"/>
    </row>
    <row r="32" spans="2:6" x14ac:dyDescent="0.3">
      <c r="B32" s="39">
        <v>46046</v>
      </c>
      <c r="C32" s="40" t="s">
        <v>82</v>
      </c>
      <c r="D32" s="41">
        <v>2500</v>
      </c>
      <c r="E32" s="41"/>
      <c r="F32" s="41"/>
    </row>
    <row r="33" spans="2:8" x14ac:dyDescent="0.3">
      <c r="B33" s="39">
        <v>46049</v>
      </c>
      <c r="C33" s="40" t="s">
        <v>82</v>
      </c>
      <c r="D33" s="41">
        <v>5000</v>
      </c>
      <c r="E33" s="41"/>
      <c r="F33" s="41"/>
    </row>
    <row r="34" spans="2:8" x14ac:dyDescent="0.3">
      <c r="B34" s="39"/>
      <c r="C34" s="40"/>
      <c r="D34" s="41"/>
      <c r="E34" s="41"/>
      <c r="F34" s="41"/>
    </row>
    <row r="35" spans="2:8" x14ac:dyDescent="0.3">
      <c r="B35" s="39"/>
      <c r="C35" s="40"/>
      <c r="D35" s="41"/>
      <c r="E35" s="41"/>
      <c r="F35" s="41"/>
    </row>
    <row r="36" spans="2:8" x14ac:dyDescent="0.3">
      <c r="B36" s="39"/>
      <c r="C36" s="40"/>
      <c r="D36" s="41">
        <f>SUM(D19:D33)</f>
        <v>31100</v>
      </c>
      <c r="E36" s="41">
        <f>SUM(E19:E33)</f>
        <v>3000</v>
      </c>
      <c r="F36" s="41"/>
    </row>
    <row r="37" spans="2:8" ht="33" x14ac:dyDescent="0.3">
      <c r="B37" s="39"/>
      <c r="C37" s="43" t="s">
        <v>96</v>
      </c>
      <c r="D37" s="41"/>
      <c r="E37" s="41"/>
      <c r="F37" s="41"/>
    </row>
    <row r="38" spans="2:8" x14ac:dyDescent="0.3">
      <c r="B38" s="39"/>
      <c r="C38" s="40"/>
      <c r="D38" s="41"/>
      <c r="E38" s="41"/>
      <c r="F38" s="41"/>
    </row>
    <row r="39" spans="2:8" x14ac:dyDescent="0.3">
      <c r="B39" s="39"/>
      <c r="C39" s="40" t="s">
        <v>97</v>
      </c>
      <c r="D39" s="41"/>
      <c r="E39" s="41"/>
      <c r="F39" s="41"/>
    </row>
    <row r="40" spans="2:8" x14ac:dyDescent="0.3">
      <c r="B40" s="39"/>
      <c r="C40" s="40" t="s">
        <v>94</v>
      </c>
      <c r="D40" s="41"/>
      <c r="E40" s="41"/>
      <c r="F40" s="41"/>
      <c r="G40" s="42">
        <v>-12500</v>
      </c>
      <c r="H40" s="42" t="s">
        <v>57</v>
      </c>
    </row>
    <row r="41" spans="2:8" x14ac:dyDescent="0.3">
      <c r="B41" s="39"/>
      <c r="C41" s="40" t="s">
        <v>95</v>
      </c>
      <c r="D41" s="41"/>
      <c r="E41" s="41"/>
      <c r="F41" s="41"/>
      <c r="G41" s="42">
        <v>21000</v>
      </c>
      <c r="H41" s="42" t="s">
        <v>100</v>
      </c>
    </row>
    <row r="42" spans="2:8" x14ac:dyDescent="0.3">
      <c r="B42" s="39"/>
      <c r="C42" s="40" t="s">
        <v>98</v>
      </c>
      <c r="D42" s="41"/>
      <c r="E42" s="41"/>
      <c r="F42" s="41"/>
      <c r="G42" s="42">
        <v>10000</v>
      </c>
      <c r="H42" s="42" t="s">
        <v>101</v>
      </c>
    </row>
    <row r="43" spans="2:8" x14ac:dyDescent="0.3">
      <c r="B43" s="39"/>
      <c r="C43" s="40"/>
      <c r="D43" s="41"/>
      <c r="E43" s="41"/>
      <c r="F43" s="41"/>
      <c r="G43" s="42">
        <v>14650</v>
      </c>
      <c r="H43" s="42" t="s">
        <v>102</v>
      </c>
    </row>
    <row r="44" spans="2:8" ht="33" x14ac:dyDescent="0.3">
      <c r="B44" s="39">
        <v>46049</v>
      </c>
      <c r="C44" s="43" t="s">
        <v>99</v>
      </c>
      <c r="D44" s="41"/>
      <c r="E44" s="41"/>
      <c r="F44" s="41"/>
      <c r="G44" s="42">
        <v>28100</v>
      </c>
      <c r="H44" s="42" t="s">
        <v>103</v>
      </c>
    </row>
    <row r="45" spans="2:8" x14ac:dyDescent="0.3">
      <c r="B45" s="39"/>
      <c r="C45" s="40"/>
      <c r="D45" s="41"/>
      <c r="E45" s="41"/>
      <c r="F45" s="41"/>
      <c r="G45" s="42">
        <f>SUM(G40:G44)</f>
        <v>61250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Investments</vt:lpstr>
      <vt:lpstr>deposit</vt:lpstr>
      <vt:lpstr>BalanceSheet</vt:lpstr>
      <vt:lpstr>Expenses</vt:lpstr>
      <vt:lpstr>anand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2026-01-27T11:54:23Z</dcterms:modified>
</cp:coreProperties>
</file>