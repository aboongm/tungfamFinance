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6000" windowWidth="20640" windowHeight="11760" activeTab="1"/>
  </bookViews>
  <sheets>
    <sheet name="2023TrendAnalysis" sheetId="15" r:id="rId1"/>
    <sheet name="2025TrendAnalysis" sheetId="16" r:id="rId2"/>
  </sheets>
  <calcPr calcId="145621" iterateDelta="1E-4"/>
</workbook>
</file>

<file path=xl/calcChain.xml><?xml version="1.0" encoding="utf-8"?>
<calcChain xmlns="http://schemas.openxmlformats.org/spreadsheetml/2006/main">
  <c r="I24" i="16" l="1"/>
  <c r="D58" i="16" l="1"/>
  <c r="H55" i="16"/>
  <c r="H57" i="16" s="1"/>
  <c r="H59" i="16" s="1"/>
  <c r="I61" i="16" s="1"/>
  <c r="E21" i="16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<sst xmlns="http://schemas.openxmlformats.org/spreadsheetml/2006/main" count="77" uniqueCount="51">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</sst>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6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9944832"/>
        <c:axId val="179958912"/>
      </c:lineChart>
      <c:dateAx>
        <c:axId val="179944832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58912"/>
        <c:crosses val="autoZero"/>
        <c:auto val="1"/>
        <c:lblOffset val="100"/>
        <c:baseTimeUnit val="days"/>
      </c:dateAx>
      <c:valAx>
        <c:axId val="179958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94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'2025TrendAnalysis'!#REF!</c:f>
            </c:numRef>
          </c:cat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'2025TrendAnalysis'!#REF!</c:f>
            </c:numRef>
          </c:cat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'2025TrendAnalysis'!#REF!</c:f>
            </c:numRef>
          </c:cat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'2025TrendAnalysis'!#REF!</c:f>
            </c:numRef>
          </c:cat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3006208"/>
        <c:axId val="213007744"/>
      </c:lineChart>
      <c:catAx>
        <c:axId val="213006208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07744"/>
        <c:crosses val="autoZero"/>
        <c:auto val="1"/>
        <c:lblAlgn val="ctr"/>
        <c:lblOffset val="100"/>
        <c:noMultiLvlLbl val="0"/>
      </c:catAx>
      <c:valAx>
        <c:axId val="213007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006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61"/>
  <sheetViews>
    <sheetView tabSelected="1" topLeftCell="A4" workbookViewId="0">
      <selection activeCell="G23" sqref="G23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9" ht="20.100000000000001" customHeight="1" x14ac:dyDescent="0.25"/>
    <row r="2" spans="2:9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9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</row>
    <row r="4" spans="2:9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2" t="s">
        <v>36</v>
      </c>
    </row>
    <row r="5" spans="2:9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2" t="s">
        <v>37</v>
      </c>
    </row>
    <row r="6" spans="2:9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2" t="s">
        <v>40</v>
      </c>
    </row>
    <row r="7" spans="2:9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</row>
    <row r="8" spans="2:9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2" t="s">
        <v>38</v>
      </c>
    </row>
    <row r="9" spans="2:9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4" t="s">
        <v>41</v>
      </c>
    </row>
    <row r="10" spans="2:9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4" t="s">
        <v>42</v>
      </c>
    </row>
    <row r="11" spans="2:9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4" t="s">
        <v>43</v>
      </c>
    </row>
    <row r="12" spans="2:9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2" t="s">
        <v>45</v>
      </c>
    </row>
    <row r="13" spans="2:9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2" t="s">
        <v>44</v>
      </c>
    </row>
    <row r="14" spans="2:9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</row>
    <row r="15" spans="2:9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</row>
    <row r="16" spans="2:9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4"/>
    </row>
    <row r="17" spans="2:10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4" t="s">
        <v>47</v>
      </c>
    </row>
    <row r="18" spans="2:10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4"/>
    </row>
    <row r="19" spans="2:10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4" t="s">
        <v>48</v>
      </c>
    </row>
    <row r="20" spans="2:10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</row>
    <row r="21" spans="2:10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4" t="s">
        <v>49</v>
      </c>
      <c r="J21" s="14"/>
    </row>
    <row r="22" spans="2:10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4"/>
    </row>
    <row r="23" spans="2:10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4" t="s">
        <v>50</v>
      </c>
    </row>
    <row r="24" spans="2:10" ht="15.75" customHeight="1" x14ac:dyDescent="0.25">
      <c r="B24" s="10"/>
      <c r="C24" s="11"/>
      <c r="D24" s="11"/>
      <c r="E24" s="11"/>
      <c r="F24" s="11"/>
      <c r="G24" s="11"/>
      <c r="H24" s="11"/>
      <c r="I24" s="14">
        <f>G22-5400</f>
        <v>18050</v>
      </c>
    </row>
    <row r="25" spans="2:10" ht="15.75" customHeight="1" x14ac:dyDescent="0.25">
      <c r="B25" s="10"/>
      <c r="C25" s="11"/>
      <c r="D25" s="11"/>
      <c r="E25" s="11"/>
      <c r="F25" s="11"/>
      <c r="G25" s="11"/>
      <c r="H25" s="11"/>
      <c r="I25" s="14"/>
    </row>
    <row r="26" spans="2:10" ht="15.75" customHeight="1" x14ac:dyDescent="0.25">
      <c r="B26" s="10"/>
      <c r="C26" s="11"/>
      <c r="D26" s="11"/>
      <c r="E26" s="11"/>
      <c r="F26" s="11"/>
      <c r="G26" s="11"/>
      <c r="H26" s="11"/>
    </row>
    <row r="27" spans="2:10" ht="15.75" customHeight="1" x14ac:dyDescent="0.25">
      <c r="B27" s="10"/>
      <c r="C27" s="11"/>
      <c r="D27" s="11"/>
      <c r="E27" s="11"/>
      <c r="F27" s="11"/>
      <c r="G27" s="11"/>
      <c r="H27" s="11"/>
      <c r="I27" s="14"/>
    </row>
    <row r="28" spans="2:10" ht="15.75" customHeight="1" x14ac:dyDescent="0.25">
      <c r="B28" s="10"/>
      <c r="C28" s="11"/>
      <c r="D28" s="11"/>
      <c r="E28" s="11"/>
      <c r="F28" s="11"/>
      <c r="G28" s="11"/>
      <c r="H28" s="11"/>
    </row>
    <row r="29" spans="2:10" ht="15.75" customHeight="1" x14ac:dyDescent="0.25">
      <c r="B29" s="10"/>
      <c r="C29" s="11"/>
      <c r="D29" s="11"/>
      <c r="E29" s="11"/>
      <c r="F29" s="11"/>
      <c r="G29" s="11"/>
      <c r="H29" s="11"/>
    </row>
    <row r="30" spans="2:10" ht="15.75" customHeight="1" x14ac:dyDescent="0.25">
      <c r="B30" s="10"/>
      <c r="C30" s="11"/>
      <c r="D30" s="11"/>
      <c r="E30" s="11"/>
      <c r="F30" s="11"/>
      <c r="G30" s="11"/>
      <c r="H30" s="11"/>
    </row>
    <row r="31" spans="2:10" ht="15.75" customHeight="1" x14ac:dyDescent="0.25">
      <c r="B31" s="10"/>
      <c r="C31" s="11"/>
      <c r="D31" s="11"/>
      <c r="E31" s="11"/>
      <c r="F31" s="11"/>
      <c r="G31" s="11"/>
      <c r="H31" s="11"/>
    </row>
    <row r="32" spans="2:10" ht="15.75" customHeight="1" x14ac:dyDescent="0.25">
      <c r="B32" s="10"/>
      <c r="C32" s="11"/>
      <c r="D32" s="11"/>
      <c r="E32" s="11"/>
      <c r="F32" s="11"/>
      <c r="G32" s="11"/>
      <c r="H32" s="11"/>
    </row>
    <row r="33" spans="2:8" ht="15.75" customHeight="1" x14ac:dyDescent="0.25">
      <c r="B33" s="10"/>
      <c r="C33" s="11"/>
      <c r="D33" s="11"/>
      <c r="E33" s="11"/>
      <c r="F33" s="11"/>
      <c r="G33" s="11"/>
      <c r="H33" s="11"/>
    </row>
    <row r="34" spans="2:8" ht="15.75" customHeight="1" x14ac:dyDescent="0.25">
      <c r="B34" s="10"/>
      <c r="C34" s="11"/>
      <c r="D34" s="11"/>
      <c r="E34" s="11"/>
      <c r="F34" s="11"/>
      <c r="G34" s="11"/>
      <c r="H34" s="11"/>
    </row>
    <row r="45" spans="2:8" x14ac:dyDescent="0.25">
      <c r="H45" s="3">
        <v>10600</v>
      </c>
    </row>
    <row r="46" spans="2:8" x14ac:dyDescent="0.25">
      <c r="H46" s="3">
        <v>8600</v>
      </c>
    </row>
    <row r="47" spans="2:8" x14ac:dyDescent="0.25">
      <c r="H47" s="3">
        <v>17400</v>
      </c>
    </row>
    <row r="48" spans="2:8" x14ac:dyDescent="0.25">
      <c r="H48" s="3">
        <v>27000</v>
      </c>
    </row>
    <row r="49" spans="4:9" x14ac:dyDescent="0.25">
      <c r="H49" s="3">
        <v>14800</v>
      </c>
    </row>
    <row r="50" spans="4:9" x14ac:dyDescent="0.25">
      <c r="H50" s="3">
        <v>14800</v>
      </c>
    </row>
    <row r="51" spans="4:9" x14ac:dyDescent="0.25">
      <c r="H51" s="3">
        <v>7700</v>
      </c>
    </row>
    <row r="52" spans="4:9" x14ac:dyDescent="0.25">
      <c r="H52" s="3">
        <v>4800</v>
      </c>
    </row>
    <row r="53" spans="4:9" x14ac:dyDescent="0.25">
      <c r="H53" s="3">
        <v>33000</v>
      </c>
    </row>
    <row r="54" spans="4:9" x14ac:dyDescent="0.25">
      <c r="H54" s="3">
        <v>36000</v>
      </c>
    </row>
    <row r="55" spans="4:9" x14ac:dyDescent="0.25">
      <c r="F55" s="3" t="s">
        <v>39</v>
      </c>
      <c r="H55" s="3">
        <f>SUM(H45:H54)</f>
        <v>174700</v>
      </c>
    </row>
    <row r="56" spans="4:9" x14ac:dyDescent="0.25">
      <c r="H56" s="3">
        <v>200000</v>
      </c>
    </row>
    <row r="57" spans="4:9" x14ac:dyDescent="0.25">
      <c r="H57" s="3">
        <f>H56-H55</f>
        <v>25300</v>
      </c>
    </row>
    <row r="58" spans="4:9" x14ac:dyDescent="0.25">
      <c r="D58" s="3">
        <f>174700+7900+13400+4000</f>
        <v>200000</v>
      </c>
      <c r="H58" s="3">
        <v>4000</v>
      </c>
    </row>
    <row r="59" spans="4:9" x14ac:dyDescent="0.25">
      <c r="H59" s="3">
        <f>H57-H58</f>
        <v>21300</v>
      </c>
    </row>
    <row r="60" spans="4:9" x14ac:dyDescent="0.25">
      <c r="I60" s="2">
        <v>7900</v>
      </c>
    </row>
    <row r="61" spans="4:9" x14ac:dyDescent="0.25">
      <c r="I61" s="14">
        <f>H59-I60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2025-01-12T06:37:41Z</dcterms:modified>
</cp:coreProperties>
</file>