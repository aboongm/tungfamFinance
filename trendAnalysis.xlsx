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activeTab="2"/>
  </bookViews>
  <sheets>
    <sheet name="2023TrendAnalysis" sheetId="15" r:id="rId1"/>
    <sheet name="2025TrendAnalysis" sheetId="16" r:id="rId2"/>
    <sheet name="2026TrendAnalysis" sheetId="17" r:id="rId3"/>
    <sheet name="trackingonline transaction" sheetId="18" r:id="rId4"/>
  </sheets>
  <calcPr calcId="162913"/>
</workbook>
</file>

<file path=xl/calcChain.xml><?xml version="1.0" encoding="utf-8"?>
<calcChain xmlns="http://schemas.openxmlformats.org/spreadsheetml/2006/main">
  <c r="E73" i="17" l="1"/>
  <c r="D73" i="17"/>
  <c r="E72" i="17"/>
  <c r="D72" i="17"/>
  <c r="E71" i="17" l="1"/>
  <c r="D71" i="17"/>
  <c r="E70" i="17" l="1"/>
  <c r="D70" i="17"/>
  <c r="E69" i="17" l="1"/>
  <c r="D69" i="17"/>
  <c r="E68" i="17" l="1"/>
  <c r="D68" i="17"/>
  <c r="E67" i="17" l="1"/>
  <c r="D67" i="17"/>
  <c r="E66" i="17"/>
  <c r="D66" i="17"/>
  <c r="E65" i="17" l="1"/>
  <c r="D65" i="17"/>
  <c r="E64" i="17" l="1"/>
  <c r="D64" i="17"/>
  <c r="E63" i="17" l="1"/>
  <c r="D63" i="17"/>
  <c r="E62" i="17" l="1"/>
  <c r="D62" i="17"/>
  <c r="E61" i="17" l="1"/>
  <c r="D61" i="17"/>
  <c r="E60" i="17" l="1"/>
  <c r="D60" i="17"/>
  <c r="E59" i="17"/>
  <c r="D59" i="17"/>
  <c r="E58" i="17" l="1"/>
  <c r="D58" i="17"/>
  <c r="E57" i="17"/>
  <c r="D57" i="17"/>
  <c r="E56" i="17" l="1"/>
  <c r="D56" i="17"/>
  <c r="E55" i="17"/>
  <c r="D55" i="17"/>
  <c r="E54" i="17" l="1"/>
  <c r="D54" i="17"/>
  <c r="E53" i="17" l="1"/>
  <c r="D53" i="17"/>
  <c r="E52" i="17"/>
  <c r="D52" i="17"/>
  <c r="E51" i="17" l="1"/>
  <c r="D51" i="17"/>
  <c r="D50" i="17"/>
  <c r="E49" i="17"/>
  <c r="D49" i="17"/>
  <c r="E48" i="17"/>
  <c r="D48" i="17"/>
  <c r="E47" i="17" l="1"/>
  <c r="D47" i="17"/>
  <c r="E46" i="17" l="1"/>
  <c r="D46" i="17"/>
  <c r="E45" i="17"/>
  <c r="E44" i="17" l="1"/>
  <c r="D45" i="17"/>
  <c r="D44" i="17"/>
  <c r="E43" i="17"/>
  <c r="D43" i="17"/>
  <c r="E42" i="17"/>
  <c r="D42" i="17"/>
  <c r="E41" i="17" l="1"/>
  <c r="D41" i="17"/>
  <c r="E40" i="17"/>
  <c r="D40" i="17"/>
  <c r="E39" i="17"/>
  <c r="D39" i="17" l="1"/>
  <c r="D38" i="17"/>
  <c r="D37" i="17"/>
  <c r="D36" i="17" l="1"/>
  <c r="D35" i="17"/>
  <c r="B16" i="18" l="1"/>
  <c r="D34" i="17" l="1"/>
  <c r="D33" i="17" l="1"/>
  <c r="D32" i="17"/>
  <c r="D31" i="17" l="1"/>
  <c r="D30" i="17" l="1"/>
  <c r="D29" i="17" l="1"/>
  <c r="D28" i="17" l="1"/>
  <c r="D27" i="17" l="1"/>
  <c r="D26" i="17" l="1"/>
  <c r="D25" i="17"/>
  <c r="D24" i="17" l="1"/>
  <c r="D23" i="17" l="1"/>
  <c r="D22" i="17"/>
  <c r="D21" i="17"/>
  <c r="D20" i="17" l="1"/>
  <c r="D19" i="17" l="1"/>
  <c r="D18" i="17"/>
  <c r="G17" i="17" l="1"/>
  <c r="D17" i="17"/>
  <c r="G155" i="16"/>
  <c r="D155" i="16"/>
  <c r="F126" i="16" l="1"/>
  <c r="G126" i="16"/>
  <c r="F125" i="16"/>
  <c r="F124" i="16" l="1"/>
  <c r="F123" i="16" l="1"/>
  <c r="G123" i="16"/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<sst xmlns="http://schemas.openxmlformats.org/spreadsheetml/2006/main" count="221" uniqueCount="171">
  <si>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</si>
  <si>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</si>
  <si>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</si>
  <si>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</si>
  <si>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</si>
  <si>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</si>
  <si>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</si>
  <si>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</si>
  <si>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</si>
  <si>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</si>
  <si>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</si>
  <si>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</si>
  <si>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</si>
  <si>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</si>
  <si>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</si>
  <si>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</si>
  <si>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</si>
  <si>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</si>
  <si>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</si>
  <si>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</si>
  <si>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</si>
  <si>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</si>
  <si>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</si>
  <si>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</si>
  <si>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</si>
  <si>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</si>
  <si>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</si>
  <si>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</si>
  <si>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</si>
  <si>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</si>
  <si>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</si>
  <si>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</si>
  <si>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</si>
  <si>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</si>
  <si>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</si>
  <si>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</si>
  <si>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</si>
  <si>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</si>
  <si>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</si>
  <si>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</si>
  <si>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</si>
  <si>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</si>
  <si>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</si>
  <si>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</si>
  <si>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</si>
  <si>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</si>
  <si>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</si>
  <si>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</si>
  <si>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</si>
  <si>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</si>
  <si>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</si>
  <si>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</si>
  <si>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</si>
  <si>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</si>
  <si>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</si>
  <si>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</si>
  <si>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</si>
  <si>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</si>
  <si>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</si>
  <si>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</si>
  <si>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</si>
  <si>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</si>
  <si>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</si>
  <si>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</si>
  <si>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</si>
  <si>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</si>
  <si>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</si>
  <si>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</si>
  <si>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</si>
  <si>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</si>
  <si>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</si>
  <si>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</si>
  <si>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</si>
  <si>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</si>
  <si>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</si>
  <si>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</si>
  <si>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</si>
  <si>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</si>
  <si>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</si>
  <si>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</si>
  <si>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</si>
  <si>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</si>
  <si>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</si>
  <si>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</si>
  <si>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</si>
  <si>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</si>
  <si>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</si>
  <si>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</si>
  <si>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</si>
  <si>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</si>
  <si>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</si>
  <si>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</si>
  <si>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</si>
  <si>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</si>
  <si>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</si>
  <si>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</si>
  <si>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</si>
  <si>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</si>
  <si>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</si>
  <si>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</si>
  <si>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</si>
  <si>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</si>
  <si>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</si>
  <si>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</si>
  <si>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</si>
  <si>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</si>
  <si>
    <t>loan thasana added 5000</t>
  </si>
  <si>
    <t>loan indulekha 20000</t>
  </si>
  <si>
    <t>loan sweety 20000</t>
  </si>
  <si>
    <t>loan bidyapati 10000</t>
  </si>
  <si>
    <t>marup 6000+6500+500floodcharity</t>
  </si>
  <si>
    <t>narmada loan 20000</t>
  </si>
  <si>
    <t>rambhabati and sunanda loan adjustment</t>
  </si>
  <si>
    <t>loan jameson and group 50000</t>
  </si>
  <si>
    <t>marup 12500added 1000 frpm rambhabati</t>
  </si>
  <si>
    <t>loan pratima 15000</t>
  </si>
  <si>
    <t>chakouba bonus 10000(ranjita +priya)</t>
  </si>
  <si>
    <t>loan naobi</t>
  </si>
  <si>
    <t>loan bijenty 20000</t>
  </si>
  <si>
    <t>sonia loan 20000</t>
  </si>
  <si>
    <t xml:space="preserve">loan sheenarani 20k kamala 40k </t>
  </si>
  <si>
    <t>marup 12500</t>
  </si>
  <si>
    <t>loan  romila 20000</t>
  </si>
  <si>
    <t>loan inaobi 16000</t>
  </si>
  <si>
    <t>loan budhacandra</t>
  </si>
  <si>
    <t>ibeyaima loan 15000</t>
  </si>
  <si>
    <t>wangkhei marup  6000</t>
  </si>
  <si>
    <t>loan renita 20000 kiranmala 10000 denita 10000 sandhyarani 10000</t>
  </si>
  <si>
    <t>marup 6500+6000; grocery 2000+1700</t>
  </si>
  <si>
    <t>anand izra Rs 60000; payable to aboong 14650; online transfer 28100+10000=38100</t>
  </si>
  <si>
    <t>loan reena 10000</t>
  </si>
  <si>
    <t xml:space="preserve">adjust priya loans of totalling 186900 as 1lakhs 90thousand </t>
  </si>
  <si>
    <t>marup 6500+6000</t>
  </si>
  <si>
    <t>loan pratima 20000 ibeyaima 30000 bijenty 50000</t>
  </si>
  <si>
    <t>loan kamala 40000 sonia 20000</t>
  </si>
  <si>
    <t>loan sanarei 140000 (chaoba 50000)</t>
  </si>
  <si>
    <t>loan bidyabati 10000</t>
  </si>
  <si>
    <t>loan ronel 20000</t>
  </si>
  <si>
    <t>Credit (taken) from Chaoba</t>
  </si>
  <si>
    <t>by Tungfam</t>
  </si>
  <si>
    <t>online adjusted to HDFCBank (Aboong)</t>
  </si>
  <si>
    <t>transferred to bechau</t>
  </si>
  <si>
    <t>transferred to benao  8000 (500 for vegeatables/7500 for benao)</t>
  </si>
  <si>
    <t>loan lanvhenbi 60000 bala 20000 bidyalaxmi 5000</t>
  </si>
  <si>
    <t>Buncha Maroop</t>
  </si>
  <si>
    <t xml:space="preserve">bechau </t>
  </si>
  <si>
    <t>aboong</t>
  </si>
  <si>
    <t>mother</t>
  </si>
  <si>
    <t>tungfam (nanao)</t>
  </si>
  <si>
    <t>no loan issue</t>
  </si>
  <si>
    <t>loan nanao 10000</t>
  </si>
  <si>
    <t xml:space="preserve"> withdrawn  9300  baenao (online transfer 8000) ranjit 11300+ranjita 700</t>
  </si>
  <si>
    <t>marup bomcha 11500</t>
  </si>
  <si>
    <t>wangkhei marup 11000</t>
  </si>
  <si>
    <t>chicken 250</t>
  </si>
  <si>
    <t>dada 1300(chiraoba fish vegetable and tablet on march 18 adjusted with deposit  11300</t>
  </si>
  <si>
    <t>loan sandhyarani 10000</t>
  </si>
  <si>
    <t>vegetable and fish 1600+6500(marup)</t>
  </si>
  <si>
    <t>ranjita deposit 80000</t>
  </si>
  <si>
    <t>marup bomcha 6500+11000</t>
  </si>
  <si>
    <t>loan 20000 sudhana</t>
  </si>
  <si>
    <t>marup  16500 (bomcha)</t>
  </si>
  <si>
    <t>minarani loan 20000</t>
  </si>
  <si>
    <t>naoton loan 10000</t>
  </si>
  <si>
    <t>bomcha marup 16500+wangkhei marup 11000 baenao deposit withdrawal 2000</t>
  </si>
  <si>
    <t>bidyabati loan 10000</t>
  </si>
  <si>
    <t>adjusted ayangpalli  ibeyaima</t>
  </si>
  <si>
    <t>loan ibeyaima ayangpalli 30000</t>
  </si>
  <si>
    <t>grocery 5000</t>
  </si>
  <si>
    <t>loan inaobi 7000 , renita 18000 , romila 18000</t>
  </si>
  <si>
    <t>bidyabati2 loan 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</si>
</sst>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0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  <xf numFmtId="16" fontId="0" fillId="0" borderId="0" xfId="0" applyNumberFormat="1"/>
    <xf numFmtId="0" fontId="8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6" workbookViewId="0">
      <selection activeCell="G144" sqref="G144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57"/>
  <sheetViews>
    <sheetView workbookViewId="0">
      <selection activeCell="H159" sqref="H15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>
        <v>45901</v>
      </c>
      <c r="C110" s="11">
        <v>188380</v>
      </c>
      <c r="D110" s="11">
        <v>60000</v>
      </c>
      <c r="E110" s="11">
        <v>21300</v>
      </c>
      <c r="F110" s="11">
        <v>998750</v>
      </c>
      <c r="G110" s="11">
        <v>139950</v>
      </c>
      <c r="H110" s="11">
        <v>820100</v>
      </c>
      <c r="I110" s="16"/>
      <c r="J110" s="15"/>
    </row>
    <row r="111" spans="2:10" ht="17.25" customHeight="1" x14ac:dyDescent="0.25">
      <c r="B111" s="10">
        <v>45901</v>
      </c>
      <c r="C111" s="11">
        <v>188380</v>
      </c>
      <c r="D111" s="11">
        <v>60000</v>
      </c>
      <c r="E111" s="11">
        <v>21300</v>
      </c>
      <c r="F111" s="11">
        <v>999700</v>
      </c>
      <c r="G111" s="11">
        <v>134950</v>
      </c>
      <c r="H111" s="11">
        <v>826050</v>
      </c>
      <c r="I111" s="16"/>
      <c r="J111" s="15" t="s">
        <v>106</v>
      </c>
    </row>
    <row r="112" spans="2:10" ht="17.25" customHeight="1" x14ac:dyDescent="0.25">
      <c r="B112" s="10">
        <v>45901</v>
      </c>
      <c r="C112" s="11">
        <v>188380</v>
      </c>
      <c r="D112" s="11">
        <v>60000</v>
      </c>
      <c r="E112" s="11">
        <v>21300</v>
      </c>
      <c r="F112" s="11">
        <v>999700</v>
      </c>
      <c r="G112" s="11">
        <v>155150</v>
      </c>
      <c r="H112" s="11">
        <v>805850</v>
      </c>
      <c r="I112" s="16"/>
    </row>
    <row r="113" spans="2:10" ht="17.25" customHeight="1" x14ac:dyDescent="0.25">
      <c r="B113" s="10">
        <v>45901</v>
      </c>
      <c r="C113" s="11">
        <v>188380</v>
      </c>
      <c r="D113" s="11">
        <v>60000</v>
      </c>
      <c r="E113" s="11">
        <v>21300</v>
      </c>
      <c r="F113" s="11">
        <v>1003500</v>
      </c>
      <c r="G113" s="11">
        <v>135150</v>
      </c>
      <c r="H113" s="11">
        <v>829650</v>
      </c>
      <c r="I113" s="16"/>
      <c r="J113" s="15" t="s">
        <v>108</v>
      </c>
    </row>
    <row r="114" spans="2:10" ht="17.25" customHeight="1" x14ac:dyDescent="0.25">
      <c r="B114" s="10">
        <v>45910</v>
      </c>
      <c r="C114" s="11">
        <v>188380</v>
      </c>
      <c r="D114" s="11">
        <v>60000</v>
      </c>
      <c r="E114" s="11">
        <v>21300</v>
      </c>
      <c r="F114" s="11">
        <v>1003500</v>
      </c>
      <c r="G114" s="11">
        <v>162650</v>
      </c>
      <c r="H114" s="11">
        <v>802150</v>
      </c>
      <c r="I114" s="16"/>
      <c r="J114" s="15"/>
    </row>
    <row r="115" spans="2:10" ht="17.25" customHeight="1" x14ac:dyDescent="0.25">
      <c r="B115" s="10">
        <v>45910</v>
      </c>
      <c r="C115" s="11">
        <v>188380</v>
      </c>
      <c r="D115" s="11">
        <v>60000</v>
      </c>
      <c r="E115" s="11">
        <v>21300</v>
      </c>
      <c r="F115" s="11">
        <v>1007300</v>
      </c>
      <c r="G115" s="11">
        <v>142650</v>
      </c>
      <c r="H115" s="11">
        <v>825950</v>
      </c>
      <c r="I115" s="16"/>
      <c r="J115" s="15" t="s">
        <v>107</v>
      </c>
    </row>
    <row r="116" spans="2:10" ht="17.25" customHeight="1" x14ac:dyDescent="0.25">
      <c r="B116" s="10">
        <v>45921</v>
      </c>
      <c r="C116" s="11">
        <v>188380</v>
      </c>
      <c r="D116" s="11">
        <v>60000</v>
      </c>
      <c r="E116" s="11">
        <v>21300</v>
      </c>
      <c r="F116" s="11">
        <v>1007300</v>
      </c>
      <c r="G116" s="11">
        <v>173250</v>
      </c>
      <c r="H116" s="11">
        <v>795350</v>
      </c>
      <c r="I116" s="16"/>
      <c r="J116" s="15"/>
    </row>
    <row r="117" spans="2:10" ht="17.25" customHeight="1" x14ac:dyDescent="0.25">
      <c r="B117" s="10">
        <v>45921</v>
      </c>
      <c r="C117" s="11">
        <v>188380</v>
      </c>
      <c r="D117" s="11">
        <v>60000</v>
      </c>
      <c r="E117" s="11">
        <v>21300</v>
      </c>
      <c r="F117" s="11">
        <v>994300</v>
      </c>
      <c r="G117" s="11">
        <v>160250</v>
      </c>
      <c r="H117" s="11">
        <v>795350</v>
      </c>
      <c r="I117" s="16"/>
      <c r="J117" s="15" t="s">
        <v>110</v>
      </c>
    </row>
    <row r="118" spans="2:10" ht="17.25" customHeight="1" x14ac:dyDescent="0.25">
      <c r="B118" s="10">
        <v>45921</v>
      </c>
      <c r="C118" s="11">
        <v>188380</v>
      </c>
      <c r="D118" s="11">
        <v>60000</v>
      </c>
      <c r="E118" s="11">
        <v>21300</v>
      </c>
      <c r="F118" s="11">
        <v>996200</v>
      </c>
      <c r="G118" s="11">
        <v>150250</v>
      </c>
      <c r="H118" s="11">
        <v>807250</v>
      </c>
      <c r="I118" s="16"/>
      <c r="J118" s="15" t="s">
        <v>109</v>
      </c>
    </row>
    <row r="119" spans="2:10" ht="17.25" customHeight="1" x14ac:dyDescent="0.25">
      <c r="B119" s="10">
        <v>45928</v>
      </c>
      <c r="C119" s="11">
        <v>188380</v>
      </c>
      <c r="D119" s="11">
        <v>60000</v>
      </c>
      <c r="E119" s="11">
        <v>21300</v>
      </c>
      <c r="F119" s="11">
        <v>996200</v>
      </c>
      <c r="G119" s="11">
        <v>176850</v>
      </c>
      <c r="H119" s="11">
        <v>780650</v>
      </c>
      <c r="I119" s="16"/>
      <c r="J119" s="15"/>
    </row>
    <row r="120" spans="2:10" ht="17.25" customHeight="1" x14ac:dyDescent="0.25">
      <c r="B120" s="10">
        <v>45928</v>
      </c>
      <c r="C120" s="11">
        <v>188380</v>
      </c>
      <c r="D120" s="11">
        <v>60000</v>
      </c>
      <c r="E120" s="11">
        <v>21300</v>
      </c>
      <c r="F120" s="11">
        <v>1000000</v>
      </c>
      <c r="G120" s="11">
        <v>156850</v>
      </c>
      <c r="H120" s="11">
        <v>804450</v>
      </c>
      <c r="I120" s="16"/>
      <c r="J120" s="15" t="s">
        <v>111</v>
      </c>
    </row>
    <row r="121" spans="2:10" ht="17.25" customHeight="1" x14ac:dyDescent="0.25">
      <c r="B121" s="10">
        <v>45928</v>
      </c>
      <c r="C121" s="11">
        <v>188380</v>
      </c>
      <c r="D121" s="11">
        <v>60000</v>
      </c>
      <c r="E121" s="11">
        <v>21300</v>
      </c>
      <c r="F121" s="11">
        <v>979200</v>
      </c>
      <c r="G121" s="11">
        <v>156850</v>
      </c>
      <c r="H121" s="11">
        <v>783650</v>
      </c>
      <c r="I121" s="16"/>
      <c r="J121" s="15" t="s">
        <v>112</v>
      </c>
    </row>
    <row r="122" spans="2:10" ht="17.25" customHeight="1" x14ac:dyDescent="0.25">
      <c r="B122" s="10">
        <v>45933</v>
      </c>
      <c r="C122" s="11">
        <v>188380</v>
      </c>
      <c r="D122" s="11">
        <v>60000</v>
      </c>
      <c r="E122" s="11">
        <v>21300</v>
      </c>
      <c r="F122" s="11">
        <v>979200</v>
      </c>
      <c r="G122" s="11">
        <v>199750</v>
      </c>
      <c r="H122" s="11">
        <v>740750</v>
      </c>
      <c r="I122" s="16"/>
    </row>
    <row r="123" spans="2:10" ht="17.25" customHeight="1" x14ac:dyDescent="0.25">
      <c r="B123" s="10">
        <v>45933</v>
      </c>
      <c r="C123" s="11">
        <v>188380</v>
      </c>
      <c r="D123" s="11">
        <v>60000</v>
      </c>
      <c r="E123" s="11">
        <v>21300</v>
      </c>
      <c r="F123" s="11">
        <f>6500+989200</f>
        <v>995700</v>
      </c>
      <c r="G123" s="11">
        <f>6500+149750</f>
        <v>156250</v>
      </c>
      <c r="H123" s="11">
        <v>800750</v>
      </c>
      <c r="I123" s="16"/>
      <c r="J123" s="15" t="s">
        <v>113</v>
      </c>
    </row>
    <row r="124" spans="2:10" ht="17.25" customHeight="1" x14ac:dyDescent="0.25">
      <c r="B124" s="10">
        <v>45942</v>
      </c>
      <c r="C124" s="11">
        <v>188380</v>
      </c>
      <c r="D124" s="11">
        <v>60000</v>
      </c>
      <c r="E124" s="11">
        <v>21300</v>
      </c>
      <c r="F124" s="11">
        <f>6500+989200</f>
        <v>995700</v>
      </c>
      <c r="G124" s="11">
        <v>169150</v>
      </c>
      <c r="H124" s="11">
        <v>787850</v>
      </c>
      <c r="I124" s="16"/>
      <c r="J124" s="15"/>
    </row>
    <row r="125" spans="2:10" ht="17.25" customHeight="1" x14ac:dyDescent="0.25">
      <c r="B125" s="10">
        <v>45949</v>
      </c>
      <c r="C125" s="11">
        <v>188380</v>
      </c>
      <c r="D125" s="11">
        <v>60000</v>
      </c>
      <c r="E125" s="11">
        <v>21300</v>
      </c>
      <c r="F125" s="11">
        <f>6500+989200</f>
        <v>995700</v>
      </c>
      <c r="G125" s="11">
        <v>197450</v>
      </c>
      <c r="H125" s="11">
        <v>759550</v>
      </c>
      <c r="I125" s="16"/>
      <c r="J125" s="15"/>
    </row>
    <row r="126" spans="2:10" ht="17.25" customHeight="1" x14ac:dyDescent="0.25">
      <c r="B126" s="10">
        <v>45949</v>
      </c>
      <c r="C126" s="11">
        <v>188380</v>
      </c>
      <c r="D126" s="11">
        <v>60000</v>
      </c>
      <c r="E126" s="11">
        <v>21300</v>
      </c>
      <c r="F126" s="11">
        <f>F125-12500+1000</f>
        <v>984200</v>
      </c>
      <c r="G126" s="11">
        <f>G125-6500-6000+1000</f>
        <v>185950</v>
      </c>
      <c r="H126" s="11">
        <v>759550</v>
      </c>
      <c r="I126" s="16"/>
      <c r="J126" s="15" t="s">
        <v>114</v>
      </c>
    </row>
    <row r="127" spans="2:10" ht="17.25" customHeight="1" x14ac:dyDescent="0.25">
      <c r="B127" s="10">
        <v>45949</v>
      </c>
      <c r="C127" s="11">
        <v>188380</v>
      </c>
      <c r="D127" s="11">
        <v>60000</v>
      </c>
      <c r="E127" s="11">
        <v>21300</v>
      </c>
      <c r="F127" s="11">
        <v>987200</v>
      </c>
      <c r="G127" s="11">
        <v>170950</v>
      </c>
      <c r="H127" s="11">
        <v>777550</v>
      </c>
      <c r="I127" s="16"/>
      <c r="J127" s="15" t="s">
        <v>115</v>
      </c>
    </row>
    <row r="128" spans="2:10" ht="17.25" customHeight="1" x14ac:dyDescent="0.25">
      <c r="B128" s="10">
        <v>45959</v>
      </c>
      <c r="C128" s="11">
        <v>188380</v>
      </c>
      <c r="D128" s="11">
        <v>60000</v>
      </c>
      <c r="E128" s="11">
        <v>21300</v>
      </c>
      <c r="F128" s="11">
        <v>987200</v>
      </c>
      <c r="G128" s="11">
        <v>217250</v>
      </c>
      <c r="H128" s="11">
        <v>731250</v>
      </c>
      <c r="I128" s="16"/>
      <c r="J128" s="15"/>
    </row>
    <row r="129" spans="2:10" ht="17.25" customHeight="1" x14ac:dyDescent="0.25">
      <c r="B129" s="10">
        <v>45959</v>
      </c>
      <c r="C129" s="11">
        <v>188380</v>
      </c>
      <c r="D129" s="11">
        <v>60000</v>
      </c>
      <c r="E129" s="11">
        <v>21300</v>
      </c>
      <c r="F129" s="11">
        <v>977200</v>
      </c>
      <c r="G129" s="11">
        <v>207250</v>
      </c>
      <c r="H129" s="11">
        <v>731250</v>
      </c>
      <c r="I129" s="16"/>
      <c r="J129" s="15" t="s">
        <v>116</v>
      </c>
    </row>
    <row r="130" spans="2:10" ht="17.25" customHeight="1" x14ac:dyDescent="0.25">
      <c r="B130" s="10">
        <v>45959</v>
      </c>
      <c r="C130" s="11">
        <v>188380</v>
      </c>
      <c r="D130" s="11">
        <v>60000</v>
      </c>
      <c r="E130" s="11">
        <v>21300</v>
      </c>
      <c r="F130" s="11">
        <v>981200</v>
      </c>
      <c r="G130" s="11">
        <v>187250</v>
      </c>
      <c r="H130" s="11">
        <v>755250</v>
      </c>
      <c r="I130" s="16"/>
      <c r="J130" s="15" t="s">
        <v>117</v>
      </c>
    </row>
    <row r="131" spans="2:10" x14ac:dyDescent="0.25">
      <c r="B131" s="10">
        <v>45961</v>
      </c>
      <c r="C131" s="11">
        <v>188380</v>
      </c>
      <c r="D131" s="11">
        <v>60000</v>
      </c>
      <c r="E131" s="11">
        <v>21300</v>
      </c>
      <c r="F131" s="11">
        <v>981200</v>
      </c>
      <c r="G131" s="11">
        <v>199650</v>
      </c>
      <c r="H131" s="11">
        <v>742850</v>
      </c>
      <c r="I131" s="16"/>
    </row>
    <row r="132" spans="2:10" x14ac:dyDescent="0.25">
      <c r="B132" s="10">
        <v>45961</v>
      </c>
      <c r="C132" s="11">
        <v>188380</v>
      </c>
      <c r="D132" s="11">
        <v>60000</v>
      </c>
      <c r="E132" s="11">
        <v>21300</v>
      </c>
      <c r="F132" s="11">
        <v>985000</v>
      </c>
      <c r="G132" s="11">
        <v>179650</v>
      </c>
      <c r="H132" s="11">
        <v>766650</v>
      </c>
      <c r="I132" s="16"/>
      <c r="J132" s="2" t="s">
        <v>118</v>
      </c>
    </row>
    <row r="133" spans="2:10" x14ac:dyDescent="0.25">
      <c r="B133" s="10">
        <v>45971</v>
      </c>
      <c r="C133" s="11">
        <v>188380</v>
      </c>
      <c r="D133" s="11">
        <v>60000</v>
      </c>
      <c r="E133" s="11">
        <v>21300</v>
      </c>
      <c r="F133" s="11">
        <v>985000</v>
      </c>
      <c r="G133" s="11">
        <v>206150</v>
      </c>
      <c r="H133" s="11">
        <v>740150</v>
      </c>
      <c r="I133" s="16"/>
    </row>
    <row r="134" spans="2:10" x14ac:dyDescent="0.25">
      <c r="B134" s="10">
        <v>45971</v>
      </c>
      <c r="C134" s="11">
        <v>188380</v>
      </c>
      <c r="D134" s="11">
        <v>60000</v>
      </c>
      <c r="E134" s="11">
        <v>21300</v>
      </c>
      <c r="F134" s="11">
        <v>989000</v>
      </c>
      <c r="G134" s="11">
        <v>186150</v>
      </c>
      <c r="H134" s="11">
        <v>764150</v>
      </c>
      <c r="I134" s="16"/>
      <c r="J134" s="2" t="s">
        <v>119</v>
      </c>
    </row>
    <row r="135" spans="2:10" x14ac:dyDescent="0.25">
      <c r="B135" s="10">
        <v>45977</v>
      </c>
      <c r="C135" s="11">
        <v>188380</v>
      </c>
      <c r="D135" s="11">
        <v>60000</v>
      </c>
      <c r="E135" s="11">
        <v>21300</v>
      </c>
      <c r="F135" s="11">
        <v>989000</v>
      </c>
      <c r="G135" s="11">
        <v>221150</v>
      </c>
      <c r="H135" s="11">
        <v>729150</v>
      </c>
      <c r="I135" s="16"/>
    </row>
    <row r="136" spans="2:10" x14ac:dyDescent="0.25">
      <c r="B136" s="10">
        <v>45977</v>
      </c>
      <c r="C136" s="11">
        <v>188380</v>
      </c>
      <c r="D136" s="11">
        <v>60000</v>
      </c>
      <c r="E136" s="11">
        <v>21300</v>
      </c>
      <c r="F136" s="11">
        <v>1001000</v>
      </c>
      <c r="G136" s="11">
        <v>161150</v>
      </c>
      <c r="H136" s="11">
        <v>801150</v>
      </c>
      <c r="I136" s="16"/>
      <c r="J136" s="2" t="s">
        <v>120</v>
      </c>
    </row>
    <row r="137" spans="2:10" x14ac:dyDescent="0.25">
      <c r="B137" s="10">
        <v>45977</v>
      </c>
      <c r="C137" s="11">
        <v>188380</v>
      </c>
      <c r="D137" s="11">
        <v>60000</v>
      </c>
      <c r="E137" s="11">
        <v>21300</v>
      </c>
      <c r="F137" s="11">
        <v>988500</v>
      </c>
      <c r="G137" s="11">
        <v>148650</v>
      </c>
      <c r="H137" s="11">
        <v>801150</v>
      </c>
      <c r="I137" s="16"/>
      <c r="J137" s="2" t="s">
        <v>121</v>
      </c>
    </row>
    <row r="138" spans="2:10" x14ac:dyDescent="0.25">
      <c r="B138" s="10">
        <v>45985</v>
      </c>
      <c r="C138" s="11">
        <v>188380</v>
      </c>
      <c r="D138" s="11">
        <v>60000</v>
      </c>
      <c r="E138" s="11">
        <v>21300</v>
      </c>
      <c r="F138" s="11">
        <v>988500</v>
      </c>
      <c r="G138" s="11">
        <v>184550</v>
      </c>
      <c r="H138" s="11">
        <v>765250</v>
      </c>
      <c r="I138" s="16"/>
    </row>
    <row r="139" spans="2:10" x14ac:dyDescent="0.25">
      <c r="B139" s="10">
        <v>45985</v>
      </c>
      <c r="C139" s="11">
        <v>188380</v>
      </c>
      <c r="D139" s="11">
        <v>60000</v>
      </c>
      <c r="E139" s="11">
        <v>21300</v>
      </c>
      <c r="F139" s="11">
        <v>992300</v>
      </c>
      <c r="G139" s="11">
        <v>164550</v>
      </c>
      <c r="H139" s="11">
        <v>789050</v>
      </c>
      <c r="I139" s="16"/>
      <c r="J139" s="2" t="s">
        <v>80</v>
      </c>
    </row>
    <row r="140" spans="2:10" x14ac:dyDescent="0.25">
      <c r="B140" s="10">
        <v>45991</v>
      </c>
      <c r="C140" s="11">
        <v>188380</v>
      </c>
      <c r="D140" s="11">
        <v>60000</v>
      </c>
      <c r="E140" s="11">
        <v>21300</v>
      </c>
      <c r="F140" s="11">
        <v>992300</v>
      </c>
      <c r="G140" s="11">
        <v>188300</v>
      </c>
      <c r="H140" s="11">
        <v>765300</v>
      </c>
      <c r="I140" s="16"/>
    </row>
    <row r="141" spans="2:10" x14ac:dyDescent="0.25">
      <c r="B141" s="10">
        <v>45991</v>
      </c>
      <c r="C141" s="11">
        <v>188380</v>
      </c>
      <c r="D141" s="11">
        <v>60000</v>
      </c>
      <c r="E141" s="11">
        <v>21300</v>
      </c>
      <c r="F141" s="11">
        <v>996300</v>
      </c>
      <c r="G141" s="11">
        <v>168300</v>
      </c>
      <c r="H141" s="11">
        <v>789300</v>
      </c>
      <c r="I141" s="16"/>
      <c r="J141" s="2" t="s">
        <v>122</v>
      </c>
    </row>
    <row r="142" spans="2:10" x14ac:dyDescent="0.25">
      <c r="B142" s="10">
        <v>45996</v>
      </c>
      <c r="C142" s="11">
        <v>188380</v>
      </c>
      <c r="D142" s="11">
        <v>60000</v>
      </c>
      <c r="E142" s="11">
        <v>21300</v>
      </c>
      <c r="F142" s="11">
        <v>996300</v>
      </c>
      <c r="G142" s="11">
        <v>203500</v>
      </c>
      <c r="H142" s="11">
        <v>754100</v>
      </c>
      <c r="I142" s="16"/>
    </row>
    <row r="143" spans="2:10" x14ac:dyDescent="0.25">
      <c r="B143" s="10">
        <v>45996</v>
      </c>
      <c r="C143" s="11">
        <v>188380</v>
      </c>
      <c r="D143" s="11">
        <v>60000</v>
      </c>
      <c r="E143" s="11">
        <v>21300</v>
      </c>
      <c r="F143" s="11">
        <v>999500</v>
      </c>
      <c r="G143" s="11">
        <v>187500</v>
      </c>
      <c r="H143" s="11">
        <v>773300</v>
      </c>
      <c r="I143" s="16"/>
      <c r="J143" s="2" t="s">
        <v>123</v>
      </c>
    </row>
    <row r="144" spans="2:10" x14ac:dyDescent="0.25">
      <c r="B144" s="10">
        <v>45997</v>
      </c>
      <c r="C144" s="11">
        <v>188380</v>
      </c>
      <c r="D144" s="11">
        <v>60000</v>
      </c>
      <c r="E144" s="11">
        <v>21300</v>
      </c>
      <c r="F144" s="11">
        <v>999500</v>
      </c>
      <c r="G144" s="11">
        <v>217050</v>
      </c>
      <c r="H144" s="11">
        <v>743750</v>
      </c>
      <c r="I144" s="16"/>
    </row>
    <row r="145" spans="2:10" x14ac:dyDescent="0.25">
      <c r="B145" s="10">
        <v>45997</v>
      </c>
      <c r="C145" s="11">
        <v>188380</v>
      </c>
      <c r="D145" s="11">
        <v>60000</v>
      </c>
      <c r="E145" s="11">
        <v>21300</v>
      </c>
      <c r="F145" s="11">
        <v>1003500</v>
      </c>
      <c r="G145" s="11">
        <v>197050</v>
      </c>
      <c r="H145" s="11">
        <v>767750</v>
      </c>
      <c r="I145" s="16"/>
      <c r="J145" s="2" t="s">
        <v>124</v>
      </c>
    </row>
    <row r="146" spans="2:10" x14ac:dyDescent="0.25">
      <c r="B146" s="10">
        <v>46005</v>
      </c>
      <c r="C146" s="11">
        <v>188380</v>
      </c>
      <c r="D146" s="11">
        <v>60000</v>
      </c>
      <c r="E146" s="11">
        <v>21300</v>
      </c>
      <c r="F146" s="11">
        <v>1003500</v>
      </c>
      <c r="G146" s="11">
        <v>202320</v>
      </c>
      <c r="H146" s="11">
        <v>762480</v>
      </c>
      <c r="I146" s="16"/>
    </row>
    <row r="147" spans="2:10" x14ac:dyDescent="0.25">
      <c r="B147" s="10">
        <v>46005</v>
      </c>
      <c r="C147" s="11">
        <v>188380</v>
      </c>
      <c r="D147" s="11">
        <v>60000</v>
      </c>
      <c r="E147" s="11">
        <v>21300</v>
      </c>
      <c r="F147" s="11">
        <v>997000</v>
      </c>
      <c r="G147" s="11">
        <v>195820</v>
      </c>
      <c r="H147" s="11">
        <v>762480</v>
      </c>
      <c r="I147" s="16"/>
      <c r="J147" s="2" t="s">
        <v>40</v>
      </c>
    </row>
    <row r="148" spans="2:10" x14ac:dyDescent="0.25">
      <c r="B148" s="10">
        <v>46006</v>
      </c>
      <c r="C148" s="11">
        <v>188380</v>
      </c>
      <c r="D148" s="11">
        <v>60000</v>
      </c>
      <c r="E148" s="11">
        <v>21300</v>
      </c>
      <c r="F148" s="11">
        <v>997000</v>
      </c>
      <c r="G148" s="11">
        <v>212690</v>
      </c>
      <c r="H148" s="11">
        <v>745610</v>
      </c>
      <c r="I148" s="16"/>
    </row>
    <row r="149" spans="2:10" x14ac:dyDescent="0.25">
      <c r="B149" s="10">
        <v>46006</v>
      </c>
      <c r="C149" s="11">
        <v>188380</v>
      </c>
      <c r="D149" s="11">
        <v>60000</v>
      </c>
      <c r="E149" s="11">
        <v>21300</v>
      </c>
      <c r="F149" s="11">
        <v>999850</v>
      </c>
      <c r="G149" s="11">
        <v>197690</v>
      </c>
      <c r="H149" s="11">
        <v>763460</v>
      </c>
      <c r="I149" s="16"/>
      <c r="J149" s="2" t="s">
        <v>125</v>
      </c>
    </row>
    <row r="150" spans="2:10" x14ac:dyDescent="0.25">
      <c r="B150" s="10">
        <v>46018</v>
      </c>
      <c r="C150" s="11">
        <v>188380</v>
      </c>
      <c r="D150" s="11">
        <v>60000</v>
      </c>
      <c r="E150" s="11">
        <v>21300</v>
      </c>
      <c r="F150" s="11">
        <v>999850</v>
      </c>
      <c r="G150" s="11">
        <v>223210</v>
      </c>
      <c r="H150" s="11">
        <v>737940</v>
      </c>
      <c r="I150" s="16"/>
    </row>
    <row r="151" spans="2:10" x14ac:dyDescent="0.25">
      <c r="B151" s="10">
        <v>46018</v>
      </c>
      <c r="C151" s="11">
        <v>188380</v>
      </c>
      <c r="D151" s="11">
        <v>60000</v>
      </c>
      <c r="E151" s="11">
        <v>21300</v>
      </c>
      <c r="F151" s="11">
        <v>993850</v>
      </c>
      <c r="G151" s="11">
        <v>217210</v>
      </c>
      <c r="H151" s="11">
        <v>737940</v>
      </c>
      <c r="I151" s="16"/>
      <c r="J151" s="2" t="s">
        <v>126</v>
      </c>
    </row>
    <row r="152" spans="2:10" x14ac:dyDescent="0.25">
      <c r="B152" s="10">
        <v>46018</v>
      </c>
      <c r="C152" s="11">
        <v>188380</v>
      </c>
      <c r="D152" s="11">
        <v>60000</v>
      </c>
      <c r="E152" s="11">
        <v>21300</v>
      </c>
      <c r="F152" s="11">
        <v>1003850</v>
      </c>
      <c r="G152" s="11">
        <v>167210</v>
      </c>
      <c r="H152" s="11">
        <v>797940</v>
      </c>
      <c r="I152" s="16"/>
      <c r="J152" s="2" t="s">
        <v>127</v>
      </c>
    </row>
    <row r="153" spans="2:10" x14ac:dyDescent="0.25">
      <c r="B153" s="10">
        <v>46048</v>
      </c>
      <c r="C153" s="11">
        <v>188380</v>
      </c>
      <c r="D153" s="11">
        <v>60000</v>
      </c>
      <c r="E153" s="11">
        <v>21300</v>
      </c>
      <c r="F153" s="11">
        <v>1003850</v>
      </c>
      <c r="G153" s="11">
        <v>236510</v>
      </c>
      <c r="H153" s="11">
        <v>728640</v>
      </c>
      <c r="I153" s="16"/>
    </row>
    <row r="154" spans="2:10" x14ac:dyDescent="0.25">
      <c r="B154" s="10">
        <v>46048</v>
      </c>
      <c r="C154" s="11">
        <v>188380</v>
      </c>
      <c r="D154" s="11">
        <v>60000</v>
      </c>
      <c r="E154" s="11">
        <v>21300</v>
      </c>
      <c r="F154" s="11">
        <v>987650</v>
      </c>
      <c r="G154" s="11">
        <v>220310</v>
      </c>
      <c r="H154" s="11">
        <v>728640</v>
      </c>
      <c r="I154" s="16"/>
      <c r="J154" s="2" t="s">
        <v>128</v>
      </c>
    </row>
    <row r="155" spans="2:10" x14ac:dyDescent="0.25">
      <c r="B155" s="10">
        <v>46048</v>
      </c>
      <c r="C155" s="11">
        <v>188380</v>
      </c>
      <c r="D155" s="11">
        <f>60000+60000-14650</f>
        <v>105350</v>
      </c>
      <c r="E155" s="11">
        <v>21300</v>
      </c>
      <c r="F155" s="11">
        <v>994900</v>
      </c>
      <c r="G155" s="11">
        <f>220310-38100</f>
        <v>182210</v>
      </c>
      <c r="H155" s="11">
        <v>728640</v>
      </c>
      <c r="I155" s="16"/>
      <c r="J155" s="2" t="s">
        <v>129</v>
      </c>
    </row>
    <row r="156" spans="2:10" x14ac:dyDescent="0.25">
      <c r="B156" s="10"/>
      <c r="C156" s="11"/>
      <c r="D156" s="11"/>
      <c r="E156" s="11"/>
      <c r="F156" s="11"/>
      <c r="G156" s="11"/>
      <c r="H156" s="11"/>
      <c r="I156" s="16"/>
    </row>
    <row r="157" spans="2:10" x14ac:dyDescent="0.25">
      <c r="B157" s="10"/>
      <c r="C157" s="11"/>
      <c r="D157" s="11"/>
      <c r="E157" s="11"/>
      <c r="F157" s="11"/>
      <c r="G157" s="11"/>
      <c r="H157" s="11"/>
      <c r="I157" s="16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76"/>
  <sheetViews>
    <sheetView tabSelected="1" topLeftCell="A61" workbookViewId="0">
      <selection activeCell="H79" sqref="H7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thickTop="1" x14ac:dyDescent="0.25">
      <c r="B4" s="10">
        <v>45996</v>
      </c>
      <c r="C4" s="11">
        <v>188380</v>
      </c>
      <c r="D4" s="11">
        <v>60000</v>
      </c>
      <c r="E4" s="11">
        <v>21300</v>
      </c>
      <c r="F4" s="11">
        <v>996300</v>
      </c>
      <c r="G4" s="11">
        <v>203500</v>
      </c>
      <c r="H4" s="11">
        <v>754100</v>
      </c>
      <c r="I4" s="16"/>
    </row>
    <row r="5" spans="2:10" x14ac:dyDescent="0.25">
      <c r="B5" s="10">
        <v>45996</v>
      </c>
      <c r="C5" s="11">
        <v>188380</v>
      </c>
      <c r="D5" s="11">
        <v>60000</v>
      </c>
      <c r="E5" s="11">
        <v>21300</v>
      </c>
      <c r="F5" s="11">
        <v>999500</v>
      </c>
      <c r="G5" s="11">
        <v>187500</v>
      </c>
      <c r="H5" s="11">
        <v>773300</v>
      </c>
      <c r="I5" s="16"/>
      <c r="J5" s="2" t="s">
        <v>123</v>
      </c>
    </row>
    <row r="6" spans="2:10" x14ac:dyDescent="0.25">
      <c r="B6" s="10">
        <v>45997</v>
      </c>
      <c r="C6" s="11">
        <v>188380</v>
      </c>
      <c r="D6" s="11">
        <v>60000</v>
      </c>
      <c r="E6" s="11">
        <v>21300</v>
      </c>
      <c r="F6" s="11">
        <v>999500</v>
      </c>
      <c r="G6" s="11">
        <v>217050</v>
      </c>
      <c r="H6" s="11">
        <v>743750</v>
      </c>
      <c r="I6" s="16"/>
    </row>
    <row r="7" spans="2:10" x14ac:dyDescent="0.25">
      <c r="B7" s="10">
        <v>45997</v>
      </c>
      <c r="C7" s="11">
        <v>188380</v>
      </c>
      <c r="D7" s="11">
        <v>60000</v>
      </c>
      <c r="E7" s="11">
        <v>21300</v>
      </c>
      <c r="F7" s="11">
        <v>1003500</v>
      </c>
      <c r="G7" s="11">
        <v>197050</v>
      </c>
      <c r="H7" s="11">
        <v>767750</v>
      </c>
      <c r="I7" s="16"/>
      <c r="J7" s="2" t="s">
        <v>124</v>
      </c>
    </row>
    <row r="8" spans="2:10" x14ac:dyDescent="0.25">
      <c r="B8" s="10">
        <v>46005</v>
      </c>
      <c r="C8" s="11">
        <v>188380</v>
      </c>
      <c r="D8" s="11">
        <v>60000</v>
      </c>
      <c r="E8" s="11">
        <v>21300</v>
      </c>
      <c r="F8" s="11">
        <v>1003500</v>
      </c>
      <c r="G8" s="11">
        <v>202320</v>
      </c>
      <c r="H8" s="11">
        <v>762480</v>
      </c>
      <c r="I8" s="16"/>
    </row>
    <row r="9" spans="2:10" x14ac:dyDescent="0.25">
      <c r="B9" s="10">
        <v>46005</v>
      </c>
      <c r="C9" s="11">
        <v>188380</v>
      </c>
      <c r="D9" s="11">
        <v>60000</v>
      </c>
      <c r="E9" s="11">
        <v>21300</v>
      </c>
      <c r="F9" s="11">
        <v>997000</v>
      </c>
      <c r="G9" s="11">
        <v>195820</v>
      </c>
      <c r="H9" s="11">
        <v>762480</v>
      </c>
      <c r="I9" s="16"/>
      <c r="J9" s="2" t="s">
        <v>40</v>
      </c>
    </row>
    <row r="10" spans="2:10" x14ac:dyDescent="0.25">
      <c r="B10" s="10">
        <v>46006</v>
      </c>
      <c r="C10" s="11">
        <v>188380</v>
      </c>
      <c r="D10" s="11">
        <v>60000</v>
      </c>
      <c r="E10" s="11">
        <v>21300</v>
      </c>
      <c r="F10" s="11">
        <v>997000</v>
      </c>
      <c r="G10" s="11">
        <v>212690</v>
      </c>
      <c r="H10" s="11">
        <v>745610</v>
      </c>
      <c r="I10" s="16"/>
    </row>
    <row r="11" spans="2:10" x14ac:dyDescent="0.25">
      <c r="B11" s="10">
        <v>46006</v>
      </c>
      <c r="C11" s="11">
        <v>188380</v>
      </c>
      <c r="D11" s="11">
        <v>60000</v>
      </c>
      <c r="E11" s="11">
        <v>21300</v>
      </c>
      <c r="F11" s="11">
        <v>999850</v>
      </c>
      <c r="G11" s="11">
        <v>197690</v>
      </c>
      <c r="H11" s="11">
        <v>763460</v>
      </c>
      <c r="I11" s="16"/>
      <c r="J11" s="2" t="s">
        <v>125</v>
      </c>
    </row>
    <row r="12" spans="2:10" x14ac:dyDescent="0.25">
      <c r="B12" s="10">
        <v>46018</v>
      </c>
      <c r="C12" s="11">
        <v>188380</v>
      </c>
      <c r="D12" s="11">
        <v>60000</v>
      </c>
      <c r="E12" s="11">
        <v>21300</v>
      </c>
      <c r="F12" s="11">
        <v>999850</v>
      </c>
      <c r="G12" s="11">
        <v>223210</v>
      </c>
      <c r="H12" s="11">
        <v>737940</v>
      </c>
      <c r="I12" s="16"/>
    </row>
    <row r="13" spans="2:10" x14ac:dyDescent="0.25">
      <c r="B13" s="10">
        <v>46018</v>
      </c>
      <c r="C13" s="11">
        <v>188380</v>
      </c>
      <c r="D13" s="11">
        <v>60000</v>
      </c>
      <c r="E13" s="11">
        <v>21300</v>
      </c>
      <c r="F13" s="11">
        <v>993850</v>
      </c>
      <c r="G13" s="11">
        <v>217210</v>
      </c>
      <c r="H13" s="11">
        <v>737940</v>
      </c>
      <c r="I13" s="16"/>
      <c r="J13" s="2" t="s">
        <v>126</v>
      </c>
    </row>
    <row r="14" spans="2:10" x14ac:dyDescent="0.25">
      <c r="B14" s="10">
        <v>46018</v>
      </c>
      <c r="C14" s="11">
        <v>188380</v>
      </c>
      <c r="D14" s="11">
        <v>60000</v>
      </c>
      <c r="E14" s="11">
        <v>21300</v>
      </c>
      <c r="F14" s="11">
        <v>1003850</v>
      </c>
      <c r="G14" s="11">
        <v>167210</v>
      </c>
      <c r="H14" s="11">
        <v>797940</v>
      </c>
      <c r="I14" s="16"/>
      <c r="J14" s="2" t="s">
        <v>127</v>
      </c>
    </row>
    <row r="15" spans="2:10" x14ac:dyDescent="0.25">
      <c r="B15" s="10">
        <v>46048</v>
      </c>
      <c r="C15" s="11">
        <v>188380</v>
      </c>
      <c r="D15" s="11">
        <v>60000</v>
      </c>
      <c r="E15" s="11">
        <v>21300</v>
      </c>
      <c r="F15" s="11">
        <v>1003850</v>
      </c>
      <c r="G15" s="11">
        <v>236510</v>
      </c>
      <c r="H15" s="11">
        <v>728640</v>
      </c>
      <c r="I15" s="16"/>
    </row>
    <row r="16" spans="2:10" x14ac:dyDescent="0.25">
      <c r="B16" s="10">
        <v>46048</v>
      </c>
      <c r="C16" s="11">
        <v>188380</v>
      </c>
      <c r="D16" s="11">
        <v>60000</v>
      </c>
      <c r="E16" s="11">
        <v>21300</v>
      </c>
      <c r="F16" s="11">
        <v>987650</v>
      </c>
      <c r="G16" s="11">
        <v>220310</v>
      </c>
      <c r="H16" s="11">
        <v>728640</v>
      </c>
      <c r="I16" s="16"/>
      <c r="J16" s="2" t="s">
        <v>128</v>
      </c>
    </row>
    <row r="17" spans="2:10" x14ac:dyDescent="0.25">
      <c r="B17" s="10">
        <v>46048</v>
      </c>
      <c r="C17" s="11">
        <v>188380</v>
      </c>
      <c r="D17" s="11">
        <f t="shared" ref="D17:D73" si="0">60000+60000-14650</f>
        <v>105350</v>
      </c>
      <c r="E17" s="11">
        <v>21300</v>
      </c>
      <c r="F17" s="11">
        <v>994900</v>
      </c>
      <c r="G17" s="11">
        <f>220310-38100</f>
        <v>182210</v>
      </c>
      <c r="H17" s="11">
        <v>728640</v>
      </c>
      <c r="I17" s="16"/>
      <c r="J17" s="2" t="s">
        <v>129</v>
      </c>
    </row>
    <row r="18" spans="2:10" x14ac:dyDescent="0.25">
      <c r="B18" s="10">
        <v>46061</v>
      </c>
      <c r="C18" s="11">
        <v>188380</v>
      </c>
      <c r="D18" s="11">
        <f t="shared" si="0"/>
        <v>105350</v>
      </c>
      <c r="E18" s="11">
        <v>21300</v>
      </c>
      <c r="F18" s="11">
        <v>994900</v>
      </c>
      <c r="G18" s="11">
        <v>192160</v>
      </c>
      <c r="H18" s="11">
        <v>718690</v>
      </c>
      <c r="I18" s="16"/>
    </row>
    <row r="19" spans="2:10" x14ac:dyDescent="0.25">
      <c r="B19" s="10">
        <v>46061</v>
      </c>
      <c r="C19" s="11">
        <v>188380</v>
      </c>
      <c r="D19" s="11">
        <f t="shared" si="0"/>
        <v>105350</v>
      </c>
      <c r="E19" s="11">
        <v>21300</v>
      </c>
      <c r="F19" s="11">
        <v>996800</v>
      </c>
      <c r="G19" s="11">
        <v>182160</v>
      </c>
      <c r="H19" s="11">
        <v>730590</v>
      </c>
      <c r="I19" s="16"/>
      <c r="J19" s="2" t="s">
        <v>130</v>
      </c>
    </row>
    <row r="20" spans="2:10" x14ac:dyDescent="0.25">
      <c r="B20" s="10">
        <v>46066</v>
      </c>
      <c r="C20" s="11">
        <v>188380</v>
      </c>
      <c r="D20" s="11">
        <f t="shared" si="0"/>
        <v>105350</v>
      </c>
      <c r="E20" s="11">
        <v>21300</v>
      </c>
      <c r="F20" s="11">
        <v>996800</v>
      </c>
      <c r="G20" s="11">
        <v>188660</v>
      </c>
      <c r="H20" s="11">
        <v>724090</v>
      </c>
      <c r="I20" s="16"/>
    </row>
    <row r="21" spans="2:10" x14ac:dyDescent="0.25">
      <c r="B21" s="10">
        <v>46066</v>
      </c>
      <c r="C21" s="11">
        <v>188380</v>
      </c>
      <c r="D21" s="11">
        <f t="shared" si="0"/>
        <v>105350</v>
      </c>
      <c r="E21" s="11">
        <v>21300</v>
      </c>
      <c r="F21" s="11">
        <v>996800</v>
      </c>
      <c r="G21" s="11">
        <v>375560</v>
      </c>
      <c r="H21" s="11">
        <v>537190</v>
      </c>
      <c r="I21" s="16"/>
    </row>
    <row r="22" spans="2:10" x14ac:dyDescent="0.25">
      <c r="B22" s="10">
        <v>46066</v>
      </c>
      <c r="C22" s="11">
        <v>188380</v>
      </c>
      <c r="D22" s="11">
        <f t="shared" si="0"/>
        <v>105350</v>
      </c>
      <c r="E22" s="11">
        <v>21300</v>
      </c>
      <c r="F22" s="11">
        <v>996800</v>
      </c>
      <c r="G22" s="11">
        <v>375560</v>
      </c>
      <c r="H22" s="11">
        <v>537190</v>
      </c>
      <c r="I22" s="16"/>
    </row>
    <row r="23" spans="2:10" x14ac:dyDescent="0.25">
      <c r="B23" s="10">
        <v>46066</v>
      </c>
      <c r="C23" s="11">
        <v>188380</v>
      </c>
      <c r="D23" s="11">
        <f t="shared" si="0"/>
        <v>105350</v>
      </c>
      <c r="E23" s="11">
        <v>21300</v>
      </c>
      <c r="F23" s="11">
        <v>996800</v>
      </c>
      <c r="G23" s="11">
        <v>185560</v>
      </c>
      <c r="H23" s="11">
        <v>727190</v>
      </c>
      <c r="I23" s="16"/>
      <c r="J23" s="2" t="s">
        <v>131</v>
      </c>
    </row>
    <row r="24" spans="2:10" x14ac:dyDescent="0.25">
      <c r="B24" s="10">
        <v>46073</v>
      </c>
      <c r="C24" s="11">
        <v>188380</v>
      </c>
      <c r="D24" s="11">
        <f t="shared" si="0"/>
        <v>105350</v>
      </c>
      <c r="E24" s="11">
        <v>21300</v>
      </c>
      <c r="F24" s="11">
        <v>984300</v>
      </c>
      <c r="G24" s="11">
        <v>173060</v>
      </c>
      <c r="H24" s="11">
        <v>727190</v>
      </c>
      <c r="I24" s="16"/>
      <c r="J24" s="2" t="s">
        <v>132</v>
      </c>
    </row>
    <row r="25" spans="2:10" x14ac:dyDescent="0.25">
      <c r="B25" s="10">
        <v>46082</v>
      </c>
      <c r="C25" s="11">
        <v>188380</v>
      </c>
      <c r="D25" s="11">
        <f t="shared" si="0"/>
        <v>105350</v>
      </c>
      <c r="E25" s="11">
        <v>21300</v>
      </c>
      <c r="F25" s="11">
        <v>984300</v>
      </c>
      <c r="G25" s="11">
        <v>227110</v>
      </c>
      <c r="H25" s="11">
        <v>673140</v>
      </c>
      <c r="I25" s="16"/>
    </row>
    <row r="26" spans="2:10" x14ac:dyDescent="0.25">
      <c r="B26" s="10">
        <v>46082</v>
      </c>
      <c r="C26" s="11">
        <v>188380</v>
      </c>
      <c r="D26" s="11">
        <f t="shared" si="0"/>
        <v>105350</v>
      </c>
      <c r="E26" s="11">
        <v>21300</v>
      </c>
      <c r="F26" s="11">
        <v>1003800</v>
      </c>
      <c r="G26" s="11">
        <v>127110</v>
      </c>
      <c r="H26" s="11">
        <v>792640</v>
      </c>
      <c r="I26" s="16"/>
      <c r="J26" s="2" t="s">
        <v>133</v>
      </c>
    </row>
    <row r="27" spans="2:10" x14ac:dyDescent="0.25">
      <c r="B27" s="10">
        <v>46087</v>
      </c>
      <c r="C27" s="11">
        <v>188380</v>
      </c>
      <c r="D27" s="11">
        <f t="shared" si="0"/>
        <v>105350</v>
      </c>
      <c r="E27" s="11">
        <v>21300</v>
      </c>
      <c r="F27" s="11">
        <v>1003800</v>
      </c>
      <c r="G27" s="11">
        <v>140610</v>
      </c>
      <c r="H27" s="11">
        <v>779140</v>
      </c>
      <c r="I27" s="16"/>
    </row>
    <row r="28" spans="2:10" x14ac:dyDescent="0.25">
      <c r="B28" s="10">
        <v>46087</v>
      </c>
      <c r="C28" s="11">
        <v>188380</v>
      </c>
      <c r="D28" s="11">
        <f t="shared" si="0"/>
        <v>105350</v>
      </c>
      <c r="E28" s="11">
        <v>21300</v>
      </c>
      <c r="F28" s="11">
        <v>1015800</v>
      </c>
      <c r="G28" s="11">
        <v>80610</v>
      </c>
      <c r="H28" s="11">
        <v>851140</v>
      </c>
      <c r="I28" s="16"/>
      <c r="J28" s="2" t="s">
        <v>134</v>
      </c>
    </row>
    <row r="29" spans="2:10" x14ac:dyDescent="0.25">
      <c r="B29" s="10">
        <v>46088</v>
      </c>
      <c r="C29" s="11">
        <v>188380</v>
      </c>
      <c r="D29" s="11">
        <f t="shared" si="0"/>
        <v>105350</v>
      </c>
      <c r="E29" s="11">
        <v>21300</v>
      </c>
      <c r="F29" s="11">
        <v>1015800</v>
      </c>
      <c r="G29" s="11">
        <v>92850</v>
      </c>
      <c r="H29" s="11">
        <v>838900</v>
      </c>
      <c r="I29" s="16"/>
    </row>
    <row r="30" spans="2:10" x14ac:dyDescent="0.25">
      <c r="B30" s="10">
        <v>46088</v>
      </c>
      <c r="C30" s="11">
        <v>188380</v>
      </c>
      <c r="D30" s="11">
        <f t="shared" si="0"/>
        <v>105350</v>
      </c>
      <c r="E30" s="11">
        <v>21300</v>
      </c>
      <c r="F30" s="11">
        <v>1042400</v>
      </c>
      <c r="G30" s="11">
        <v>-47150</v>
      </c>
      <c r="H30" s="11">
        <v>1005500</v>
      </c>
      <c r="I30" s="16"/>
      <c r="J30" s="2" t="s">
        <v>135</v>
      </c>
    </row>
    <row r="31" spans="2:10" x14ac:dyDescent="0.25">
      <c r="B31" s="10">
        <v>46089</v>
      </c>
      <c r="C31" s="11">
        <v>188380</v>
      </c>
      <c r="D31" s="11">
        <f t="shared" si="0"/>
        <v>105350</v>
      </c>
      <c r="E31" s="11">
        <v>21300</v>
      </c>
      <c r="F31" s="11">
        <v>1042400</v>
      </c>
      <c r="G31" s="11">
        <v>-42290</v>
      </c>
      <c r="H31" s="11">
        <v>1000640</v>
      </c>
      <c r="I31" s="16"/>
    </row>
    <row r="32" spans="2:10" x14ac:dyDescent="0.25">
      <c r="B32" s="10">
        <v>46089</v>
      </c>
      <c r="C32" s="11">
        <v>188380</v>
      </c>
      <c r="D32" s="11">
        <f t="shared" si="0"/>
        <v>105350</v>
      </c>
      <c r="E32" s="11">
        <v>21300</v>
      </c>
      <c r="F32" s="11">
        <v>1044400</v>
      </c>
      <c r="G32" s="11">
        <v>-52290</v>
      </c>
      <c r="H32" s="11">
        <v>1012640</v>
      </c>
      <c r="I32" s="16"/>
      <c r="J32" s="2" t="s">
        <v>136</v>
      </c>
    </row>
    <row r="33" spans="2:10" x14ac:dyDescent="0.25">
      <c r="B33" s="10">
        <v>46089</v>
      </c>
      <c r="C33" s="11">
        <v>188380</v>
      </c>
      <c r="D33" s="11">
        <f t="shared" si="0"/>
        <v>105350</v>
      </c>
      <c r="E33" s="11">
        <v>21300</v>
      </c>
      <c r="F33" s="11">
        <v>1044400</v>
      </c>
      <c r="G33" s="11">
        <v>-48670</v>
      </c>
      <c r="H33" s="11">
        <v>1009020</v>
      </c>
      <c r="I33" s="16"/>
    </row>
    <row r="34" spans="2:10" x14ac:dyDescent="0.25">
      <c r="B34" s="10">
        <v>46092</v>
      </c>
      <c r="C34" s="11">
        <v>188380</v>
      </c>
      <c r="D34" s="11">
        <f t="shared" si="0"/>
        <v>105350</v>
      </c>
      <c r="E34" s="11">
        <v>21300</v>
      </c>
      <c r="F34" s="11">
        <v>1048200</v>
      </c>
      <c r="G34" s="11">
        <v>-68670</v>
      </c>
      <c r="H34" s="11">
        <v>1032820</v>
      </c>
      <c r="I34" s="16"/>
      <c r="J34" s="2" t="s">
        <v>137</v>
      </c>
    </row>
    <row r="35" spans="2:10" x14ac:dyDescent="0.25">
      <c r="B35" s="10">
        <v>46094</v>
      </c>
      <c r="C35" s="11">
        <v>188380</v>
      </c>
      <c r="D35" s="11">
        <f t="shared" si="0"/>
        <v>105350</v>
      </c>
      <c r="E35" s="11">
        <v>21300</v>
      </c>
      <c r="F35" s="11">
        <v>1048200</v>
      </c>
      <c r="G35" s="11">
        <v>-55810</v>
      </c>
      <c r="H35" s="11">
        <v>1019960</v>
      </c>
      <c r="I35" s="16"/>
    </row>
    <row r="36" spans="2:10" x14ac:dyDescent="0.25">
      <c r="B36" s="10">
        <v>46094</v>
      </c>
      <c r="C36" s="11">
        <v>188380</v>
      </c>
      <c r="D36" s="11">
        <f t="shared" si="0"/>
        <v>105350</v>
      </c>
      <c r="E36" s="11">
        <v>21300</v>
      </c>
      <c r="F36" s="11">
        <v>1064400</v>
      </c>
      <c r="G36" s="11">
        <v>-140810</v>
      </c>
      <c r="H36" s="11">
        <v>1121160</v>
      </c>
      <c r="I36" s="16"/>
      <c r="J36" s="2" t="s">
        <v>143</v>
      </c>
    </row>
    <row r="37" spans="2:10" x14ac:dyDescent="0.25">
      <c r="B37" s="10">
        <v>46095</v>
      </c>
      <c r="C37" s="11">
        <v>188380</v>
      </c>
      <c r="D37" s="11">
        <f t="shared" si="0"/>
        <v>105350</v>
      </c>
      <c r="E37" s="11">
        <v>21300</v>
      </c>
      <c r="F37" s="11">
        <v>1064400</v>
      </c>
      <c r="G37" s="11">
        <v>-140400</v>
      </c>
      <c r="H37" s="11">
        <v>1120750</v>
      </c>
      <c r="I37" s="16"/>
    </row>
    <row r="38" spans="2:10" x14ac:dyDescent="0.25">
      <c r="B38" s="10">
        <v>46095</v>
      </c>
      <c r="C38" s="11">
        <v>188380</v>
      </c>
      <c r="D38" s="11">
        <f t="shared" si="0"/>
        <v>105350</v>
      </c>
      <c r="E38" s="11">
        <v>12000</v>
      </c>
      <c r="F38" s="11">
        <v>1064400</v>
      </c>
      <c r="G38" s="11">
        <v>-149700</v>
      </c>
      <c r="H38" s="11">
        <v>1120750</v>
      </c>
      <c r="I38" s="16"/>
      <c r="J38" s="2" t="s">
        <v>151</v>
      </c>
    </row>
    <row r="39" spans="2:10" x14ac:dyDescent="0.25">
      <c r="B39" s="10">
        <v>46095</v>
      </c>
      <c r="C39" s="11">
        <v>188380</v>
      </c>
      <c r="D39" s="11">
        <f t="shared" si="0"/>
        <v>105350</v>
      </c>
      <c r="E39" s="11">
        <f>130000+12000</f>
        <v>142000</v>
      </c>
      <c r="F39" s="11">
        <v>1064400</v>
      </c>
      <c r="G39" s="11">
        <v>-19700</v>
      </c>
      <c r="H39" s="11">
        <v>1120750</v>
      </c>
      <c r="I39" s="16"/>
    </row>
    <row r="40" spans="2:10" x14ac:dyDescent="0.25">
      <c r="B40" s="10">
        <v>46112</v>
      </c>
      <c r="C40" s="11">
        <v>188380</v>
      </c>
      <c r="D40" s="11">
        <f t="shared" si="0"/>
        <v>105350</v>
      </c>
      <c r="E40" s="11">
        <f>130000+12000</f>
        <v>142000</v>
      </c>
      <c r="F40" s="11">
        <v>1064400</v>
      </c>
      <c r="G40" s="11">
        <v>46300</v>
      </c>
      <c r="H40" s="11">
        <v>1054750</v>
      </c>
      <c r="I40" s="16"/>
      <c r="J40" s="2" t="s">
        <v>149</v>
      </c>
    </row>
    <row r="41" spans="2:10" x14ac:dyDescent="0.25">
      <c r="B41" s="10">
        <v>46112</v>
      </c>
      <c r="C41" s="11">
        <v>188380</v>
      </c>
      <c r="D41" s="11">
        <f t="shared" si="0"/>
        <v>105350</v>
      </c>
      <c r="E41" s="11">
        <f>130000+12000+10000</f>
        <v>152000</v>
      </c>
      <c r="F41" s="11">
        <v>1064400</v>
      </c>
      <c r="G41" s="11">
        <v>46300</v>
      </c>
      <c r="H41" s="11">
        <v>1064750</v>
      </c>
      <c r="I41" s="16"/>
      <c r="J41" s="2" t="s">
        <v>150</v>
      </c>
    </row>
    <row r="42" spans="2:10" x14ac:dyDescent="0.25">
      <c r="B42" s="10">
        <v>46112</v>
      </c>
      <c r="C42" s="11">
        <v>188380</v>
      </c>
      <c r="D42" s="11">
        <f t="shared" si="0"/>
        <v>105350</v>
      </c>
      <c r="E42" s="11">
        <f>130000+12000+10000+11500</f>
        <v>163500</v>
      </c>
      <c r="F42" s="11">
        <v>1052900</v>
      </c>
      <c r="G42" s="11">
        <v>46300</v>
      </c>
      <c r="H42" s="11">
        <v>1064750</v>
      </c>
      <c r="I42" s="16"/>
      <c r="J42" s="2" t="s">
        <v>152</v>
      </c>
    </row>
    <row r="43" spans="2:10" x14ac:dyDescent="0.25">
      <c r="B43" s="10">
        <v>46112</v>
      </c>
      <c r="C43" s="11">
        <v>188380</v>
      </c>
      <c r="D43" s="11">
        <f t="shared" si="0"/>
        <v>105350</v>
      </c>
      <c r="E43" s="11">
        <f>130000+12000+10000+11500</f>
        <v>163500</v>
      </c>
      <c r="F43" s="11">
        <v>1041900</v>
      </c>
      <c r="G43" s="11">
        <v>35300</v>
      </c>
      <c r="H43" s="11">
        <v>1064750</v>
      </c>
      <c r="I43" s="16"/>
      <c r="J43" s="2" t="s">
        <v>153</v>
      </c>
    </row>
    <row r="44" spans="2:10" x14ac:dyDescent="0.25">
      <c r="B44" s="10">
        <v>46112</v>
      </c>
      <c r="C44" s="11">
        <v>188380</v>
      </c>
      <c r="D44" s="11">
        <f t="shared" si="0"/>
        <v>105350</v>
      </c>
      <c r="E44" s="11">
        <f>130000+12000+10000+11500</f>
        <v>163500</v>
      </c>
      <c r="F44" s="11">
        <v>1041650</v>
      </c>
      <c r="G44" s="11">
        <v>35050</v>
      </c>
      <c r="H44" s="11">
        <v>1064750</v>
      </c>
      <c r="I44" s="16"/>
      <c r="J44" s="14" t="s">
        <v>154</v>
      </c>
    </row>
    <row r="45" spans="2:10" x14ac:dyDescent="0.25">
      <c r="B45" s="10">
        <v>46112</v>
      </c>
      <c r="C45" s="11">
        <v>188380</v>
      </c>
      <c r="D45" s="11">
        <f t="shared" si="0"/>
        <v>105350</v>
      </c>
      <c r="E45" s="11">
        <f>130000+12000+10000+11500-1300</f>
        <v>162200</v>
      </c>
      <c r="F45" s="11">
        <v>1041650</v>
      </c>
      <c r="G45" s="11">
        <v>33750</v>
      </c>
      <c r="H45" s="11">
        <v>1064750</v>
      </c>
      <c r="I45" s="16"/>
      <c r="J45" s="2" t="s">
        <v>155</v>
      </c>
    </row>
    <row r="46" spans="2:10" x14ac:dyDescent="0.25">
      <c r="B46" s="10">
        <v>46125</v>
      </c>
      <c r="C46" s="11">
        <v>188380</v>
      </c>
      <c r="D46" s="11">
        <f t="shared" si="0"/>
        <v>105350</v>
      </c>
      <c r="E46" s="11">
        <f>130000+12000+10000+11500-1300</f>
        <v>162200</v>
      </c>
      <c r="F46" s="11">
        <v>1041650</v>
      </c>
      <c r="G46" s="11">
        <v>73050</v>
      </c>
      <c r="H46" s="11">
        <v>1025450</v>
      </c>
      <c r="I46" s="16"/>
    </row>
    <row r="47" spans="2:10" x14ac:dyDescent="0.25">
      <c r="B47" s="10">
        <v>46125</v>
      </c>
      <c r="C47" s="11">
        <v>188380</v>
      </c>
      <c r="D47" s="11">
        <f t="shared" si="0"/>
        <v>105350</v>
      </c>
      <c r="E47" s="11">
        <f>130000+12000+10000+11500-1300</f>
        <v>162200</v>
      </c>
      <c r="F47" s="11">
        <v>1043550</v>
      </c>
      <c r="G47" s="11">
        <v>63050</v>
      </c>
      <c r="H47" s="11">
        <v>1037350</v>
      </c>
      <c r="I47" s="16"/>
      <c r="J47" s="2" t="s">
        <v>156</v>
      </c>
    </row>
    <row r="48" spans="2:10" ht="16.5" customHeight="1" x14ac:dyDescent="0.25">
      <c r="B48" s="10">
        <v>46129</v>
      </c>
      <c r="C48" s="11">
        <v>188380</v>
      </c>
      <c r="D48" s="11">
        <f t="shared" si="0"/>
        <v>105350</v>
      </c>
      <c r="E48" s="11">
        <f>130000+12000+10000+11500-1300</f>
        <v>162200</v>
      </c>
      <c r="F48" s="11">
        <v>1043550</v>
      </c>
      <c r="G48" s="11">
        <v>76900</v>
      </c>
      <c r="H48" s="11">
        <v>1023500</v>
      </c>
      <c r="I48" s="16"/>
    </row>
    <row r="49" spans="2:10" x14ac:dyDescent="0.25">
      <c r="B49" s="10">
        <v>46129</v>
      </c>
      <c r="C49" s="11">
        <v>188380</v>
      </c>
      <c r="D49" s="11">
        <f t="shared" si="0"/>
        <v>105350</v>
      </c>
      <c r="E49" s="11">
        <f>130000+12000+10000+11500-1300</f>
        <v>162200</v>
      </c>
      <c r="F49" s="11">
        <v>1035450</v>
      </c>
      <c r="G49" s="11">
        <v>68800</v>
      </c>
      <c r="H49" s="11">
        <v>1023500</v>
      </c>
      <c r="I49" s="16"/>
      <c r="J49" s="2" t="s">
        <v>157</v>
      </c>
    </row>
    <row r="50" spans="2:10" x14ac:dyDescent="0.25">
      <c r="B50" s="10">
        <v>46129</v>
      </c>
      <c r="C50" s="11">
        <v>188380</v>
      </c>
      <c r="D50" s="11">
        <f t="shared" si="0"/>
        <v>105350</v>
      </c>
      <c r="E50" s="11">
        <v>242200</v>
      </c>
      <c r="F50" s="11">
        <v>1035450</v>
      </c>
      <c r="G50" s="11">
        <v>148800</v>
      </c>
      <c r="H50" s="11">
        <v>1023500</v>
      </c>
      <c r="I50" s="16"/>
      <c r="J50" s="2" t="s">
        <v>158</v>
      </c>
    </row>
    <row r="51" spans="2:10" x14ac:dyDescent="0.25">
      <c r="B51" s="10">
        <v>46129</v>
      </c>
      <c r="C51" s="11">
        <v>188380</v>
      </c>
      <c r="D51" s="11">
        <f t="shared" si="0"/>
        <v>105350</v>
      </c>
      <c r="E51" s="11">
        <f t="shared" ref="E51:E62" si="1">10200+12000+80000</f>
        <v>102200</v>
      </c>
      <c r="F51" s="11">
        <v>1035450</v>
      </c>
      <c r="G51" s="11">
        <v>8800</v>
      </c>
      <c r="H51" s="11">
        <v>1023500</v>
      </c>
      <c r="I51" s="16"/>
    </row>
    <row r="52" spans="2:10" x14ac:dyDescent="0.25">
      <c r="B52" s="10">
        <v>46144</v>
      </c>
      <c r="C52" s="11">
        <v>188380</v>
      </c>
      <c r="D52" s="11">
        <f t="shared" si="0"/>
        <v>105350</v>
      </c>
      <c r="E52" s="11">
        <f t="shared" si="1"/>
        <v>102200</v>
      </c>
      <c r="F52" s="11">
        <v>1035450</v>
      </c>
      <c r="G52" s="11">
        <v>58600</v>
      </c>
      <c r="H52" s="11">
        <v>973700</v>
      </c>
      <c r="I52" s="16"/>
    </row>
    <row r="53" spans="2:10" x14ac:dyDescent="0.25">
      <c r="B53" s="10">
        <v>46144</v>
      </c>
      <c r="C53" s="11">
        <v>188380</v>
      </c>
      <c r="D53" s="11">
        <f t="shared" si="0"/>
        <v>105350</v>
      </c>
      <c r="E53" s="11">
        <f t="shared" si="1"/>
        <v>102200</v>
      </c>
      <c r="F53" s="11">
        <v>1017950</v>
      </c>
      <c r="G53" s="11">
        <v>41100</v>
      </c>
      <c r="H53" s="11">
        <v>973700</v>
      </c>
      <c r="I53" s="16"/>
      <c r="J53" s="2" t="s">
        <v>159</v>
      </c>
    </row>
    <row r="54" spans="2:10" x14ac:dyDescent="0.25">
      <c r="B54" s="10">
        <v>46145</v>
      </c>
      <c r="C54" s="11">
        <v>188380</v>
      </c>
      <c r="D54" s="11">
        <f t="shared" si="0"/>
        <v>105350</v>
      </c>
      <c r="E54" s="11">
        <f t="shared" si="1"/>
        <v>102200</v>
      </c>
      <c r="F54" s="11">
        <v>1021750</v>
      </c>
      <c r="G54" s="11">
        <v>21100</v>
      </c>
      <c r="H54" s="11">
        <v>997500</v>
      </c>
      <c r="I54" s="16"/>
      <c r="J54" s="2" t="s">
        <v>160</v>
      </c>
    </row>
    <row r="55" spans="2:10" x14ac:dyDescent="0.25">
      <c r="B55" s="10">
        <v>46148</v>
      </c>
      <c r="C55" s="11">
        <v>188380</v>
      </c>
      <c r="D55" s="11">
        <f t="shared" si="0"/>
        <v>105350</v>
      </c>
      <c r="E55" s="11">
        <f t="shared" si="1"/>
        <v>102200</v>
      </c>
      <c r="F55" s="11">
        <v>1021750</v>
      </c>
      <c r="G55" s="11">
        <v>28100</v>
      </c>
      <c r="H55" s="11">
        <v>990500</v>
      </c>
      <c r="I55" s="16"/>
    </row>
    <row r="56" spans="2:10" x14ac:dyDescent="0.25">
      <c r="B56" s="10">
        <v>46148</v>
      </c>
      <c r="C56" s="11">
        <v>188380</v>
      </c>
      <c r="D56" s="11">
        <f t="shared" si="0"/>
        <v>105350</v>
      </c>
      <c r="E56" s="11">
        <f t="shared" si="1"/>
        <v>102200</v>
      </c>
      <c r="F56" s="11">
        <v>1025550</v>
      </c>
      <c r="G56" s="11">
        <v>8100</v>
      </c>
      <c r="H56" s="11">
        <v>1014300</v>
      </c>
      <c r="I56" s="16"/>
    </row>
    <row r="57" spans="2:10" x14ac:dyDescent="0.25">
      <c r="B57" s="10">
        <v>46148</v>
      </c>
      <c r="C57" s="11">
        <v>188380</v>
      </c>
      <c r="D57" s="11">
        <f t="shared" si="0"/>
        <v>105350</v>
      </c>
      <c r="E57" s="11">
        <f t="shared" si="1"/>
        <v>102200</v>
      </c>
      <c r="F57" s="11">
        <v>1025550</v>
      </c>
      <c r="G57" s="11">
        <v>28800</v>
      </c>
      <c r="H57" s="11">
        <v>993600</v>
      </c>
      <c r="I57" s="16"/>
    </row>
    <row r="58" spans="2:10" x14ac:dyDescent="0.25">
      <c r="B58" s="10">
        <v>46150</v>
      </c>
      <c r="C58" s="11">
        <v>188380</v>
      </c>
      <c r="D58" s="11">
        <f t="shared" si="0"/>
        <v>105350</v>
      </c>
      <c r="E58" s="11">
        <f t="shared" si="1"/>
        <v>102200</v>
      </c>
      <c r="F58" s="11">
        <v>1029350</v>
      </c>
      <c r="G58" s="11">
        <v>8800</v>
      </c>
      <c r="H58" s="11">
        <v>1017400</v>
      </c>
      <c r="I58" s="16"/>
      <c r="J58" s="2" t="s">
        <v>162</v>
      </c>
    </row>
    <row r="59" spans="2:10" x14ac:dyDescent="0.25">
      <c r="B59" s="10">
        <v>46157</v>
      </c>
      <c r="C59" s="11">
        <v>188380</v>
      </c>
      <c r="D59" s="11">
        <f t="shared" si="0"/>
        <v>105350</v>
      </c>
      <c r="E59" s="11">
        <f t="shared" si="1"/>
        <v>102200</v>
      </c>
      <c r="F59" s="11">
        <v>1029550</v>
      </c>
      <c r="G59" s="11">
        <v>47400</v>
      </c>
      <c r="H59" s="11">
        <v>979000</v>
      </c>
      <c r="I59" s="16"/>
    </row>
    <row r="60" spans="2:10" x14ac:dyDescent="0.25">
      <c r="B60" s="10">
        <v>46157</v>
      </c>
      <c r="C60" s="11">
        <v>188380</v>
      </c>
      <c r="D60" s="11">
        <f t="shared" si="0"/>
        <v>105350</v>
      </c>
      <c r="E60" s="11">
        <f t="shared" si="1"/>
        <v>102200</v>
      </c>
      <c r="F60" s="11">
        <v>1013050</v>
      </c>
      <c r="G60" s="11">
        <v>30900</v>
      </c>
      <c r="H60" s="11">
        <v>979000</v>
      </c>
      <c r="I60" s="16"/>
      <c r="J60" s="2" t="s">
        <v>161</v>
      </c>
    </row>
    <row r="61" spans="2:10" x14ac:dyDescent="0.25">
      <c r="B61" s="10">
        <v>46157</v>
      </c>
      <c r="C61" s="11">
        <v>188380</v>
      </c>
      <c r="D61" s="11">
        <f t="shared" si="0"/>
        <v>105350</v>
      </c>
      <c r="E61" s="11">
        <f t="shared" si="1"/>
        <v>102200</v>
      </c>
      <c r="F61" s="11">
        <v>1013050</v>
      </c>
      <c r="G61" s="11">
        <v>20900</v>
      </c>
      <c r="H61" s="11">
        <v>989000</v>
      </c>
      <c r="I61" s="16"/>
      <c r="J61" s="2" t="s">
        <v>163</v>
      </c>
    </row>
    <row r="62" spans="2:10" x14ac:dyDescent="0.25">
      <c r="B62" s="10">
        <v>46169</v>
      </c>
      <c r="C62" s="11">
        <v>188380</v>
      </c>
      <c r="D62" s="11">
        <f t="shared" si="0"/>
        <v>105350</v>
      </c>
      <c r="E62" s="11">
        <f t="shared" si="1"/>
        <v>102200</v>
      </c>
      <c r="F62" s="11">
        <v>1013050</v>
      </c>
      <c r="G62" s="11">
        <v>63800</v>
      </c>
      <c r="H62" s="11">
        <v>946100</v>
      </c>
      <c r="I62" s="16"/>
    </row>
    <row r="63" spans="2:10" x14ac:dyDescent="0.25">
      <c r="B63" s="10">
        <v>46169</v>
      </c>
      <c r="C63" s="11">
        <v>188380</v>
      </c>
      <c r="D63" s="11">
        <f t="shared" si="0"/>
        <v>105350</v>
      </c>
      <c r="E63" s="11">
        <f t="shared" ref="E63:E73" si="2">10200+10000+80000</f>
        <v>100200</v>
      </c>
      <c r="F63" s="11">
        <v>985550</v>
      </c>
      <c r="G63" s="11">
        <v>34300</v>
      </c>
      <c r="H63" s="11">
        <v>946100</v>
      </c>
      <c r="I63" s="16"/>
      <c r="J63" s="2" t="s">
        <v>164</v>
      </c>
    </row>
    <row r="64" spans="2:10" x14ac:dyDescent="0.25">
      <c r="B64" s="10">
        <v>46169</v>
      </c>
      <c r="C64" s="11">
        <v>188380</v>
      </c>
      <c r="D64" s="11">
        <f t="shared" si="0"/>
        <v>105350</v>
      </c>
      <c r="E64" s="11">
        <f t="shared" si="2"/>
        <v>100200</v>
      </c>
      <c r="F64" s="11">
        <v>987550</v>
      </c>
      <c r="G64" s="11">
        <v>24300</v>
      </c>
      <c r="H64" s="11">
        <v>958100</v>
      </c>
      <c r="I64" s="16"/>
      <c r="J64" s="2" t="s">
        <v>165</v>
      </c>
    </row>
    <row r="65" spans="2:10" x14ac:dyDescent="0.25">
      <c r="B65" s="10">
        <v>46171</v>
      </c>
      <c r="C65" s="11">
        <v>188380</v>
      </c>
      <c r="D65" s="11">
        <f t="shared" si="0"/>
        <v>105350</v>
      </c>
      <c r="E65" s="11">
        <f t="shared" si="2"/>
        <v>100200</v>
      </c>
      <c r="F65" s="11">
        <v>987550</v>
      </c>
      <c r="G65" s="11">
        <v>52700</v>
      </c>
      <c r="H65" s="11">
        <v>929700</v>
      </c>
      <c r="I65" s="16"/>
      <c r="J65" s="2" t="s">
        <v>166</v>
      </c>
    </row>
    <row r="66" spans="2:10" x14ac:dyDescent="0.25">
      <c r="B66" s="10">
        <v>46171</v>
      </c>
      <c r="C66" s="11">
        <v>188380</v>
      </c>
      <c r="D66" s="11">
        <f t="shared" si="0"/>
        <v>105350</v>
      </c>
      <c r="E66" s="11">
        <f t="shared" si="2"/>
        <v>100200</v>
      </c>
      <c r="F66" s="11">
        <v>993250</v>
      </c>
      <c r="G66" s="11">
        <v>22700</v>
      </c>
      <c r="H66" s="11">
        <v>965400</v>
      </c>
      <c r="I66" s="16"/>
      <c r="J66" s="2" t="s">
        <v>167</v>
      </c>
    </row>
    <row r="67" spans="2:10" x14ac:dyDescent="0.25">
      <c r="B67" s="10">
        <v>46171</v>
      </c>
      <c r="C67" s="11">
        <v>188380</v>
      </c>
      <c r="D67" s="11">
        <f t="shared" si="0"/>
        <v>105350</v>
      </c>
      <c r="E67" s="11">
        <f t="shared" si="2"/>
        <v>100200</v>
      </c>
      <c r="F67" s="11">
        <v>988250</v>
      </c>
      <c r="G67" s="11">
        <v>17700</v>
      </c>
      <c r="H67" s="11">
        <v>965400</v>
      </c>
      <c r="I67" s="16"/>
      <c r="J67" s="2" t="s">
        <v>168</v>
      </c>
    </row>
    <row r="68" spans="2:10" x14ac:dyDescent="0.25">
      <c r="B68" s="10">
        <v>46173</v>
      </c>
      <c r="C68" s="11">
        <v>188380</v>
      </c>
      <c r="D68" s="11">
        <f t="shared" si="0"/>
        <v>105350</v>
      </c>
      <c r="E68" s="11">
        <f t="shared" si="2"/>
        <v>100200</v>
      </c>
      <c r="F68" s="11">
        <v>988250</v>
      </c>
      <c r="G68" s="11">
        <v>65100</v>
      </c>
      <c r="H68" s="11">
        <v>918000</v>
      </c>
      <c r="I68" s="16"/>
    </row>
    <row r="69" spans="2:10" x14ac:dyDescent="0.25">
      <c r="B69" s="10">
        <v>46173</v>
      </c>
      <c r="C69" s="11">
        <v>188380</v>
      </c>
      <c r="D69" s="11">
        <f t="shared" si="0"/>
        <v>105350</v>
      </c>
      <c r="E69" s="11">
        <f t="shared" si="2"/>
        <v>100200</v>
      </c>
      <c r="F69" s="11">
        <v>996450</v>
      </c>
      <c r="G69" s="11">
        <v>22100</v>
      </c>
      <c r="H69" s="11">
        <v>969200</v>
      </c>
      <c r="I69" s="16"/>
      <c r="J69" s="2" t="s">
        <v>169</v>
      </c>
    </row>
    <row r="70" spans="2:10" x14ac:dyDescent="0.25">
      <c r="B70" s="10">
        <v>46176</v>
      </c>
      <c r="C70" s="11">
        <v>188380</v>
      </c>
      <c r="D70" s="11">
        <f t="shared" si="0"/>
        <v>105350</v>
      </c>
      <c r="E70" s="11">
        <f t="shared" si="2"/>
        <v>100200</v>
      </c>
      <c r="F70" s="11">
        <v>996450</v>
      </c>
      <c r="G70" s="11">
        <v>32990</v>
      </c>
      <c r="H70" s="11">
        <v>958310</v>
      </c>
      <c r="I70" s="16"/>
    </row>
    <row r="71" spans="2:10" x14ac:dyDescent="0.25">
      <c r="B71" s="10">
        <v>46176</v>
      </c>
      <c r="C71" s="11">
        <v>188380</v>
      </c>
      <c r="D71" s="11">
        <f t="shared" si="0"/>
        <v>105350</v>
      </c>
      <c r="E71" s="11">
        <f t="shared" si="2"/>
        <v>100200</v>
      </c>
      <c r="F71" s="11">
        <v>998450</v>
      </c>
      <c r="G71" s="11">
        <v>22990</v>
      </c>
      <c r="H71" s="11">
        <v>970310</v>
      </c>
      <c r="I71" s="16"/>
      <c r="J71" s="2" t="s">
        <v>170</v>
      </c>
    </row>
    <row r="72" spans="2:10" x14ac:dyDescent="0.25">
      <c r="B72" s="10">
        <v>46177</v>
      </c>
      <c r="C72" s="11">
        <v>188380</v>
      </c>
      <c r="D72" s="11">
        <f t="shared" si="0"/>
        <v>105350</v>
      </c>
      <c r="E72" s="11">
        <f t="shared" si="2"/>
        <v>100200</v>
      </c>
      <c r="F72" s="11">
        <v>998450</v>
      </c>
      <c r="G72" s="11">
        <v>29670</v>
      </c>
      <c r="H72" s="11">
        <v>963630</v>
      </c>
      <c r="I72" s="16"/>
    </row>
    <row r="73" spans="2:10" x14ac:dyDescent="0.25">
      <c r="B73" s="10">
        <v>46177</v>
      </c>
      <c r="C73" s="11">
        <v>188380</v>
      </c>
      <c r="D73" s="11">
        <f t="shared" si="0"/>
        <v>105350</v>
      </c>
      <c r="E73" s="11">
        <f t="shared" si="2"/>
        <v>100200</v>
      </c>
      <c r="F73" s="11">
        <v>1000450</v>
      </c>
      <c r="G73" s="11">
        <v>19670</v>
      </c>
      <c r="H73" s="11">
        <v>975630</v>
      </c>
      <c r="I73" s="16"/>
      <c r="J73" s="2" t="s">
        <v>99</v>
      </c>
    </row>
    <row r="74" spans="2:10" x14ac:dyDescent="0.25">
      <c r="B74" s="10"/>
      <c r="C74" s="11"/>
      <c r="D74" s="11"/>
      <c r="E74" s="11"/>
      <c r="F74" s="11"/>
      <c r="G74" s="11"/>
      <c r="H74" s="11"/>
      <c r="I74" s="16"/>
    </row>
    <row r="75" spans="2:10" x14ac:dyDescent="0.25">
      <c r="B75" s="10"/>
      <c r="C75" s="11"/>
      <c r="D75" s="11"/>
      <c r="E75" s="11"/>
      <c r="F75" s="11"/>
      <c r="G75" s="11"/>
      <c r="H75" s="11"/>
      <c r="I75" s="16"/>
    </row>
    <row r="76" spans="2:10" x14ac:dyDescent="0.25">
      <c r="B76" s="10"/>
      <c r="C76" s="11"/>
      <c r="D76" s="11"/>
      <c r="E76" s="11"/>
      <c r="F76" s="11"/>
      <c r="G76" s="11"/>
      <c r="H76" s="11"/>
      <c r="I76" s="16"/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26"/>
  <sheetViews>
    <sheetView topLeftCell="A7" workbookViewId="0">
      <selection activeCell="H18" sqref="H18"/>
    </sheetView>
  </sheetViews>
  <sheetFormatPr defaultRowHeight="15" x14ac:dyDescent="0.25"/>
  <sheetData>
    <row r="3" spans="1:9" x14ac:dyDescent="0.25">
      <c r="B3" t="s">
        <v>138</v>
      </c>
    </row>
    <row r="4" spans="1:9" x14ac:dyDescent="0.25">
      <c r="A4" s="18">
        <v>46090</v>
      </c>
      <c r="B4">
        <v>20000</v>
      </c>
      <c r="C4" t="s">
        <v>139</v>
      </c>
    </row>
    <row r="5" spans="1:9" x14ac:dyDescent="0.25">
      <c r="A5" s="18">
        <v>46092</v>
      </c>
      <c r="B5">
        <v>20000</v>
      </c>
      <c r="C5" t="s">
        <v>139</v>
      </c>
    </row>
    <row r="6" spans="1:9" x14ac:dyDescent="0.25">
      <c r="A6" s="18">
        <v>46092</v>
      </c>
      <c r="B6" s="19">
        <v>10000</v>
      </c>
      <c r="C6" s="19" t="s">
        <v>140</v>
      </c>
      <c r="D6" s="19"/>
      <c r="E6" s="19"/>
    </row>
    <row r="7" spans="1:9" x14ac:dyDescent="0.25">
      <c r="A7" s="18">
        <v>46092</v>
      </c>
      <c r="B7">
        <v>2500</v>
      </c>
      <c r="C7" t="s">
        <v>141</v>
      </c>
    </row>
    <row r="8" spans="1:9" x14ac:dyDescent="0.25">
      <c r="A8" s="18">
        <v>46093</v>
      </c>
      <c r="B8">
        <v>7500</v>
      </c>
      <c r="C8" t="s">
        <v>142</v>
      </c>
    </row>
    <row r="9" spans="1:9" x14ac:dyDescent="0.25">
      <c r="A9" s="18">
        <v>46094</v>
      </c>
      <c r="B9">
        <v>70000</v>
      </c>
      <c r="C9" t="s">
        <v>139</v>
      </c>
    </row>
    <row r="10" spans="1:9" x14ac:dyDescent="0.25">
      <c r="A10" s="18">
        <v>46096</v>
      </c>
      <c r="B10">
        <v>11500</v>
      </c>
      <c r="C10" t="s">
        <v>144</v>
      </c>
    </row>
    <row r="11" spans="1:9" x14ac:dyDescent="0.25">
      <c r="A11" s="18">
        <v>46099</v>
      </c>
      <c r="B11">
        <v>5000</v>
      </c>
      <c r="C11" t="s">
        <v>145</v>
      </c>
    </row>
    <row r="12" spans="1:9" x14ac:dyDescent="0.25">
      <c r="A12" s="18">
        <v>46103</v>
      </c>
      <c r="B12">
        <v>10000</v>
      </c>
      <c r="C12" t="s">
        <v>148</v>
      </c>
    </row>
    <row r="13" spans="1:9" x14ac:dyDescent="0.25">
      <c r="A13" s="18"/>
    </row>
    <row r="14" spans="1:9" x14ac:dyDescent="0.25">
      <c r="A14" s="18"/>
    </row>
    <row r="15" spans="1:9" x14ac:dyDescent="0.25">
      <c r="G15" s="18">
        <v>46099</v>
      </c>
      <c r="H15">
        <v>4000</v>
      </c>
      <c r="I15" t="s">
        <v>146</v>
      </c>
    </row>
    <row r="16" spans="1:9" x14ac:dyDescent="0.25">
      <c r="B16">
        <f>SUM(B4:B15)</f>
        <v>156500</v>
      </c>
      <c r="G16" s="18">
        <v>46103</v>
      </c>
      <c r="H16">
        <v>11000</v>
      </c>
      <c r="I16" t="s">
        <v>147</v>
      </c>
    </row>
    <row r="19" spans="2:2" x14ac:dyDescent="0.25">
      <c r="B19" s="19"/>
    </row>
    <row r="20" spans="2:2" x14ac:dyDescent="0.25">
      <c r="B20" s="19"/>
    </row>
    <row r="22" spans="2:2" x14ac:dyDescent="0.25">
      <c r="B22" s="19"/>
    </row>
    <row r="24" spans="2:2" x14ac:dyDescent="0.25">
      <c r="B24" s="19"/>
    </row>
    <row r="26" spans="2:2" x14ac:dyDescent="0.25">
      <c r="B26" s="1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2023TrendAnalysis</vt:lpstr>
      <vt:lpstr>2025TrendAnalysis</vt:lpstr>
      <vt:lpstr>2026TrendAnalysis</vt:lpstr>
      <vt:lpstr>trackingonline transaction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2026-06-05T04:24:04Z</dcterms:modified>
</cp:coreProperties>
</file>