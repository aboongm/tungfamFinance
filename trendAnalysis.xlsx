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firstSheet="1" activeTab="1"/>
  </bookViews>
  <sheets>
    <sheet name="2023TrendAnalysis" sheetId="15" r:id="rId1"/>
    <sheet name="2025TrendAnalysis" sheetId="16" r:id="rId2"/>
  </sheets>
  <calcPr calcId="162913" iterateDelta="1E-4"/>
</workbook>
</file>

<file path=xl/calcChain.xml><?xml version="1.0" encoding="utf-8"?>
<calcChain xmlns="http://schemas.openxmlformats.org/spreadsheetml/2006/main">
  <c r="F126" i="16" l="1"/>
  <c r="G126" i="16"/>
  <c r="F125" i="16"/>
  <c r="E136" i="16"/>
  <c r="E135" i="16" l="1"/>
  <c r="E137" i="16"/>
  <c r="E134" i="16"/>
  <c r="E133" i="16"/>
  <c r="F124" i="16" l="1"/>
  <c r="F123" i="16" l="1"/>
  <c r="G123" i="16"/>
  <c r="F93" i="16" l="1"/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<sst xmlns="http://schemas.openxmlformats.org/spreadsheetml/2006/main" count="145" uniqueCount="116">
  <si>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</si>
  <si>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</si>
  <si>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</si>
  <si>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</si>
  <si>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</si>
  <si>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</si>
  <si>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</si>
  <si>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</si>
  <si>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</si>
  <si>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</si>
  <si>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</si>
  <si>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</si>
  <si>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</si>
  <si>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</si>
  <si>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</si>
  <si>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</si>
  <si>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</si>
  <si>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</si>
  <si>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</si>
  <si>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</si>
  <si>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</si>
  <si>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</si>
  <si>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</si>
  <si>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</si>
  <si>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</si>
  <si>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</si>
  <si>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</si>
  <si>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</si>
  <si>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</si>
  <si>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</si>
  <si>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</si>
  <si>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</si>
  <si>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</si>
  <si>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</si>
  <si>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</si>
  <si>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</si>
  <si>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</si>
  <si>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</si>
  <si>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</si>
  <si>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</si>
  <si>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</si>
  <si>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</si>
  <si>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</si>
  <si>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</si>
  <si>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</si>
  <si>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</si>
  <si>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</si>
  <si>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</si>
  <si>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</si>
  <si>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</si>
  <si>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</si>
  <si>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</si>
  <si>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</si>
  <si>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</si>
  <si>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</si>
  <si>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</si>
  <si>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</si>
  <si>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</si>
  <si>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</si>
  <si>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</si>
  <si>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</si>
  <si>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</si>
  <si>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</si>
  <si>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</si>
  <si>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</si>
  <si>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</si>
  <si>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</si>
  <si>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</si>
  <si>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</si>
  <si>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</si>
  <si>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</si>
  <si>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</si>
  <si>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</si>
  <si>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</si>
  <si>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</si>
  <si>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</si>
  <si>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</si>
  <si>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</si>
  <si>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</si>
  <si>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</si>
  <si>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</si>
  <si>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</si>
  <si>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</si>
  <si>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</si>
  <si>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</si>
  <si>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</si>
  <si>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</si>
  <si>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</si>
  <si>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</si>
  <si>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</si>
  <si>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</si>
  <si>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</si>
  <si>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</si>
  <si>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</si>
  <si>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</si>
  <si>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</si>
  <si>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</si>
  <si>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</si>
  <si>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</si>
  <si>
    <t>loan pratima 10000</t>
  </si>
  <si>
    <t>loan kamala 40000</t>
  </si>
  <si>
    <t>loan renita 15000</t>
  </si>
  <si>
    <t>loan kiranmala 10000, dinita 10000 , sandhyarani 10000</t>
  </si>
  <si>
    <t>bomcha 6500, wangkhei 6000</t>
  </si>
  <si>
    <t>loan achoubi 20000, naocha 10000</t>
  </si>
  <si>
    <t>loan thasana 5000</t>
  </si>
  <si>
    <t>loan thasana added 5000</t>
  </si>
  <si>
    <t>loan indulekha 20000</t>
  </si>
  <si>
    <t>loan sweety 20000</t>
  </si>
  <si>
    <t>loan bidyapati 10000</t>
  </si>
  <si>
    <t>marup 6000+6500+500floodcharity</t>
  </si>
  <si>
    <t>narmada loan 20000</t>
  </si>
  <si>
    <t>rambhabati and sunanda loan adjustment</t>
  </si>
  <si>
    <t>loan jameson and group 50000</t>
  </si>
  <si>
    <t>marup 12500added 1000 frpm rambhabati</t>
  </si>
  <si>
    <t>loan pratima 15000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</si>
</sst>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  <numFmt numFmtId="166" formatCode="_ [$₹-4009]\ * #,##0.00_ ;_ [$₹-4009]\ * \-#,##0.00_ ;_ [$₹-4009]\ * &quot;-&quot;??_ ;_ @_ 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9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0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4" fontId="2" fillId="3" borderId="2" xfId="1" applyFont="1" applyFill="1" applyBorder="1" applyAlignment="1">
      <alignment horizontal="center" vertical="center"/>
    </xf>
    <xf numFmtId="166" fontId="3" fillId="5" borderId="7" xfId="0" applyNumberFormat="1" applyFont="1" applyFill="1" applyBorder="1" applyAlignment="1">
      <alignment vertical="center"/>
    </xf>
    <xf numFmtId="166" fontId="3" fillId="5" borderId="8" xfId="0" applyNumberFormat="1" applyFont="1" applyFill="1" applyBorder="1" applyAlignment="1">
      <alignment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137"/>
  <sheetViews>
    <sheetView tabSelected="1" topLeftCell="A121" workbookViewId="0">
      <selection activeCell="G134" sqref="G134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0">
        <v>45718</v>
      </c>
      <c r="C46" s="11">
        <v>188380</v>
      </c>
      <c r="D46" s="11">
        <v>60000</v>
      </c>
      <c r="E46" s="11">
        <v>21300</v>
      </c>
      <c r="F46" s="11">
        <v>840450</v>
      </c>
      <c r="G46" s="11">
        <v>47350</v>
      </c>
      <c r="H46" s="11">
        <v>754400</v>
      </c>
      <c r="I46" s="16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8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7">
        <v>107000</v>
      </c>
      <c r="H91" s="11">
        <v>841800</v>
      </c>
      <c r="I91" s="16"/>
      <c r="J91" s="15" t="s">
        <v>98</v>
      </c>
    </row>
    <row r="92" spans="2:10" ht="18" customHeight="1" x14ac:dyDescent="0.25">
      <c r="B92" s="10">
        <v>45859</v>
      </c>
      <c r="C92" s="11">
        <v>188380</v>
      </c>
      <c r="D92" s="11">
        <v>60000</v>
      </c>
      <c r="E92" s="11">
        <v>21300</v>
      </c>
      <c r="F92" s="11">
        <v>987500</v>
      </c>
      <c r="G92" s="17">
        <v>127700</v>
      </c>
      <c r="H92" s="11">
        <v>821100</v>
      </c>
      <c r="I92" s="16"/>
      <c r="J92" s="15"/>
    </row>
    <row r="93" spans="2:10" ht="18" customHeight="1" x14ac:dyDescent="0.25">
      <c r="B93" s="10">
        <v>45859</v>
      </c>
      <c r="C93" s="11">
        <v>188380</v>
      </c>
      <c r="D93" s="11">
        <v>60000</v>
      </c>
      <c r="E93" s="11">
        <v>21300</v>
      </c>
      <c r="F93" s="11">
        <f>987500-6000</f>
        <v>981500</v>
      </c>
      <c r="G93" s="17">
        <v>121700</v>
      </c>
      <c r="H93" s="11">
        <v>821100</v>
      </c>
      <c r="I93" s="16"/>
      <c r="J93" s="15" t="s">
        <v>91</v>
      </c>
    </row>
    <row r="94" spans="2:10" ht="18" customHeight="1" x14ac:dyDescent="0.25">
      <c r="B94" s="10">
        <v>45859</v>
      </c>
      <c r="C94" s="11">
        <v>188380</v>
      </c>
      <c r="D94" s="11">
        <v>60000</v>
      </c>
      <c r="E94" s="11">
        <v>21300</v>
      </c>
      <c r="F94" s="11">
        <v>983500</v>
      </c>
      <c r="G94" s="17">
        <v>111700</v>
      </c>
      <c r="H94" s="11">
        <v>833100</v>
      </c>
      <c r="I94" s="16"/>
      <c r="J94" s="15" t="s">
        <v>99</v>
      </c>
    </row>
    <row r="95" spans="2:10" ht="18" customHeight="1" x14ac:dyDescent="0.25">
      <c r="B95" s="10">
        <v>45864</v>
      </c>
      <c r="C95" s="11">
        <v>188380</v>
      </c>
      <c r="D95" s="11">
        <v>60000</v>
      </c>
      <c r="E95" s="11">
        <v>21300</v>
      </c>
      <c r="F95" s="11">
        <v>983800</v>
      </c>
      <c r="G95" s="17">
        <v>137850</v>
      </c>
      <c r="H95" s="11">
        <v>807250</v>
      </c>
      <c r="I95" s="16"/>
      <c r="J95" s="15"/>
    </row>
    <row r="96" spans="2:10" ht="17.25" customHeight="1" x14ac:dyDescent="0.25">
      <c r="B96" s="10">
        <v>45864</v>
      </c>
      <c r="C96" s="11">
        <v>188380</v>
      </c>
      <c r="D96" s="11">
        <v>60000</v>
      </c>
      <c r="E96" s="11">
        <v>21300</v>
      </c>
      <c r="F96" s="11">
        <v>987600</v>
      </c>
      <c r="G96" s="11">
        <v>117850</v>
      </c>
      <c r="H96" s="11">
        <v>831050</v>
      </c>
      <c r="I96" s="16"/>
      <c r="J96" s="15" t="s">
        <v>80</v>
      </c>
    </row>
    <row r="97" spans="2:10" ht="18" customHeight="1" x14ac:dyDescent="0.25">
      <c r="B97" s="10">
        <v>45875</v>
      </c>
      <c r="C97" s="11">
        <v>188380</v>
      </c>
      <c r="D97" s="11">
        <v>60000</v>
      </c>
      <c r="E97" s="11">
        <v>21300</v>
      </c>
      <c r="F97" s="11">
        <v>987600</v>
      </c>
      <c r="G97" s="17">
        <v>150750</v>
      </c>
      <c r="H97" s="11">
        <v>798150</v>
      </c>
      <c r="I97" s="16"/>
      <c r="J97" s="15"/>
    </row>
    <row r="98" spans="2:10" ht="18" customHeight="1" x14ac:dyDescent="0.25">
      <c r="B98" s="10">
        <v>45875</v>
      </c>
      <c r="C98" s="11">
        <v>188380</v>
      </c>
      <c r="D98" s="11">
        <v>60000</v>
      </c>
      <c r="E98" s="11">
        <v>21300</v>
      </c>
      <c r="F98" s="11">
        <v>995600</v>
      </c>
      <c r="G98" s="17">
        <v>110750</v>
      </c>
      <c r="H98" s="11">
        <v>846150</v>
      </c>
      <c r="I98" s="16"/>
      <c r="J98" s="15" t="s">
        <v>100</v>
      </c>
    </row>
    <row r="99" spans="2:10" ht="18" customHeight="1" x14ac:dyDescent="0.25">
      <c r="B99" s="10">
        <v>45879</v>
      </c>
      <c r="C99" s="11">
        <v>188380</v>
      </c>
      <c r="D99" s="11">
        <v>60000</v>
      </c>
      <c r="E99" s="11">
        <v>21300</v>
      </c>
      <c r="F99" s="11">
        <v>995600</v>
      </c>
      <c r="G99" s="17">
        <v>138600</v>
      </c>
      <c r="H99" s="11">
        <v>818300</v>
      </c>
      <c r="I99" s="16"/>
      <c r="J99" s="15"/>
    </row>
    <row r="100" spans="2:10" ht="17.25" customHeight="1" x14ac:dyDescent="0.25">
      <c r="B100" s="10">
        <v>45879</v>
      </c>
      <c r="C100" s="11">
        <v>188380</v>
      </c>
      <c r="D100" s="11">
        <v>60000</v>
      </c>
      <c r="E100" s="11">
        <v>21300</v>
      </c>
      <c r="F100" s="11">
        <v>998600</v>
      </c>
      <c r="G100" s="11">
        <v>123600</v>
      </c>
      <c r="H100" s="11">
        <v>836300</v>
      </c>
      <c r="I100" s="16"/>
      <c r="J100" s="15" t="s">
        <v>101</v>
      </c>
    </row>
    <row r="101" spans="2:10" ht="17.25" customHeight="1" x14ac:dyDescent="0.25">
      <c r="B101" s="10">
        <v>45880</v>
      </c>
      <c r="C101" s="11">
        <v>188380</v>
      </c>
      <c r="D101" s="11">
        <v>60000</v>
      </c>
      <c r="E101" s="11">
        <v>21300</v>
      </c>
      <c r="F101" s="11">
        <v>998600</v>
      </c>
      <c r="G101" s="11">
        <v>150750</v>
      </c>
      <c r="H101" s="11">
        <v>809150</v>
      </c>
      <c r="I101" s="16"/>
      <c r="J101" s="15"/>
    </row>
    <row r="102" spans="2:10" ht="17.25" customHeight="1" x14ac:dyDescent="0.25">
      <c r="B102" s="10">
        <v>45880</v>
      </c>
      <c r="C102" s="11">
        <v>188380</v>
      </c>
      <c r="D102" s="11">
        <v>60000</v>
      </c>
      <c r="E102" s="11">
        <v>21300</v>
      </c>
      <c r="F102" s="11">
        <v>1004600</v>
      </c>
      <c r="G102" s="11">
        <v>120750</v>
      </c>
      <c r="H102" s="11">
        <v>845150</v>
      </c>
      <c r="I102" s="16"/>
      <c r="J102" s="15" t="s">
        <v>102</v>
      </c>
    </row>
    <row r="103" spans="2:10" ht="17.25" customHeight="1" x14ac:dyDescent="0.25">
      <c r="B103" s="10">
        <v>45883</v>
      </c>
      <c r="C103" s="11">
        <v>188380</v>
      </c>
      <c r="D103" s="11">
        <v>60000</v>
      </c>
      <c r="E103" s="11">
        <v>21300</v>
      </c>
      <c r="F103" s="11">
        <v>1004600</v>
      </c>
      <c r="G103" s="11">
        <v>126700</v>
      </c>
      <c r="H103" s="11">
        <v>839200</v>
      </c>
      <c r="I103" s="16"/>
      <c r="J103" s="15"/>
    </row>
    <row r="104" spans="2:10" ht="17.25" customHeight="1" x14ac:dyDescent="0.25">
      <c r="B104" s="10">
        <v>45894</v>
      </c>
      <c r="C104" s="11">
        <v>188380</v>
      </c>
      <c r="D104" s="11">
        <v>60000</v>
      </c>
      <c r="E104" s="11">
        <v>21300</v>
      </c>
      <c r="F104" s="11">
        <v>1004600</v>
      </c>
      <c r="G104" s="11">
        <v>176250</v>
      </c>
      <c r="H104" s="11">
        <v>789650</v>
      </c>
      <c r="I104" s="16"/>
      <c r="J104" s="15"/>
    </row>
    <row r="105" spans="2:10" ht="17.25" customHeight="1" x14ac:dyDescent="0.25">
      <c r="B105" s="10">
        <v>45894</v>
      </c>
      <c r="C105" s="11">
        <v>188380</v>
      </c>
      <c r="D105" s="11">
        <v>60000</v>
      </c>
      <c r="E105" s="11">
        <v>21300</v>
      </c>
      <c r="F105" s="11">
        <v>1004600</v>
      </c>
      <c r="G105" s="11">
        <v>176250</v>
      </c>
      <c r="H105" s="11">
        <v>789650</v>
      </c>
      <c r="I105" s="16"/>
      <c r="J105" s="15" t="s">
        <v>103</v>
      </c>
    </row>
    <row r="106" spans="2:10" ht="17.25" customHeight="1" x14ac:dyDescent="0.25">
      <c r="B106" s="10">
        <v>45894</v>
      </c>
      <c r="C106" s="11">
        <v>188380</v>
      </c>
      <c r="D106" s="11">
        <v>60000</v>
      </c>
      <c r="E106" s="11">
        <v>21300</v>
      </c>
      <c r="F106" s="11">
        <v>992100</v>
      </c>
      <c r="G106" s="11">
        <v>163750</v>
      </c>
      <c r="H106" s="11">
        <v>789650</v>
      </c>
      <c r="I106" s="16"/>
      <c r="J106" s="15"/>
    </row>
    <row r="107" spans="2:10" ht="17.25" customHeight="1" x14ac:dyDescent="0.25">
      <c r="B107" s="10">
        <v>45894</v>
      </c>
      <c r="C107" s="11">
        <v>188380</v>
      </c>
      <c r="D107" s="11">
        <v>60000</v>
      </c>
      <c r="E107" s="11">
        <v>21300</v>
      </c>
      <c r="F107" s="11">
        <v>997800</v>
      </c>
      <c r="G107" s="11">
        <v>133750</v>
      </c>
      <c r="H107" s="11">
        <v>825350</v>
      </c>
      <c r="I107" s="16"/>
      <c r="J107" s="15" t="s">
        <v>104</v>
      </c>
    </row>
    <row r="108" spans="2:10" ht="17.25" customHeight="1" x14ac:dyDescent="0.25">
      <c r="B108" s="10">
        <v>45898</v>
      </c>
      <c r="C108" s="11">
        <v>188380</v>
      </c>
      <c r="D108" s="11">
        <v>60000</v>
      </c>
      <c r="E108" s="11">
        <v>21300</v>
      </c>
      <c r="F108" s="11">
        <v>997800</v>
      </c>
      <c r="G108" s="11">
        <v>141650</v>
      </c>
      <c r="H108" s="11">
        <v>817450</v>
      </c>
      <c r="I108" s="16"/>
      <c r="J108" s="15"/>
    </row>
    <row r="109" spans="2:10" ht="17.25" customHeight="1" x14ac:dyDescent="0.25">
      <c r="B109" s="10">
        <v>45898</v>
      </c>
      <c r="C109" s="11">
        <v>188380</v>
      </c>
      <c r="D109" s="11">
        <v>60000</v>
      </c>
      <c r="E109" s="11">
        <v>21300</v>
      </c>
      <c r="F109" s="11">
        <v>998750</v>
      </c>
      <c r="G109" s="11">
        <v>136650</v>
      </c>
      <c r="H109" s="11">
        <v>823400</v>
      </c>
      <c r="I109" s="16"/>
      <c r="J109" s="15" t="s">
        <v>105</v>
      </c>
    </row>
    <row r="110" spans="2:10" ht="17.25" customHeight="1" x14ac:dyDescent="0.25">
      <c r="B110" s="10">
        <v>45901</v>
      </c>
      <c r="C110" s="11">
        <v>188380</v>
      </c>
      <c r="D110" s="11">
        <v>60000</v>
      </c>
      <c r="E110" s="11">
        <v>21300</v>
      </c>
      <c r="F110" s="11">
        <v>998750</v>
      </c>
      <c r="G110" s="11">
        <v>139950</v>
      </c>
      <c r="H110" s="11">
        <v>820100</v>
      </c>
      <c r="I110" s="16"/>
      <c r="J110" s="15"/>
    </row>
    <row r="111" spans="2:10" ht="17.25" customHeight="1" x14ac:dyDescent="0.25">
      <c r="B111" s="10">
        <v>45901</v>
      </c>
      <c r="C111" s="11">
        <v>188380</v>
      </c>
      <c r="D111" s="11">
        <v>60000</v>
      </c>
      <c r="E111" s="11">
        <v>21300</v>
      </c>
      <c r="F111" s="11">
        <v>999700</v>
      </c>
      <c r="G111" s="11">
        <v>134950</v>
      </c>
      <c r="H111" s="11">
        <v>826050</v>
      </c>
      <c r="I111" s="16"/>
      <c r="J111" s="15" t="s">
        <v>106</v>
      </c>
    </row>
    <row r="112" spans="2:10" ht="17.25" customHeight="1" x14ac:dyDescent="0.25">
      <c r="B112" s="10">
        <v>45901</v>
      </c>
      <c r="C112" s="11">
        <v>188380</v>
      </c>
      <c r="D112" s="11">
        <v>60000</v>
      </c>
      <c r="E112" s="11">
        <v>21300</v>
      </c>
      <c r="F112" s="11">
        <v>999700</v>
      </c>
      <c r="G112" s="11">
        <v>155150</v>
      </c>
      <c r="H112" s="11">
        <v>805850</v>
      </c>
      <c r="I112" s="16"/>
    </row>
    <row r="113" spans="2:10" ht="17.25" customHeight="1" x14ac:dyDescent="0.25">
      <c r="B113" s="10">
        <v>45901</v>
      </c>
      <c r="C113" s="11">
        <v>188380</v>
      </c>
      <c r="D113" s="11">
        <v>60000</v>
      </c>
      <c r="E113" s="11">
        <v>21300</v>
      </c>
      <c r="F113" s="11">
        <v>1003500</v>
      </c>
      <c r="G113" s="11">
        <v>135150</v>
      </c>
      <c r="H113" s="11">
        <v>829650</v>
      </c>
      <c r="I113" s="16"/>
      <c r="J113" s="15" t="s">
        <v>108</v>
      </c>
    </row>
    <row r="114" spans="2:10" ht="17.25" customHeight="1" x14ac:dyDescent="0.25">
      <c r="B114" s="10">
        <v>45910</v>
      </c>
      <c r="C114" s="11">
        <v>188380</v>
      </c>
      <c r="D114" s="11">
        <v>60000</v>
      </c>
      <c r="E114" s="11">
        <v>21300</v>
      </c>
      <c r="F114" s="11">
        <v>1003500</v>
      </c>
      <c r="G114" s="11">
        <v>162650</v>
      </c>
      <c r="H114" s="11">
        <v>802150</v>
      </c>
      <c r="I114" s="16"/>
      <c r="J114" s="15"/>
    </row>
    <row r="115" spans="2:10" ht="17.25" customHeight="1" x14ac:dyDescent="0.25">
      <c r="B115" s="10">
        <v>45910</v>
      </c>
      <c r="C115" s="11">
        <v>188380</v>
      </c>
      <c r="D115" s="11">
        <v>60000</v>
      </c>
      <c r="E115" s="11">
        <v>21300</v>
      </c>
      <c r="F115" s="11">
        <v>1007300</v>
      </c>
      <c r="G115" s="11">
        <v>142650</v>
      </c>
      <c r="H115" s="11">
        <v>825950</v>
      </c>
      <c r="I115" s="16"/>
      <c r="J115" s="15" t="s">
        <v>107</v>
      </c>
    </row>
    <row r="116" spans="2:10" ht="17.25" customHeight="1" x14ac:dyDescent="0.25">
      <c r="B116" s="10">
        <v>45921</v>
      </c>
      <c r="C116" s="11">
        <v>188380</v>
      </c>
      <c r="D116" s="11">
        <v>60000</v>
      </c>
      <c r="E116" s="11">
        <v>21300</v>
      </c>
      <c r="F116" s="11">
        <v>1007300</v>
      </c>
      <c r="G116" s="11">
        <v>173250</v>
      </c>
      <c r="H116" s="11">
        <v>795350</v>
      </c>
      <c r="I116" s="16"/>
      <c r="J116" s="15"/>
    </row>
    <row r="117" spans="2:10" ht="17.25" customHeight="1" x14ac:dyDescent="0.25">
      <c r="B117" s="10">
        <v>45921</v>
      </c>
      <c r="C117" s="11">
        <v>188380</v>
      </c>
      <c r="D117" s="11">
        <v>60000</v>
      </c>
      <c r="E117" s="11">
        <v>21300</v>
      </c>
      <c r="F117" s="11">
        <v>994300</v>
      </c>
      <c r="G117" s="11">
        <v>160250</v>
      </c>
      <c r="H117" s="11">
        <v>795350</v>
      </c>
      <c r="I117" s="16"/>
      <c r="J117" s="15" t="s">
        <v>110</v>
      </c>
    </row>
    <row r="118" spans="2:10" ht="17.25" customHeight="1" x14ac:dyDescent="0.25">
      <c r="B118" s="10">
        <v>45921</v>
      </c>
      <c r="C118" s="11">
        <v>188380</v>
      </c>
      <c r="D118" s="11">
        <v>60000</v>
      </c>
      <c r="E118" s="11">
        <v>21300</v>
      </c>
      <c r="F118" s="11">
        <v>996200</v>
      </c>
      <c r="G118" s="11">
        <v>150250</v>
      </c>
      <c r="H118" s="11">
        <v>807250</v>
      </c>
      <c r="I118" s="16"/>
      <c r="J118" s="15" t="s">
        <v>109</v>
      </c>
    </row>
    <row r="119" spans="2:10" ht="17.25" customHeight="1" x14ac:dyDescent="0.25">
      <c r="B119" s="10">
        <v>45928</v>
      </c>
      <c r="C119" s="11">
        <v>188380</v>
      </c>
      <c r="D119" s="11">
        <v>60000</v>
      </c>
      <c r="E119" s="11">
        <v>21300</v>
      </c>
      <c r="F119" s="11">
        <v>996200</v>
      </c>
      <c r="G119" s="11">
        <v>176850</v>
      </c>
      <c r="H119" s="11">
        <v>780650</v>
      </c>
      <c r="I119" s="16"/>
      <c r="J119" s="15"/>
    </row>
    <row r="120" spans="2:10" ht="17.25" customHeight="1" x14ac:dyDescent="0.25">
      <c r="B120" s="10">
        <v>45928</v>
      </c>
      <c r="C120" s="11">
        <v>188380</v>
      </c>
      <c r="D120" s="11">
        <v>60000</v>
      </c>
      <c r="E120" s="11">
        <v>21300</v>
      </c>
      <c r="F120" s="11">
        <v>1000000</v>
      </c>
      <c r="G120" s="11">
        <v>156850</v>
      </c>
      <c r="H120" s="11">
        <v>804450</v>
      </c>
      <c r="I120" s="16"/>
      <c r="J120" s="15" t="s">
        <v>111</v>
      </c>
    </row>
    <row r="121" spans="2:10" ht="17.25" customHeight="1" x14ac:dyDescent="0.25">
      <c r="B121" s="10">
        <v>45928</v>
      </c>
      <c r="C121" s="11">
        <v>188380</v>
      </c>
      <c r="D121" s="11">
        <v>60000</v>
      </c>
      <c r="E121" s="11">
        <v>21300</v>
      </c>
      <c r="F121" s="11">
        <v>979200</v>
      </c>
      <c r="G121" s="11">
        <v>156850</v>
      </c>
      <c r="H121" s="11">
        <v>783650</v>
      </c>
      <c r="I121" s="16"/>
      <c r="J121" s="15" t="s">
        <v>112</v>
      </c>
    </row>
    <row r="122" spans="2:10" ht="17.25" customHeight="1" x14ac:dyDescent="0.25">
      <c r="B122" s="10">
        <v>45933</v>
      </c>
      <c r="C122" s="11">
        <v>188380</v>
      </c>
      <c r="D122" s="11">
        <v>60000</v>
      </c>
      <c r="E122" s="11">
        <v>21300</v>
      </c>
      <c r="F122" s="11">
        <v>979200</v>
      </c>
      <c r="G122" s="11">
        <v>199750</v>
      </c>
      <c r="H122" s="11">
        <v>740750</v>
      </c>
      <c r="I122" s="16"/>
    </row>
    <row r="123" spans="2:10" ht="17.25" customHeight="1" x14ac:dyDescent="0.25">
      <c r="B123" s="10">
        <v>45933</v>
      </c>
      <c r="C123" s="11">
        <v>188380</v>
      </c>
      <c r="D123" s="11">
        <v>60000</v>
      </c>
      <c r="E123" s="11">
        <v>21300</v>
      </c>
      <c r="F123" s="11">
        <f>6500+989200</f>
        <v>995700</v>
      </c>
      <c r="G123" s="11">
        <f>6500+149750</f>
        <v>156250</v>
      </c>
      <c r="H123" s="11">
        <v>800750</v>
      </c>
      <c r="I123" s="16"/>
      <c r="J123" s="15" t="s">
        <v>113</v>
      </c>
    </row>
    <row r="124" spans="2:10" ht="17.25" customHeight="1" x14ac:dyDescent="0.25">
      <c r="B124" s="10">
        <v>45942</v>
      </c>
      <c r="C124" s="11">
        <v>188380</v>
      </c>
      <c r="D124" s="11">
        <v>60000</v>
      </c>
      <c r="E124" s="11">
        <v>21300</v>
      </c>
      <c r="F124" s="11">
        <f>6500+989200</f>
        <v>995700</v>
      </c>
      <c r="G124" s="11">
        <v>169150</v>
      </c>
      <c r="H124" s="11">
        <v>787850</v>
      </c>
      <c r="I124" s="16"/>
      <c r="J124" s="15"/>
    </row>
    <row r="125" spans="2:10" ht="17.25" customHeight="1" x14ac:dyDescent="0.25">
      <c r="B125" s="10">
        <v>45949</v>
      </c>
      <c r="C125" s="11">
        <v>188380</v>
      </c>
      <c r="D125" s="11">
        <v>60000</v>
      </c>
      <c r="E125" s="11">
        <v>21300</v>
      </c>
      <c r="F125" s="11">
        <f>6500+989200</f>
        <v>995700</v>
      </c>
      <c r="G125" s="11">
        <v>197450</v>
      </c>
      <c r="H125" s="11">
        <v>759550</v>
      </c>
      <c r="I125" s="16"/>
      <c r="J125" s="15"/>
    </row>
    <row r="126" spans="2:10" ht="17.25" customHeight="1" x14ac:dyDescent="0.25">
      <c r="B126" s="10">
        <v>45949</v>
      </c>
      <c r="C126" s="11">
        <v>188380</v>
      </c>
      <c r="D126" s="11">
        <v>60000</v>
      </c>
      <c r="E126" s="11">
        <v>21300</v>
      </c>
      <c r="F126" s="11">
        <f>F125-12500+1000</f>
        <v>984200</v>
      </c>
      <c r="G126" s="11">
        <f>G125-6500-6000+1000</f>
        <v>185950</v>
      </c>
      <c r="H126" s="11">
        <v>759550</v>
      </c>
      <c r="I126" s="16"/>
      <c r="J126" s="15" t="s">
        <v>114</v>
      </c>
    </row>
    <row r="127" spans="2:10" ht="17.25" customHeight="1" x14ac:dyDescent="0.25">
      <c r="B127" s="10">
        <v>45949</v>
      </c>
      <c r="C127" s="11">
        <v>188380</v>
      </c>
      <c r="D127" s="11">
        <v>60000</v>
      </c>
      <c r="E127" s="11">
        <v>21300</v>
      </c>
      <c r="F127" s="11">
        <v>987200</v>
      </c>
      <c r="G127" s="11">
        <v>170950</v>
      </c>
      <c r="H127" s="11">
        <v>777550</v>
      </c>
      <c r="I127" s="16"/>
      <c r="J127" s="15" t="s">
        <v>115</v>
      </c>
    </row>
    <row r="128" spans="2:10" ht="17.25" customHeight="1" x14ac:dyDescent="0.25">
      <c r="B128" s="10"/>
      <c r="C128" s="11"/>
      <c r="D128" s="11"/>
      <c r="E128" s="11"/>
      <c r="F128" s="11"/>
      <c r="G128" s="11"/>
      <c r="H128" s="11"/>
      <c r="I128" s="16"/>
      <c r="J128" s="15"/>
    </row>
    <row r="129" spans="2:10" ht="17.25" customHeight="1" x14ac:dyDescent="0.25">
      <c r="B129" s="10"/>
      <c r="C129" s="11"/>
      <c r="D129" s="11"/>
      <c r="E129" s="11"/>
      <c r="F129" s="11"/>
      <c r="G129" s="11"/>
      <c r="H129" s="11"/>
      <c r="I129" s="16"/>
      <c r="J129" s="15"/>
    </row>
    <row r="130" spans="2:10" ht="17.25" customHeight="1" x14ac:dyDescent="0.25">
      <c r="B130" s="10"/>
      <c r="C130" s="11"/>
      <c r="D130" s="11"/>
      <c r="E130" s="11"/>
      <c r="F130" s="11"/>
      <c r="G130" s="11"/>
      <c r="H130" s="11"/>
      <c r="I130" s="16"/>
      <c r="J130" s="15"/>
    </row>
    <row r="133" spans="2:10" x14ac:dyDescent="0.25">
      <c r="E133" s="3">
        <f>500+500+2000+200</f>
        <v>3200</v>
      </c>
      <c r="H133" s="18"/>
      <c r="I133" s="19"/>
    </row>
    <row r="134" spans="2:10" x14ac:dyDescent="0.25">
      <c r="E134" s="3">
        <f>1400*3+700+1400+1500+300+300+300+600</f>
        <v>9300</v>
      </c>
    </row>
    <row r="135" spans="2:10" x14ac:dyDescent="0.25">
      <c r="E135" s="3">
        <f>500+500+1000+200+1400+500+400</f>
        <v>4500</v>
      </c>
    </row>
    <row r="136" spans="2:10" x14ac:dyDescent="0.25">
      <c r="E136" s="3">
        <f>100+1000+600+4300+500+1400+2400+1000</f>
        <v>11300</v>
      </c>
    </row>
    <row r="137" spans="2:10" x14ac:dyDescent="0.25">
      <c r="E137" s="3">
        <f>SUM(E133:E136)</f>
        <v>28300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2025-10-21T05:06:11Z</dcterms:modified>
</cp:coreProperties>
</file>