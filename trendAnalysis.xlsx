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6000" windowWidth="15360" windowHeight="2010" activeTab="1"/>
  </bookViews>
  <sheets>
    <sheet name="2023TrendAnalysis" sheetId="15" r:id="rId1"/>
    <sheet name="2025TrendAnalysis" sheetId="16" r:id="rId2"/>
  </sheets>
  <calcPr calcId="145621" iterateDelta="1E-4"/>
</workbook>
</file>

<file path=xl/calcChain.xml><?xml version="1.0" encoding="utf-8"?>
<calcChain xmlns="http://schemas.openxmlformats.org/spreadsheetml/2006/main">
  <c r="F57" i="16" l="1"/>
  <c r="F56" i="16"/>
  <c r="E42" i="16" l="1"/>
  <c r="F55" i="16"/>
  <c r="F54" i="16"/>
  <c r="F53" i="16"/>
  <c r="F52" i="16"/>
  <c r="F51" i="16"/>
  <c r="F50" i="16"/>
  <c r="F49" i="16"/>
  <c r="F32" i="16" l="1"/>
  <c r="F31" i="16" l="1"/>
  <c r="F30" i="16"/>
  <c r="F28" i="16" l="1"/>
  <c r="F27" i="16" l="1"/>
  <c r="F26" i="16" l="1"/>
  <c r="F25" i="16"/>
  <c r="E21" i="16" l="1"/>
  <c r="F11" i="16"/>
  <c r="G10" i="16"/>
  <c r="G11" i="16" s="1"/>
  <c r="F10" i="16"/>
  <c r="F9" i="16"/>
  <c r="F8" i="16"/>
  <c r="F7" i="16"/>
  <c r="G6" i="16"/>
  <c r="F6" i="16"/>
  <c r="F5" i="16"/>
  <c r="G4" i="16"/>
  <c r="E144" i="15" l="1"/>
  <c r="G133" i="15" l="1"/>
  <c r="G134" i="15" s="1"/>
  <c r="F133" i="15"/>
  <c r="F134" i="15"/>
  <c r="F132" i="15"/>
  <c r="F131" i="15"/>
  <c r="F130" i="15"/>
  <c r="G129" i="15"/>
  <c r="F129" i="15"/>
  <c r="D181" i="15" l="1"/>
  <c r="H178" i="15" l="1"/>
  <c r="H180" i="15" s="1"/>
  <c r="H182" i="15" s="1"/>
  <c r="I184" i="15" s="1"/>
  <c r="F128" i="15" l="1"/>
  <c r="G127" i="15"/>
  <c r="F126" i="15" l="1"/>
  <c r="F125" i="15" l="1"/>
  <c r="F124" i="15" l="1"/>
  <c r="F123" i="15" l="1"/>
  <c r="F122" i="15"/>
  <c r="F121" i="15" l="1"/>
  <c r="F120" i="15" l="1"/>
  <c r="J74" i="15" l="1"/>
  <c r="I75" i="15"/>
  <c r="C65" i="15" l="1"/>
  <c r="I55" i="15" l="1"/>
  <c r="F38" i="15" l="1"/>
  <c r="F37" i="15" l="1"/>
  <c r="G37" i="15"/>
  <c r="G34" i="15" l="1"/>
  <c r="F28" i="15" l="1"/>
  <c r="C22" i="15" l="1"/>
  <c r="G14" i="15"/>
  <c r="F10" i="15" l="1"/>
  <c r="G3" i="15"/>
  <c r="F3" i="15" l="1"/>
  <c r="H3" i="15"/>
</calcChain>
</file>

<file path=xl/comments1.xml><?xml version="1.0" encoding="utf-8"?>
<comments xmlns="http://schemas.openxmlformats.org/spreadsheetml/2006/main">
  <authors>
    <author>Author</author>
  </authors>
  <commentList>
    <comment ref="F14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967450 total
10000 deposit
17000 sunanda due
7900 rambhabati due
10000 bijenty due
</t>
        </r>
      </text>
    </comment>
    <comment ref="F14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967450 total
10000 deposit
17000 sunanda due
7900 rambhabati due
10000 bijenty due
</t>
        </r>
      </text>
    </comment>
    <comment ref="F142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967450 total
10000 deposit
17000 sunanda due
7900 rambhabati due
10000 bijenty due
</t>
        </r>
      </text>
    </comment>
    <comment ref="F143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967450 total
10000 deposit
17000 sunanda due
7900 rambhabati due
10000 bijenty due
</t>
        </r>
      </text>
    </comment>
    <comment ref="E144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sales of rice: 14600
dividend: 7300
pay to ranjit: 8000+3500
ranjita balance: -4200
ranjit deposit 2300
pay to ranjit: -1900
ranjit deposit: 5000
ranjit deposit total: 5000+2300</t>
        </r>
      </text>
    </comment>
    <comment ref="F144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sunanda due 5400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F17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967450 total
10000 deposit
17000 sunanda due
7900 rambhabati due
10000 bijenty due
</t>
        </r>
      </text>
    </comment>
    <comment ref="F1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967450 total
10000 deposit
17000 sunanda due
7900 rambhabati due
10000 bijenty due
</t>
        </r>
      </text>
    </comment>
    <comment ref="F19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967450 total
10000 deposit
17000 sunanda due
7900 rambhabati due
10000 bijenty due
</t>
        </r>
      </text>
    </comment>
    <comment ref="F2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967450 total
10000 deposit
17000 sunanda due
7900 rambhabati due
10000 bijenty due
</t>
        </r>
      </text>
    </comment>
    <comment ref="E2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sales of rice: 14600
dividend: 7300
pay to ranjit: 8000+3500
ranjita balance: -4200
ranjit deposit 2300
pay to ranjit: -1900
ranjit deposit: 5000
ranjit deposit total: 5000+2300</t>
        </r>
      </text>
    </comment>
    <comment ref="F21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sunanda due 5400</t>
        </r>
      </text>
    </comment>
    <comment ref="F22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sunanda due 5400</t>
        </r>
      </text>
    </comment>
    <comment ref="F23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sunanda due 5400</t>
        </r>
      </text>
    </comment>
  </commentList>
</comments>
</file>

<file path=xl/sharedStrings.xml><?xml version="1.0" encoding="utf-8"?>
<sst xmlns="http://schemas.openxmlformats.org/spreadsheetml/2006/main" count="100" uniqueCount="75">
  <si>
    <t>Outstanding Amount</t>
  </si>
  <si>
    <t>FirmValue</t>
  </si>
  <si>
    <t>CashBalance</t>
  </si>
  <si>
    <t>On Current Date</t>
  </si>
  <si>
    <t>error -150</t>
  </si>
  <si>
    <t>payable to ranjita 15450</t>
  </si>
  <si>
    <t>payable to ranjita 2000</t>
  </si>
  <si>
    <t>payable to ranjita 3100</t>
  </si>
  <si>
    <t>14550 to be pay to tungpham by ranjita</t>
  </si>
  <si>
    <t>oil expenses 1000</t>
  </si>
  <si>
    <t>payable 6000 to ranjita</t>
  </si>
  <si>
    <t>payable 15000</t>
  </si>
  <si>
    <t>payable 10000</t>
  </si>
  <si>
    <t>collected 69600-1400</t>
  </si>
  <si>
    <t>paid 50000 to suresh</t>
  </si>
  <si>
    <t>paid loan 10000</t>
  </si>
  <si>
    <t>equity</t>
  </si>
  <si>
    <t>investment</t>
  </si>
  <si>
    <t>tombi loan 5000</t>
  </si>
  <si>
    <t>marup +oil 5500</t>
  </si>
  <si>
    <t>ricky loan 20000</t>
  </si>
  <si>
    <t>ibeyaima 10000 loan</t>
  </si>
  <si>
    <t>Rambhabati 20000 loan</t>
  </si>
  <si>
    <t>pratima 10000 loan</t>
  </si>
  <si>
    <t>renit loan 15000</t>
  </si>
  <si>
    <t>anita loan 50000</t>
  </si>
  <si>
    <t>marup 198000</t>
  </si>
  <si>
    <t>loan 10000 sunamani</t>
  </si>
  <si>
    <t>bijent loan 20000</t>
  </si>
  <si>
    <t>loan bidyapati+ thasana 40000</t>
  </si>
  <si>
    <t>joyshree loan 30000</t>
  </si>
  <si>
    <t>loan Asiqi 50000+ kiranmala 10000</t>
  </si>
  <si>
    <t>marup 6500</t>
  </si>
  <si>
    <t>loan sunanda 100000 ; paid 7000; due 30000</t>
  </si>
  <si>
    <t>clear sunanda 5000 remaining 25000</t>
  </si>
  <si>
    <t xml:space="preserve">loan kamala 50000 </t>
  </si>
  <si>
    <t>clear sunanda 5000 remaining 20000</t>
  </si>
  <si>
    <t>loan ibobi 30000+ dinita 10000+ sandhyarani 10000</t>
  </si>
  <si>
    <t>clear sunanda 3000 ,remaining 17000</t>
  </si>
  <si>
    <t>adjusted 174700; remaining to be pay 11900; adjusted 13400</t>
  </si>
  <si>
    <t>bomcha marup 6500</t>
  </si>
  <si>
    <t>rambhabati loan 200000; remaning 25300</t>
  </si>
  <si>
    <t>rambhabati pay4000 remaining 21300</t>
  </si>
  <si>
    <t>adjusted 13400; remaining 7900</t>
  </si>
  <si>
    <t>loan lukham 10000</t>
  </si>
  <si>
    <t>deposit robita 10000</t>
  </si>
  <si>
    <t>deposit</t>
  </si>
  <si>
    <t>loan angom bijenty 50000 (due 10000)</t>
  </si>
  <si>
    <t>rambhabati 7900 clear</t>
  </si>
  <si>
    <t>pay sunanda 11600; bijenti 10000</t>
  </si>
  <si>
    <t>pay sunanda 5400</t>
  </si>
  <si>
    <t>remove asiqi 50000+anita 33000</t>
  </si>
  <si>
    <t>pay marup 6500</t>
  </si>
  <si>
    <t>pay loan induleikha 20000</t>
  </si>
  <si>
    <t>pay loan sweety 20000</t>
  </si>
  <si>
    <t>actual/projected  receivable</t>
  </si>
  <si>
    <t>53600/39700</t>
  </si>
  <si>
    <t>pay loan joychandra 50000</t>
  </si>
  <si>
    <t>46250'/41801</t>
  </si>
  <si>
    <t>'/41800</t>
  </si>
  <si>
    <t>pay loan pratima 10000</t>
  </si>
  <si>
    <t>/42500</t>
  </si>
  <si>
    <t>30100/42500</t>
  </si>
  <si>
    <t>pay loan bidyakumar 35000</t>
  </si>
  <si>
    <t>/44950</t>
  </si>
  <si>
    <t>/45650</t>
  </si>
  <si>
    <t>pay loan a manao</t>
  </si>
  <si>
    <t>34450/45650</t>
  </si>
  <si>
    <t>pay bomcha 6500</t>
  </si>
  <si>
    <t>37750/45650</t>
  </si>
  <si>
    <t>marup angom 10000</t>
  </si>
  <si>
    <t>36450/45650</t>
  </si>
  <si>
    <t>loan sonia 20000</t>
  </si>
  <si>
    <t>loan sheenarani 10000</t>
  </si>
  <si>
    <t>/43550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</si>
</sst>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[$-14009]dddd\,\ d\ mmmm\,\ yy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2"/>
      <color theme="0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006666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33CCCC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ck">
        <color theme="0" tint="-0.14993743705557422"/>
      </left>
      <right style="thin">
        <color theme="0" tint="-0.14996795556505021"/>
      </right>
      <top style="thick">
        <color theme="0" tint="-0.14993743705557422"/>
      </top>
      <bottom style="thick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0.14993743705557422"/>
      </top>
      <bottom style="thick">
        <color theme="0" tint="-0.14993743705557422"/>
      </bottom>
      <diagonal/>
    </border>
    <border>
      <left style="thin">
        <color theme="0" tint="-0.14996795556505021"/>
      </left>
      <right style="thick">
        <color theme="0" tint="-0.14993743705557422"/>
      </right>
      <top style="thick">
        <color theme="0" tint="-0.14993743705557422"/>
      </top>
      <bottom style="thick">
        <color theme="0" tint="-0.14993743705557422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4" fontId="3" fillId="3" borderId="1" xfId="1" applyFont="1" applyFill="1" applyBorder="1" applyAlignment="1">
      <alignment horizontal="center" vertical="center"/>
    </xf>
    <xf numFmtId="0" fontId="4" fillId="2" borderId="0" xfId="0" applyFont="1" applyFill="1"/>
    <xf numFmtId="164" fontId="4" fillId="2" borderId="0" xfId="1" applyFont="1" applyFill="1"/>
    <xf numFmtId="164" fontId="2" fillId="3" borderId="2" xfId="1" applyFont="1" applyFill="1" applyBorder="1" applyAlignment="1">
      <alignment horizontal="center" vertical="center" wrapText="1"/>
    </xf>
    <xf numFmtId="1" fontId="5" fillId="5" borderId="4" xfId="0" applyNumberFormat="1" applyFont="1" applyFill="1" applyBorder="1" applyAlignment="1">
      <alignment horizontal="center" vertical="center"/>
    </xf>
    <xf numFmtId="164" fontId="5" fillId="5" borderId="5" xfId="1" applyFont="1" applyFill="1" applyBorder="1" applyAlignment="1">
      <alignment horizontal="center" vertical="center"/>
    </xf>
    <xf numFmtId="164" fontId="5" fillId="5" borderId="6" xfId="1" applyFont="1" applyFill="1" applyBorder="1" applyAlignment="1">
      <alignment horizontal="center" vertical="center"/>
    </xf>
    <xf numFmtId="165" fontId="2" fillId="4" borderId="3" xfId="1" applyNumberFormat="1" applyFont="1" applyFill="1" applyBorder="1" applyAlignment="1">
      <alignment horizontal="center" vertical="center"/>
    </xf>
    <xf numFmtId="164" fontId="2" fillId="4" borderId="3" xfId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164" fontId="2" fillId="4" borderId="1" xfId="1" applyFont="1" applyFill="1" applyBorder="1" applyAlignment="1">
      <alignment horizontal="center" vertical="center"/>
    </xf>
    <xf numFmtId="43" fontId="4" fillId="2" borderId="0" xfId="0" applyNumberFormat="1" applyFont="1" applyFill="1"/>
    <xf numFmtId="164" fontId="4" fillId="2" borderId="0" xfId="0" applyNumberFormat="1" applyFont="1" applyFill="1"/>
    <xf numFmtId="164" fontId="2" fillId="3" borderId="1" xfId="1" quotePrefix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33CCCC"/>
      <color rgb="FF006666"/>
      <color rgb="FF008080"/>
      <color rgb="FF009999"/>
      <color rgb="FF00CC99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Trend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'2023TrendAnalysis'!$C$2</c:f>
              <c:strCache>
                <c:ptCount val="1"/>
                <c:pt idx="0">
                  <c:v>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'2023TrendAnalysis'!$B$4:$B$13</c:f>
              <c:numCache>
                <c:formatCode>[$-14009]dddd\,\ d\ mmmm\,\ yyyy;@</c:formatCode>
                <c:ptCount val="10"/>
                <c:pt idx="0">
                  <c:v>45221</c:v>
                </c:pt>
                <c:pt idx="1">
                  <c:v>45227</c:v>
                </c:pt>
                <c:pt idx="2">
                  <c:v>45235</c:v>
                </c:pt>
                <c:pt idx="3">
                  <c:v>45242</c:v>
                </c:pt>
                <c:pt idx="4">
                  <c:v>45249</c:v>
                </c:pt>
                <c:pt idx="5">
                  <c:v>45256</c:v>
                </c:pt>
                <c:pt idx="6">
                  <c:v>45270</c:v>
                </c:pt>
                <c:pt idx="7">
                  <c:v>45277</c:v>
                </c:pt>
                <c:pt idx="8">
                  <c:v>45284</c:v>
                </c:pt>
                <c:pt idx="9">
                  <c:v>45291</c:v>
                </c:pt>
              </c:numCache>
            </c:numRef>
          </c:cat>
          <c:val>
            <c:numRef>
              <c:f>'2023TrendAnalysis'!$C$3:$C$13</c:f>
              <c:numCache>
                <c:formatCode>_ "₹"\ * #,##0.00_ ;_ "₹"\ * \-#,##0.00_ ;_ "₹"\ * "-"??_ ;_ @_ </c:formatCode>
                <c:ptCount val="11"/>
                <c:pt idx="0">
                  <c:v>35000</c:v>
                </c:pt>
                <c:pt idx="1">
                  <c:v>35000</c:v>
                </c:pt>
                <c:pt idx="2">
                  <c:v>35000</c:v>
                </c:pt>
                <c:pt idx="3">
                  <c:v>35000</c:v>
                </c:pt>
                <c:pt idx="4">
                  <c:v>34880</c:v>
                </c:pt>
                <c:pt idx="5">
                  <c:v>34880</c:v>
                </c:pt>
                <c:pt idx="6">
                  <c:v>44880</c:v>
                </c:pt>
                <c:pt idx="7">
                  <c:v>44880</c:v>
                </c:pt>
                <c:pt idx="8">
                  <c:v>134880</c:v>
                </c:pt>
                <c:pt idx="9">
                  <c:v>159880</c:v>
                </c:pt>
                <c:pt idx="10">
                  <c:v>159880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8A-4FD6-90A1-C2BC5C3DF530}"/>
            </c:ext>
          </c:extLst>
        </c:ser>
        <c:ser>
          <c:idx val="1"/>
          <c:order val="1"/>
          <c:tx>
            <c:strRef>
              <c:f>'2023TrendAnalysis'!$F$2</c:f>
              <c:strCache>
                <c:ptCount val="1"/>
                <c:pt idx="0">
                  <c:v>FirmValue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'2023TrendAnalysis'!$B$4:$B$13</c:f>
              <c:numCache>
                <c:formatCode>[$-14009]dddd\,\ d\ mmmm\,\ yyyy;@</c:formatCode>
                <c:ptCount val="10"/>
                <c:pt idx="0">
                  <c:v>45221</c:v>
                </c:pt>
                <c:pt idx="1">
                  <c:v>45227</c:v>
                </c:pt>
                <c:pt idx="2">
                  <c:v>45235</c:v>
                </c:pt>
                <c:pt idx="3">
                  <c:v>45242</c:v>
                </c:pt>
                <c:pt idx="4">
                  <c:v>45249</c:v>
                </c:pt>
                <c:pt idx="5">
                  <c:v>45256</c:v>
                </c:pt>
                <c:pt idx="6">
                  <c:v>45270</c:v>
                </c:pt>
                <c:pt idx="7">
                  <c:v>45277</c:v>
                </c:pt>
                <c:pt idx="8">
                  <c:v>45284</c:v>
                </c:pt>
                <c:pt idx="9">
                  <c:v>45291</c:v>
                </c:pt>
              </c:numCache>
            </c:numRef>
          </c:cat>
          <c:val>
            <c:numRef>
              <c:f>'2023TrendAnalysis'!$F$3:$F$13</c:f>
              <c:numCache>
                <c:formatCode>_ "₹"\ * #,##0.00_ ;_ "₹"\ * \-#,##0.00_ ;_ "₹"\ * "-"??_ ;_ @_ </c:formatCode>
                <c:ptCount val="11"/>
                <c:pt idx="0">
                  <c:v>0</c:v>
                </c:pt>
                <c:pt idx="1">
                  <c:v>41200</c:v>
                </c:pt>
                <c:pt idx="2">
                  <c:v>41200</c:v>
                </c:pt>
                <c:pt idx="3">
                  <c:v>41200</c:v>
                </c:pt>
                <c:pt idx="4">
                  <c:v>46100</c:v>
                </c:pt>
                <c:pt idx="5">
                  <c:v>46100</c:v>
                </c:pt>
                <c:pt idx="6">
                  <c:v>59050</c:v>
                </c:pt>
                <c:pt idx="7">
                  <c:v>58500</c:v>
                </c:pt>
                <c:pt idx="8">
                  <c:v>190050</c:v>
                </c:pt>
                <c:pt idx="9">
                  <c:v>222250</c:v>
                </c:pt>
                <c:pt idx="10">
                  <c:v>222250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88A-4FD6-90A1-C2BC5C3DF530}"/>
            </c:ext>
          </c:extLst>
        </c:ser>
        <c:ser>
          <c:idx val="2"/>
          <c:order val="2"/>
          <c:tx>
            <c:strRef>
              <c:f>'2023TrendAnalysis'!$G$2</c:f>
              <c:strCache>
                <c:ptCount val="1"/>
                <c:pt idx="0">
                  <c:v>CashBalance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'2023TrendAnalysis'!$B$4:$B$13</c:f>
              <c:numCache>
                <c:formatCode>[$-14009]dddd\,\ d\ mmmm\,\ yyyy;@</c:formatCode>
                <c:ptCount val="10"/>
                <c:pt idx="0">
                  <c:v>45221</c:v>
                </c:pt>
                <c:pt idx="1">
                  <c:v>45227</c:v>
                </c:pt>
                <c:pt idx="2">
                  <c:v>45235</c:v>
                </c:pt>
                <c:pt idx="3">
                  <c:v>45242</c:v>
                </c:pt>
                <c:pt idx="4">
                  <c:v>45249</c:v>
                </c:pt>
                <c:pt idx="5">
                  <c:v>45256</c:v>
                </c:pt>
                <c:pt idx="6">
                  <c:v>45270</c:v>
                </c:pt>
                <c:pt idx="7">
                  <c:v>45277</c:v>
                </c:pt>
                <c:pt idx="8">
                  <c:v>45284</c:v>
                </c:pt>
                <c:pt idx="9">
                  <c:v>45291</c:v>
                </c:pt>
              </c:numCache>
            </c:numRef>
          </c:cat>
          <c:val>
            <c:numRef>
              <c:f>'2023TrendAnalysis'!$G$3:$G$13</c:f>
              <c:numCache>
                <c:formatCode>_ "₹"\ * #,##0.00_ ;_ "₹"\ * \-#,##0.00_ ;_ "₹"\ * "-"??_ ;_ @_ </c:formatCode>
                <c:ptCount val="11"/>
                <c:pt idx="0">
                  <c:v>0</c:v>
                </c:pt>
                <c:pt idx="1">
                  <c:v>800</c:v>
                </c:pt>
                <c:pt idx="2">
                  <c:v>4100</c:v>
                </c:pt>
                <c:pt idx="3">
                  <c:v>4100</c:v>
                </c:pt>
                <c:pt idx="4">
                  <c:v>0</c:v>
                </c:pt>
                <c:pt idx="6">
                  <c:v>1850</c:v>
                </c:pt>
                <c:pt idx="7">
                  <c:v>9100</c:v>
                </c:pt>
                <c:pt idx="8">
                  <c:v>13000</c:v>
                </c:pt>
                <c:pt idx="9">
                  <c:v>5500</c:v>
                </c:pt>
                <c:pt idx="10">
                  <c:v>16800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88A-4FD6-90A1-C2BC5C3DF530}"/>
            </c:ext>
          </c:extLst>
        </c:ser>
        <c:ser>
          <c:idx val="3"/>
          <c:order val="3"/>
          <c:tx>
            <c:strRef>
              <c:f>'2023TrendAnalysis'!$H$2</c:f>
              <c:strCache>
                <c:ptCount val="1"/>
                <c:pt idx="0">
                  <c:v>Outstanding Amount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'2023TrendAnalysis'!$B$4:$B$13</c:f>
              <c:numCache>
                <c:formatCode>[$-14009]dddd\,\ d\ mmmm\,\ yyyy;@</c:formatCode>
                <c:ptCount val="10"/>
                <c:pt idx="0">
                  <c:v>45221</c:v>
                </c:pt>
                <c:pt idx="1">
                  <c:v>45227</c:v>
                </c:pt>
                <c:pt idx="2">
                  <c:v>45235</c:v>
                </c:pt>
                <c:pt idx="3">
                  <c:v>45242</c:v>
                </c:pt>
                <c:pt idx="4">
                  <c:v>45249</c:v>
                </c:pt>
                <c:pt idx="5">
                  <c:v>45256</c:v>
                </c:pt>
                <c:pt idx="6">
                  <c:v>45270</c:v>
                </c:pt>
                <c:pt idx="7">
                  <c:v>45277</c:v>
                </c:pt>
                <c:pt idx="8">
                  <c:v>45284</c:v>
                </c:pt>
                <c:pt idx="9">
                  <c:v>45291</c:v>
                </c:pt>
              </c:numCache>
            </c:numRef>
          </c:cat>
          <c:val>
            <c:numRef>
              <c:f>'2023TrendAnalysis'!$H$3:$H$13</c:f>
              <c:numCache>
                <c:formatCode>_ "₹"\ * #,##0.00_ ;_ "₹"\ * \-#,##0.00_ ;_ "₹"\ * "-"??_ ;_ @_ </c:formatCode>
                <c:ptCount val="11"/>
                <c:pt idx="0">
                  <c:v>0</c:v>
                </c:pt>
                <c:pt idx="1">
                  <c:v>40400</c:v>
                </c:pt>
                <c:pt idx="2">
                  <c:v>37100</c:v>
                </c:pt>
                <c:pt idx="3">
                  <c:v>37100</c:v>
                </c:pt>
                <c:pt idx="4">
                  <c:v>46100</c:v>
                </c:pt>
                <c:pt idx="5">
                  <c:v>46100</c:v>
                </c:pt>
                <c:pt idx="6">
                  <c:v>57200</c:v>
                </c:pt>
                <c:pt idx="7">
                  <c:v>49400</c:v>
                </c:pt>
                <c:pt idx="8">
                  <c:v>177050</c:v>
                </c:pt>
                <c:pt idx="9">
                  <c:v>216750</c:v>
                </c:pt>
                <c:pt idx="10">
                  <c:v>205750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88A-4FD6-90A1-C2BC5C3DF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515008"/>
        <c:axId val="207524992"/>
      </c:lineChart>
      <c:dateAx>
        <c:axId val="207515008"/>
        <c:scaling>
          <c:orientation val="minMax"/>
        </c:scaling>
        <c:delete val="0"/>
        <c:axPos val="b"/>
        <c:numFmt formatCode="[$-14009]dddd\,\ d\ mmmm\,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24992"/>
        <c:crosses val="autoZero"/>
        <c:auto val="1"/>
        <c:lblOffset val="100"/>
        <c:baseTimeUnit val="days"/>
      </c:dateAx>
      <c:valAx>
        <c:axId val="20752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1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Trend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'2025TrendAnalysis'!$C$2</c:f>
              <c:strCache>
                <c:ptCount val="1"/>
                <c:pt idx="0">
                  <c:v>equity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'2025TrendAnalysis'!#REF!</c:f>
            </c:multiLvlStrRef>
          </c:cat>
          <c:val>
            <c:numRef>
              <c:f>'2025TrendAnalysis'!$C$3:$C$3</c:f>
              <c:numCache>
                <c:formatCode>_ "₹"\ * #,##0.00_ ;_ "₹"\ * \-#,##0.00_ ;_ "₹"\ * "-"??_ ;_ @_ </c:formatCode>
                <c:ptCount val="1"/>
                <c:pt idx="0">
                  <c:v>35000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8A-4FD6-90A1-C2BC5C3DF530}"/>
            </c:ext>
          </c:extLst>
        </c:ser>
        <c:ser>
          <c:idx val="1"/>
          <c:order val="1"/>
          <c:tx>
            <c:strRef>
              <c:f>'2025TrendAnalysis'!$F$2</c:f>
              <c:strCache>
                <c:ptCount val="1"/>
                <c:pt idx="0">
                  <c:v>FirmValue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'2025TrendAnalysis'!#REF!</c:f>
            </c:multiLvlStrRef>
          </c:cat>
          <c:val>
            <c:numRef>
              <c:f>'2025TrendAnalysis'!$F$3:$F$3</c:f>
              <c:numCache>
                <c:formatCode>_ "₹"\ * #,##0.00_ ;_ "₹"\ * \-#,##0.00_ ;_ "₹"\ * "-"??_ ;_ @_ </c:formatCode>
                <c:ptCount val="1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88A-4FD6-90A1-C2BC5C3DF530}"/>
            </c:ext>
          </c:extLst>
        </c:ser>
        <c:ser>
          <c:idx val="2"/>
          <c:order val="2"/>
          <c:tx>
            <c:strRef>
              <c:f>'2025TrendAnalysis'!$G$2</c:f>
              <c:strCache>
                <c:ptCount val="1"/>
                <c:pt idx="0">
                  <c:v>CashBalance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'2025TrendAnalysis'!#REF!</c:f>
            </c:multiLvlStrRef>
          </c:cat>
          <c:val>
            <c:numRef>
              <c:f>'2025TrendAnalysis'!$G$3:$G$3</c:f>
              <c:numCache>
                <c:formatCode>_ "₹"\ * #,##0.00_ ;_ "₹"\ * \-#,##0.00_ ;_ "₹"\ * "-"??_ ;_ @_ </c:formatCode>
                <c:ptCount val="1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88A-4FD6-90A1-C2BC5C3DF530}"/>
            </c:ext>
          </c:extLst>
        </c:ser>
        <c:ser>
          <c:idx val="3"/>
          <c:order val="3"/>
          <c:tx>
            <c:strRef>
              <c:f>'2025TrendAnalysis'!$H$2</c:f>
              <c:strCache>
                <c:ptCount val="1"/>
                <c:pt idx="0">
                  <c:v>Outstanding Amount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'2025TrendAnalysis'!#REF!</c:f>
            </c:multiLvlStrRef>
          </c:cat>
          <c:val>
            <c:numRef>
              <c:f>'2025TrendAnalysis'!$H$3:$H$3</c:f>
              <c:numCache>
                <c:formatCode>_ "₹"\ * #,##0.00_ ;_ "₹"\ * \-#,##0.00_ ;_ "₹"\ * "-"??_ ;_ @_ </c:formatCode>
                <c:ptCount val="1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88A-4FD6-90A1-C2BC5C3DF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882112"/>
        <c:axId val="207883648"/>
      </c:lineChart>
      <c:catAx>
        <c:axId val="207882112"/>
        <c:scaling>
          <c:orientation val="minMax"/>
        </c:scaling>
        <c:delete val="0"/>
        <c:axPos val="b"/>
        <c:numFmt formatCode="[$-14009]dddd\,\ d\ mmmm\,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83648"/>
        <c:crosses val="autoZero"/>
        <c:auto val="1"/>
        <c:lblAlgn val="ctr"/>
        <c:lblOffset val="100"/>
        <c:noMultiLvlLbl val="0"/>
      </c:catAx>
      <c:valAx>
        <c:axId val="20788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&quot;₹&quot;\ * #,##0.00_ ;_ &quot;₹&quot;\ * \-#,##0.00_ ;_ &quot;₹&quot;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8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322" l="0.70000000000000062" r="0.70000000000000062" t="0.750000000000003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342900</xdr:colOff>
      <xdr:row>0</xdr:row>
      <xdr:rowOff>109537</xdr:rowOff>
    </xdr:from>
    <xdr:to>
      <xdr:col>15</xdr:col>
      <xdr:colOff>266700</xdr:colOff>
      <xdr:row>14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0</xdr:row>
      <xdr:rowOff>109537</xdr:rowOff>
    </xdr:from>
    <xdr:to>
      <xdr:col>16</xdr:col>
      <xdr:colOff>266700</xdr:colOff>
      <xdr:row>3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J184"/>
  <sheetViews>
    <sheetView topLeftCell="A130" workbookViewId="0">
      <selection activeCell="E149" sqref="E149"/>
    </sheetView>
  </sheetViews>
  <sheetFormatPr defaultRowHeight="15" x14ac:dyDescent="0.25"/>
  <cols>
    <col min="1" max="1" width="4.85546875" style="2" customWidth="1"/>
    <col min="2" max="2" width="33.42578125" style="2" customWidth="1"/>
    <col min="3" max="5" width="15" style="3" customWidth="1"/>
    <col min="6" max="6" width="13.28515625" style="3" customWidth="1"/>
    <col min="7" max="7" width="21.85546875" style="3" customWidth="1"/>
    <col min="8" max="8" width="19.140625" style="3" customWidth="1"/>
    <col min="9" max="9" width="25.28515625" style="2" customWidth="1"/>
    <col min="10" max="10" width="17.7109375" style="2" customWidth="1"/>
    <col min="11" max="16384" width="9.140625" style="2"/>
  </cols>
  <sheetData>
    <row r="1" spans="2:10" ht="20.100000000000001" customHeight="1" x14ac:dyDescent="0.25"/>
    <row r="2" spans="2:10" ht="34.5" customHeight="1" thickBot="1" x14ac:dyDescent="0.3">
      <c r="B2" s="4"/>
      <c r="C2" s="4" t="s">
        <v>16</v>
      </c>
      <c r="D2" s="4" t="s">
        <v>17</v>
      </c>
      <c r="E2" s="4" t="s">
        <v>46</v>
      </c>
      <c r="F2" s="4" t="s">
        <v>1</v>
      </c>
      <c r="G2" s="4" t="s">
        <v>2</v>
      </c>
      <c r="H2" s="4" t="s">
        <v>0</v>
      </c>
    </row>
    <row r="3" spans="2:10" ht="33.75" customHeight="1" thickTop="1" thickBot="1" x14ac:dyDescent="0.3">
      <c r="B3" s="5" t="s">
        <v>3</v>
      </c>
      <c r="C3" s="6">
        <v>35000</v>
      </c>
      <c r="D3" s="6"/>
      <c r="E3" s="6"/>
      <c r="F3" s="6" t="e">
        <f>#REF!</f>
        <v>#REF!</v>
      </c>
      <c r="G3" s="6" t="e">
        <f>#REF!</f>
        <v>#REF!</v>
      </c>
      <c r="H3" s="7" t="e">
        <f>#REF!</f>
        <v>#REF!</v>
      </c>
    </row>
    <row r="4" spans="2:10" ht="20.100000000000001" customHeight="1" thickTop="1" x14ac:dyDescent="0.25">
      <c r="B4" s="8">
        <v>45221</v>
      </c>
      <c r="C4" s="9">
        <v>35000</v>
      </c>
      <c r="D4" s="9"/>
      <c r="E4" s="9"/>
      <c r="F4" s="9">
        <v>41200</v>
      </c>
      <c r="G4" s="9">
        <v>800</v>
      </c>
      <c r="H4" s="9">
        <v>40400</v>
      </c>
    </row>
    <row r="5" spans="2:10" ht="20.100000000000001" customHeight="1" x14ac:dyDescent="0.25">
      <c r="B5" s="10">
        <v>45227</v>
      </c>
      <c r="C5" s="11">
        <v>35000</v>
      </c>
      <c r="D5" s="11"/>
      <c r="E5" s="11"/>
      <c r="F5" s="11">
        <v>41200</v>
      </c>
      <c r="G5" s="11">
        <v>4100</v>
      </c>
      <c r="H5" s="11">
        <v>37100</v>
      </c>
    </row>
    <row r="6" spans="2:10" ht="20.100000000000001" customHeight="1" x14ac:dyDescent="0.25">
      <c r="B6" s="12">
        <v>45235</v>
      </c>
      <c r="C6" s="13">
        <v>35000</v>
      </c>
      <c r="D6" s="13"/>
      <c r="E6" s="13"/>
      <c r="F6" s="13">
        <v>41200</v>
      </c>
      <c r="G6" s="13">
        <v>4100</v>
      </c>
      <c r="H6" s="13">
        <v>37100</v>
      </c>
    </row>
    <row r="7" spans="2:10" ht="20.100000000000001" customHeight="1" x14ac:dyDescent="0.25">
      <c r="B7" s="10">
        <v>45242</v>
      </c>
      <c r="C7" s="11">
        <v>34880</v>
      </c>
      <c r="D7" s="11"/>
      <c r="E7" s="11"/>
      <c r="F7" s="11">
        <v>46100</v>
      </c>
      <c r="G7" s="11">
        <v>0</v>
      </c>
      <c r="H7" s="11">
        <v>46100</v>
      </c>
      <c r="I7" s="1"/>
    </row>
    <row r="8" spans="2:10" ht="20.100000000000001" customHeight="1" x14ac:dyDescent="0.25">
      <c r="B8" s="12">
        <v>45249</v>
      </c>
      <c r="C8" s="13">
        <v>34880</v>
      </c>
      <c r="D8" s="13"/>
      <c r="E8" s="13"/>
      <c r="F8" s="13">
        <v>46100</v>
      </c>
      <c r="G8" s="13"/>
      <c r="H8" s="13">
        <v>46100</v>
      </c>
    </row>
    <row r="9" spans="2:10" ht="20.100000000000001" customHeight="1" x14ac:dyDescent="0.25">
      <c r="B9" s="10">
        <v>45256</v>
      </c>
      <c r="C9" s="11">
        <v>44880</v>
      </c>
      <c r="D9" s="11"/>
      <c r="E9" s="11"/>
      <c r="F9" s="11">
        <v>59050</v>
      </c>
      <c r="G9" s="11">
        <v>1850</v>
      </c>
      <c r="H9" s="11">
        <v>57200</v>
      </c>
    </row>
    <row r="10" spans="2:10" ht="20.100000000000001" customHeight="1" x14ac:dyDescent="0.25">
      <c r="B10" s="10">
        <v>45270</v>
      </c>
      <c r="C10" s="11">
        <v>44880</v>
      </c>
      <c r="D10" s="11"/>
      <c r="E10" s="11"/>
      <c r="F10" s="11">
        <f>G10+H10</f>
        <v>58500</v>
      </c>
      <c r="G10" s="11">
        <v>9100</v>
      </c>
      <c r="H10" s="11">
        <v>49400</v>
      </c>
    </row>
    <row r="11" spans="2:10" ht="20.100000000000001" customHeight="1" x14ac:dyDescent="0.25">
      <c r="B11" s="12">
        <v>45277</v>
      </c>
      <c r="C11" s="13">
        <v>134880</v>
      </c>
      <c r="D11" s="13"/>
      <c r="E11" s="13"/>
      <c r="F11" s="13">
        <v>190050</v>
      </c>
      <c r="G11" s="13">
        <v>13000</v>
      </c>
      <c r="H11" s="13">
        <v>177050</v>
      </c>
    </row>
    <row r="12" spans="2:10" ht="20.100000000000001" customHeight="1" x14ac:dyDescent="0.25">
      <c r="B12" s="10">
        <v>45284</v>
      </c>
      <c r="C12" s="11">
        <v>159880</v>
      </c>
      <c r="D12" s="11"/>
      <c r="E12" s="11"/>
      <c r="F12" s="11">
        <v>222250</v>
      </c>
      <c r="G12" s="11">
        <v>5500</v>
      </c>
      <c r="H12" s="11">
        <v>216750</v>
      </c>
    </row>
    <row r="13" spans="2:10" ht="20.100000000000001" customHeight="1" x14ac:dyDescent="0.25">
      <c r="B13" s="12">
        <v>45291</v>
      </c>
      <c r="C13" s="11">
        <v>159880</v>
      </c>
      <c r="D13" s="11"/>
      <c r="E13" s="11"/>
      <c r="F13" s="13">
        <v>222250</v>
      </c>
      <c r="G13" s="13">
        <v>16800</v>
      </c>
      <c r="H13" s="13">
        <v>205750</v>
      </c>
    </row>
    <row r="14" spans="2:10" ht="20.100000000000001" customHeight="1" x14ac:dyDescent="0.25">
      <c r="B14" s="10">
        <v>45298</v>
      </c>
      <c r="C14" s="11">
        <v>159880</v>
      </c>
      <c r="D14" s="11"/>
      <c r="E14" s="11"/>
      <c r="F14" s="11">
        <v>230000</v>
      </c>
      <c r="G14" s="11">
        <f>5000+8100+2850+2700</f>
        <v>18650</v>
      </c>
      <c r="H14" s="11">
        <v>211350</v>
      </c>
    </row>
    <row r="15" spans="2:10" ht="20.100000000000001" customHeight="1" x14ac:dyDescent="0.25">
      <c r="B15" s="12">
        <v>45301</v>
      </c>
      <c r="C15" s="11">
        <v>159880</v>
      </c>
      <c r="D15" s="11"/>
      <c r="E15" s="11"/>
      <c r="F15" s="13">
        <v>250800</v>
      </c>
      <c r="G15" s="13">
        <v>-150</v>
      </c>
      <c r="H15" s="13">
        <v>250950</v>
      </c>
    </row>
    <row r="16" spans="2:10" ht="20.100000000000001" customHeight="1" x14ac:dyDescent="0.25">
      <c r="B16" s="10">
        <v>45305</v>
      </c>
      <c r="C16" s="11">
        <v>159880</v>
      </c>
      <c r="D16" s="11"/>
      <c r="E16" s="11"/>
      <c r="F16" s="11">
        <v>242050</v>
      </c>
      <c r="G16" s="11">
        <v>5950</v>
      </c>
      <c r="H16" s="11">
        <v>236100</v>
      </c>
      <c r="J16" s="14"/>
    </row>
    <row r="17" spans="2:10" ht="20.100000000000001" customHeight="1" x14ac:dyDescent="0.25">
      <c r="B17" s="10">
        <v>45308</v>
      </c>
      <c r="C17" s="11">
        <v>159880</v>
      </c>
      <c r="D17" s="11"/>
      <c r="E17" s="11"/>
      <c r="F17" s="11">
        <v>242050</v>
      </c>
      <c r="G17" s="11">
        <v>12550</v>
      </c>
      <c r="H17" s="11">
        <v>229250</v>
      </c>
      <c r="I17" s="14"/>
    </row>
    <row r="18" spans="2:10" ht="20.100000000000001" customHeight="1" x14ac:dyDescent="0.25">
      <c r="B18" s="10">
        <v>45316</v>
      </c>
      <c r="C18" s="11">
        <v>159880</v>
      </c>
      <c r="D18" s="11"/>
      <c r="E18" s="11"/>
      <c r="F18" s="11">
        <v>242050</v>
      </c>
      <c r="G18" s="11">
        <v>17550</v>
      </c>
      <c r="H18" s="11">
        <v>224900</v>
      </c>
      <c r="I18" s="14"/>
    </row>
    <row r="19" spans="2:10" ht="20.100000000000001" customHeight="1" x14ac:dyDescent="0.25">
      <c r="B19" s="10">
        <v>45316</v>
      </c>
      <c r="C19" s="11">
        <v>159880</v>
      </c>
      <c r="D19" s="11"/>
      <c r="E19" s="11"/>
      <c r="F19" s="11">
        <v>249250</v>
      </c>
      <c r="G19" s="11">
        <v>7550</v>
      </c>
      <c r="H19" s="11">
        <v>241700</v>
      </c>
      <c r="I19" s="14"/>
    </row>
    <row r="20" spans="2:10" ht="20.100000000000001" customHeight="1" x14ac:dyDescent="0.25">
      <c r="B20" s="10">
        <v>45320</v>
      </c>
      <c r="C20" s="11">
        <v>159880</v>
      </c>
      <c r="D20" s="11"/>
      <c r="E20" s="11"/>
      <c r="F20" s="11">
        <v>249250</v>
      </c>
      <c r="G20" s="11">
        <v>16800</v>
      </c>
      <c r="H20" s="11">
        <v>232450</v>
      </c>
      <c r="I20" s="14" t="s">
        <v>4</v>
      </c>
      <c r="J20" s="14"/>
    </row>
    <row r="21" spans="2:10" x14ac:dyDescent="0.25">
      <c r="B21" s="10">
        <v>45321</v>
      </c>
      <c r="C21" s="11">
        <v>159880</v>
      </c>
      <c r="D21" s="11"/>
      <c r="E21" s="11"/>
      <c r="F21" s="11">
        <v>255900</v>
      </c>
      <c r="G21" s="11">
        <v>6650</v>
      </c>
      <c r="H21" s="11">
        <v>249250</v>
      </c>
    </row>
    <row r="22" spans="2:10" x14ac:dyDescent="0.25">
      <c r="B22" s="10">
        <v>45325</v>
      </c>
      <c r="C22" s="11">
        <f>159880+1500</f>
        <v>161380</v>
      </c>
      <c r="D22" s="11"/>
      <c r="E22" s="11"/>
      <c r="F22" s="11">
        <v>257400</v>
      </c>
      <c r="G22" s="11">
        <v>18650</v>
      </c>
      <c r="H22" s="11">
        <v>240150</v>
      </c>
    </row>
    <row r="23" spans="2:10" x14ac:dyDescent="0.25">
      <c r="B23" s="10">
        <v>45325</v>
      </c>
      <c r="C23" s="11">
        <v>161380</v>
      </c>
      <c r="D23" s="11"/>
      <c r="E23" s="11"/>
      <c r="F23" s="11">
        <v>252850</v>
      </c>
      <c r="G23" s="11">
        <v>1000</v>
      </c>
      <c r="H23" s="11">
        <v>251850</v>
      </c>
    </row>
    <row r="24" spans="2:10" x14ac:dyDescent="0.25">
      <c r="B24" s="10">
        <v>45331</v>
      </c>
      <c r="C24" s="11">
        <v>161380</v>
      </c>
      <c r="D24" s="11"/>
      <c r="E24" s="11"/>
      <c r="F24" s="11">
        <v>251450</v>
      </c>
      <c r="G24" s="11">
        <v>11700</v>
      </c>
      <c r="H24" s="11">
        <v>239750</v>
      </c>
    </row>
    <row r="25" spans="2:10" x14ac:dyDescent="0.25">
      <c r="B25" s="10">
        <v>45331</v>
      </c>
      <c r="C25" s="11">
        <v>161380</v>
      </c>
      <c r="D25" s="11"/>
      <c r="E25" s="11"/>
      <c r="F25" s="11">
        <v>253500</v>
      </c>
      <c r="G25" s="11">
        <v>-8150</v>
      </c>
      <c r="H25" s="11">
        <v>261650</v>
      </c>
    </row>
    <row r="26" spans="2:10" x14ac:dyDescent="0.25">
      <c r="B26" s="10">
        <v>45333</v>
      </c>
      <c r="C26" s="11">
        <v>161380</v>
      </c>
      <c r="D26" s="11"/>
      <c r="E26" s="11"/>
      <c r="F26" s="11">
        <v>257450</v>
      </c>
      <c r="G26" s="11">
        <v>-22600</v>
      </c>
      <c r="H26" s="11">
        <v>280050</v>
      </c>
    </row>
    <row r="27" spans="2:10" x14ac:dyDescent="0.25">
      <c r="B27" s="10">
        <v>45339</v>
      </c>
      <c r="C27" s="11">
        <v>161380</v>
      </c>
      <c r="D27" s="11"/>
      <c r="E27" s="11"/>
      <c r="F27" s="11">
        <v>257450</v>
      </c>
      <c r="G27" s="11">
        <v>-7450</v>
      </c>
      <c r="H27" s="11">
        <v>265300</v>
      </c>
      <c r="I27" s="14"/>
    </row>
    <row r="28" spans="2:10" x14ac:dyDescent="0.25">
      <c r="B28" s="10">
        <v>45339</v>
      </c>
      <c r="C28" s="11">
        <v>173380</v>
      </c>
      <c r="D28" s="11"/>
      <c r="E28" s="11"/>
      <c r="F28" s="11">
        <f>272250+1600</f>
        <v>273850</v>
      </c>
      <c r="G28" s="11">
        <v>-15450</v>
      </c>
      <c r="H28" s="11">
        <v>287700</v>
      </c>
      <c r="I28" s="14" t="s">
        <v>5</v>
      </c>
    </row>
    <row r="29" spans="2:10" x14ac:dyDescent="0.25">
      <c r="B29" s="10">
        <v>45347</v>
      </c>
      <c r="C29" s="11">
        <v>173380</v>
      </c>
      <c r="D29" s="11"/>
      <c r="E29" s="11"/>
      <c r="F29" s="11">
        <v>273850</v>
      </c>
      <c r="G29" s="11">
        <v>-2000</v>
      </c>
      <c r="H29" s="11">
        <v>275850</v>
      </c>
      <c r="I29" s="14" t="s">
        <v>6</v>
      </c>
    </row>
    <row r="30" spans="2:10" x14ac:dyDescent="0.25">
      <c r="B30" s="10">
        <v>45353</v>
      </c>
      <c r="C30" s="11">
        <v>173380</v>
      </c>
      <c r="D30" s="11"/>
      <c r="E30" s="11"/>
      <c r="F30" s="11">
        <v>273850</v>
      </c>
      <c r="G30" s="11">
        <v>11150</v>
      </c>
      <c r="H30" s="11">
        <v>262700</v>
      </c>
      <c r="I30" s="14" t="s">
        <v>6</v>
      </c>
    </row>
    <row r="31" spans="2:10" x14ac:dyDescent="0.25">
      <c r="B31" s="10">
        <v>45353</v>
      </c>
      <c r="C31" s="11">
        <v>173380</v>
      </c>
      <c r="D31" s="11"/>
      <c r="E31" s="11"/>
      <c r="F31" s="11">
        <v>279800</v>
      </c>
      <c r="G31" s="11">
        <v>-3100</v>
      </c>
      <c r="H31" s="11">
        <v>282900</v>
      </c>
      <c r="I31" s="14" t="s">
        <v>7</v>
      </c>
    </row>
    <row r="32" spans="2:10" x14ac:dyDescent="0.25">
      <c r="B32" s="10">
        <v>45359</v>
      </c>
      <c r="C32" s="11">
        <v>173380</v>
      </c>
      <c r="D32" s="11"/>
      <c r="E32" s="11"/>
      <c r="F32" s="11">
        <v>279800</v>
      </c>
      <c r="G32" s="11">
        <v>11600</v>
      </c>
      <c r="H32" s="11">
        <v>268200</v>
      </c>
      <c r="I32" s="14" t="s">
        <v>7</v>
      </c>
    </row>
    <row r="33" spans="2:9" x14ac:dyDescent="0.25">
      <c r="B33" s="10">
        <v>45359</v>
      </c>
      <c r="C33" s="11">
        <v>173380</v>
      </c>
      <c r="D33" s="11"/>
      <c r="E33" s="11"/>
      <c r="F33" s="11">
        <v>286600</v>
      </c>
      <c r="G33" s="11">
        <v>1600</v>
      </c>
      <c r="H33" s="11">
        <v>285000</v>
      </c>
      <c r="I33" s="14"/>
    </row>
    <row r="34" spans="2:9" x14ac:dyDescent="0.25">
      <c r="B34" s="10">
        <v>45373</v>
      </c>
      <c r="C34" s="11">
        <v>173380</v>
      </c>
      <c r="D34" s="11"/>
      <c r="E34" s="11"/>
      <c r="F34" s="11">
        <v>286600</v>
      </c>
      <c r="G34" s="11">
        <f>32450+2100</f>
        <v>34550</v>
      </c>
      <c r="H34" s="11">
        <v>252050</v>
      </c>
      <c r="I34" s="14"/>
    </row>
    <row r="35" spans="2:9" x14ac:dyDescent="0.25">
      <c r="B35" s="10">
        <v>45373</v>
      </c>
      <c r="C35" s="11">
        <v>173380</v>
      </c>
      <c r="D35" s="11"/>
      <c r="E35" s="11"/>
      <c r="F35" s="11">
        <v>290600</v>
      </c>
      <c r="G35" s="11">
        <v>14550</v>
      </c>
      <c r="H35" s="11">
        <v>276050</v>
      </c>
      <c r="I35" s="14" t="s">
        <v>8</v>
      </c>
    </row>
    <row r="36" spans="2:9" x14ac:dyDescent="0.25">
      <c r="B36" s="10">
        <v>45380</v>
      </c>
      <c r="C36" s="11">
        <v>173380</v>
      </c>
      <c r="D36" s="11"/>
      <c r="E36" s="11"/>
      <c r="F36" s="11">
        <v>290600</v>
      </c>
      <c r="G36" s="11">
        <v>29500</v>
      </c>
      <c r="H36" s="11">
        <v>261100</v>
      </c>
      <c r="I36" s="14" t="s">
        <v>8</v>
      </c>
    </row>
    <row r="37" spans="2:9" x14ac:dyDescent="0.25">
      <c r="B37" s="10">
        <v>45380</v>
      </c>
      <c r="C37" s="11">
        <v>173380</v>
      </c>
      <c r="D37" s="11"/>
      <c r="E37" s="11"/>
      <c r="F37" s="11">
        <f>297400-500</f>
        <v>296900</v>
      </c>
      <c r="G37" s="11">
        <f>19500-500</f>
        <v>19000</v>
      </c>
      <c r="H37" s="11">
        <v>277900</v>
      </c>
      <c r="I37" s="14" t="s">
        <v>8</v>
      </c>
    </row>
    <row r="38" spans="2:9" x14ac:dyDescent="0.25">
      <c r="B38" s="10">
        <v>45387</v>
      </c>
      <c r="C38" s="11">
        <v>173380</v>
      </c>
      <c r="D38" s="11"/>
      <c r="E38" s="11"/>
      <c r="F38" s="11">
        <f>297400-500</f>
        <v>296900</v>
      </c>
      <c r="G38" s="11">
        <v>36650</v>
      </c>
      <c r="H38" s="11">
        <v>260250</v>
      </c>
    </row>
    <row r="39" spans="2:9" x14ac:dyDescent="0.25">
      <c r="B39" s="10">
        <v>45387</v>
      </c>
      <c r="C39" s="11">
        <v>173380</v>
      </c>
      <c r="D39" s="11"/>
      <c r="E39" s="11"/>
      <c r="F39" s="11">
        <v>300900</v>
      </c>
      <c r="G39" s="11">
        <v>16650</v>
      </c>
      <c r="H39" s="11">
        <v>284250</v>
      </c>
    </row>
    <row r="40" spans="2:9" x14ac:dyDescent="0.25">
      <c r="B40" s="10">
        <v>45392</v>
      </c>
      <c r="C40" s="11">
        <v>173380</v>
      </c>
      <c r="D40" s="11"/>
      <c r="E40" s="11"/>
      <c r="F40" s="11">
        <v>300900</v>
      </c>
      <c r="G40" s="11">
        <v>22800</v>
      </c>
      <c r="H40" s="11">
        <v>278100</v>
      </c>
    </row>
    <row r="41" spans="2:9" x14ac:dyDescent="0.25">
      <c r="B41" s="10">
        <v>45392</v>
      </c>
      <c r="C41" s="11">
        <v>173380</v>
      </c>
      <c r="D41" s="11"/>
      <c r="E41" s="11"/>
      <c r="F41" s="11">
        <v>307700</v>
      </c>
      <c r="G41" s="11">
        <v>12800</v>
      </c>
      <c r="H41" s="11">
        <v>294900</v>
      </c>
    </row>
    <row r="42" spans="2:9" x14ac:dyDescent="0.25">
      <c r="B42" s="10">
        <v>45399</v>
      </c>
      <c r="C42" s="11">
        <v>173380</v>
      </c>
      <c r="D42" s="11"/>
      <c r="E42" s="11"/>
      <c r="F42" s="11">
        <v>307700</v>
      </c>
      <c r="G42" s="11">
        <v>31150</v>
      </c>
      <c r="H42" s="11">
        <v>276550</v>
      </c>
    </row>
    <row r="43" spans="2:9" x14ac:dyDescent="0.25">
      <c r="B43" s="10">
        <v>45399</v>
      </c>
      <c r="C43" s="11">
        <v>173380</v>
      </c>
      <c r="D43" s="11"/>
      <c r="E43" s="11"/>
      <c r="F43" s="11">
        <v>312700</v>
      </c>
      <c r="G43" s="11">
        <v>6150</v>
      </c>
      <c r="H43" s="11">
        <v>306550</v>
      </c>
    </row>
    <row r="44" spans="2:9" x14ac:dyDescent="0.25">
      <c r="B44" s="10">
        <v>45410</v>
      </c>
      <c r="C44" s="11">
        <v>173380</v>
      </c>
      <c r="D44" s="11"/>
      <c r="E44" s="11"/>
      <c r="F44" s="11">
        <v>312700</v>
      </c>
      <c r="G44" s="11">
        <v>30600</v>
      </c>
      <c r="H44" s="11">
        <v>282100</v>
      </c>
    </row>
    <row r="45" spans="2:9" x14ac:dyDescent="0.25">
      <c r="B45" s="10">
        <v>45410</v>
      </c>
      <c r="C45" s="11">
        <v>173380</v>
      </c>
      <c r="D45" s="11"/>
      <c r="E45" s="11"/>
      <c r="F45" s="11">
        <v>339900</v>
      </c>
      <c r="G45" s="11">
        <v>-9400</v>
      </c>
      <c r="H45" s="11">
        <v>349300</v>
      </c>
    </row>
    <row r="46" spans="2:9" x14ac:dyDescent="0.25">
      <c r="B46" s="10">
        <v>45416</v>
      </c>
      <c r="C46" s="11">
        <v>173380</v>
      </c>
      <c r="D46" s="11"/>
      <c r="E46" s="11"/>
      <c r="F46" s="11">
        <v>339900</v>
      </c>
      <c r="G46" s="11">
        <v>1150</v>
      </c>
      <c r="H46" s="11">
        <v>338750</v>
      </c>
    </row>
    <row r="47" spans="2:9" x14ac:dyDescent="0.25">
      <c r="B47" s="10">
        <v>45423</v>
      </c>
      <c r="C47" s="11">
        <v>178380</v>
      </c>
      <c r="D47" s="11"/>
      <c r="E47" s="11"/>
      <c r="F47" s="11">
        <v>339900</v>
      </c>
      <c r="G47" s="11">
        <v>17150</v>
      </c>
      <c r="H47" s="11">
        <v>322750</v>
      </c>
    </row>
    <row r="48" spans="2:9" x14ac:dyDescent="0.25">
      <c r="B48" s="10">
        <v>45424</v>
      </c>
      <c r="C48" s="11">
        <v>178380</v>
      </c>
      <c r="D48" s="11"/>
      <c r="E48" s="11"/>
      <c r="F48" s="11">
        <v>340900</v>
      </c>
      <c r="G48" s="11">
        <v>12150</v>
      </c>
      <c r="H48" s="11">
        <v>328750</v>
      </c>
      <c r="I48" s="2" t="s">
        <v>9</v>
      </c>
    </row>
    <row r="49" spans="2:9" x14ac:dyDescent="0.25">
      <c r="B49" s="10">
        <v>45424</v>
      </c>
      <c r="C49" s="11">
        <v>178380</v>
      </c>
      <c r="D49" s="11"/>
      <c r="E49" s="11"/>
      <c r="F49" s="11">
        <v>339900</v>
      </c>
      <c r="G49" s="11">
        <v>11150</v>
      </c>
      <c r="H49" s="11">
        <v>328750</v>
      </c>
    </row>
    <row r="50" spans="2:9" x14ac:dyDescent="0.25">
      <c r="B50" s="10">
        <v>45425</v>
      </c>
      <c r="C50" s="11">
        <v>178380</v>
      </c>
      <c r="D50" s="11"/>
      <c r="E50" s="11"/>
      <c r="F50" s="11">
        <v>342500</v>
      </c>
      <c r="G50" s="11">
        <v>-2050</v>
      </c>
      <c r="H50" s="11">
        <v>344550</v>
      </c>
    </row>
    <row r="51" spans="2:9" x14ac:dyDescent="0.25">
      <c r="B51" s="10">
        <v>45429</v>
      </c>
      <c r="C51" s="11">
        <v>178380</v>
      </c>
      <c r="D51" s="11"/>
      <c r="E51" s="11"/>
      <c r="F51" s="11">
        <v>342500</v>
      </c>
      <c r="G51" s="11">
        <v>4250</v>
      </c>
      <c r="H51" s="11">
        <v>338250</v>
      </c>
    </row>
    <row r="52" spans="2:9" x14ac:dyDescent="0.25">
      <c r="B52" s="10">
        <v>45429</v>
      </c>
      <c r="C52" s="11">
        <v>178380</v>
      </c>
      <c r="D52" s="11"/>
      <c r="E52" s="11"/>
      <c r="F52" s="11">
        <v>343500</v>
      </c>
      <c r="G52" s="11">
        <v>-750</v>
      </c>
      <c r="H52" s="11">
        <v>344250</v>
      </c>
    </row>
    <row r="53" spans="2:9" x14ac:dyDescent="0.25">
      <c r="B53" s="10">
        <v>45431</v>
      </c>
      <c r="C53" s="11">
        <v>178380</v>
      </c>
      <c r="D53" s="11"/>
      <c r="E53" s="11"/>
      <c r="F53" s="11">
        <v>343500</v>
      </c>
      <c r="G53" s="11">
        <v>13700</v>
      </c>
      <c r="H53" s="11">
        <v>329800</v>
      </c>
    </row>
    <row r="54" spans="2:9" x14ac:dyDescent="0.25">
      <c r="B54" s="10">
        <v>45431</v>
      </c>
      <c r="C54" s="11">
        <v>178380</v>
      </c>
      <c r="D54" s="11"/>
      <c r="E54" s="11"/>
      <c r="F54" s="11">
        <v>348500</v>
      </c>
      <c r="G54" s="11">
        <v>15300</v>
      </c>
      <c r="H54" s="11">
        <v>348200</v>
      </c>
      <c r="I54" s="2" t="s">
        <v>10</v>
      </c>
    </row>
    <row r="55" spans="2:9" x14ac:dyDescent="0.25">
      <c r="B55" s="10">
        <v>45436</v>
      </c>
      <c r="C55" s="11">
        <v>178380</v>
      </c>
      <c r="D55" s="11"/>
      <c r="E55" s="11"/>
      <c r="F55" s="11">
        <v>348500</v>
      </c>
      <c r="G55" s="11">
        <v>25050</v>
      </c>
      <c r="H55" s="11">
        <v>338650</v>
      </c>
      <c r="I55" s="2">
        <f>372200-24000</f>
        <v>348200</v>
      </c>
    </row>
    <row r="56" spans="2:9" x14ac:dyDescent="0.25">
      <c r="B56" s="10">
        <v>45436</v>
      </c>
      <c r="C56" s="11">
        <v>178380</v>
      </c>
      <c r="D56" s="11"/>
      <c r="E56" s="11"/>
      <c r="F56" s="11">
        <v>350800</v>
      </c>
      <c r="G56" s="11">
        <v>15050</v>
      </c>
      <c r="H56" s="11">
        <v>350550</v>
      </c>
    </row>
    <row r="57" spans="2:9" x14ac:dyDescent="0.25">
      <c r="B57" s="10">
        <v>45437</v>
      </c>
      <c r="C57" s="11">
        <v>178380</v>
      </c>
      <c r="D57" s="11"/>
      <c r="E57" s="11"/>
      <c r="F57" s="11">
        <v>350800</v>
      </c>
      <c r="G57" s="11">
        <v>24800</v>
      </c>
      <c r="H57" s="11">
        <v>341050</v>
      </c>
    </row>
    <row r="58" spans="2:9" x14ac:dyDescent="0.25">
      <c r="B58" s="10">
        <v>45437</v>
      </c>
      <c r="C58" s="11">
        <v>178380</v>
      </c>
      <c r="D58" s="11"/>
      <c r="E58" s="11"/>
      <c r="F58" s="11">
        <v>351850</v>
      </c>
      <c r="G58" s="11">
        <v>19800</v>
      </c>
      <c r="H58" s="11">
        <v>347050</v>
      </c>
    </row>
    <row r="59" spans="2:9" x14ac:dyDescent="0.25">
      <c r="B59" s="10">
        <v>45443</v>
      </c>
      <c r="C59" s="11">
        <v>178380</v>
      </c>
      <c r="D59" s="11"/>
      <c r="E59" s="11"/>
      <c r="F59" s="11">
        <v>351850</v>
      </c>
      <c r="G59" s="11">
        <v>28450</v>
      </c>
      <c r="H59" s="11">
        <v>338400</v>
      </c>
      <c r="I59" s="2" t="s">
        <v>11</v>
      </c>
    </row>
    <row r="60" spans="2:9" x14ac:dyDescent="0.25">
      <c r="B60" s="10">
        <v>45443</v>
      </c>
      <c r="C60" s="11">
        <v>178380</v>
      </c>
      <c r="D60" s="11"/>
      <c r="E60" s="11"/>
      <c r="F60" s="11">
        <v>353850</v>
      </c>
      <c r="G60" s="11">
        <v>18450</v>
      </c>
      <c r="H60" s="11">
        <v>350400</v>
      </c>
      <c r="I60" s="2" t="s">
        <v>11</v>
      </c>
    </row>
    <row r="61" spans="2:9" x14ac:dyDescent="0.25">
      <c r="B61" s="10">
        <v>45444</v>
      </c>
      <c r="C61" s="11">
        <v>178380</v>
      </c>
      <c r="D61" s="11"/>
      <c r="E61" s="11"/>
      <c r="F61" s="11">
        <v>353850</v>
      </c>
      <c r="G61" s="11">
        <v>31200</v>
      </c>
      <c r="H61" s="11">
        <v>337650</v>
      </c>
    </row>
    <row r="62" spans="2:9" x14ac:dyDescent="0.25">
      <c r="B62" s="10">
        <v>45444</v>
      </c>
      <c r="C62" s="11">
        <v>178380</v>
      </c>
      <c r="D62" s="11"/>
      <c r="E62" s="11"/>
      <c r="F62" s="11">
        <v>357850</v>
      </c>
      <c r="G62" s="11">
        <v>11200</v>
      </c>
      <c r="H62" s="11">
        <v>361650</v>
      </c>
      <c r="I62" s="2" t="s">
        <v>11</v>
      </c>
    </row>
    <row r="63" spans="2:9" x14ac:dyDescent="0.25">
      <c r="B63" s="10">
        <v>45448</v>
      </c>
      <c r="C63" s="11">
        <v>178380</v>
      </c>
      <c r="D63" s="11"/>
      <c r="E63" s="11"/>
      <c r="F63" s="11">
        <v>357850</v>
      </c>
      <c r="G63" s="11">
        <v>8600</v>
      </c>
      <c r="H63" s="11">
        <v>359250</v>
      </c>
      <c r="I63" s="2" t="s">
        <v>12</v>
      </c>
    </row>
    <row r="64" spans="2:9" x14ac:dyDescent="0.25">
      <c r="B64" s="10">
        <v>45472</v>
      </c>
      <c r="C64" s="11">
        <v>178380</v>
      </c>
      <c r="D64" s="11"/>
      <c r="E64" s="11"/>
      <c r="F64" s="11">
        <v>357850</v>
      </c>
      <c r="G64" s="11">
        <v>68200</v>
      </c>
      <c r="H64" s="11">
        <v>289650</v>
      </c>
      <c r="I64" s="2" t="s">
        <v>13</v>
      </c>
    </row>
    <row r="65" spans="2:10" x14ac:dyDescent="0.25">
      <c r="B65" s="10">
        <v>45473</v>
      </c>
      <c r="C65" s="11">
        <f>C64+10000</f>
        <v>188380</v>
      </c>
      <c r="D65" s="11">
        <v>60000</v>
      </c>
      <c r="E65" s="11"/>
      <c r="F65" s="11">
        <v>369850</v>
      </c>
      <c r="G65" s="11">
        <v>8200</v>
      </c>
      <c r="H65" s="11">
        <v>301650</v>
      </c>
      <c r="J65" s="2" t="s">
        <v>14</v>
      </c>
    </row>
    <row r="66" spans="2:10" x14ac:dyDescent="0.25">
      <c r="B66" s="10">
        <v>45484</v>
      </c>
      <c r="C66" s="11">
        <v>188380</v>
      </c>
      <c r="D66" s="11">
        <v>60000</v>
      </c>
      <c r="E66" s="11"/>
      <c r="F66" s="11">
        <v>369850</v>
      </c>
      <c r="G66" s="11">
        <v>37150</v>
      </c>
      <c r="H66" s="11">
        <v>272700</v>
      </c>
      <c r="J66" s="2" t="s">
        <v>15</v>
      </c>
    </row>
    <row r="67" spans="2:10" x14ac:dyDescent="0.25">
      <c r="B67" s="10">
        <v>45484</v>
      </c>
      <c r="C67" s="11">
        <v>188380</v>
      </c>
      <c r="D67" s="11">
        <v>60000</v>
      </c>
      <c r="E67" s="11"/>
      <c r="F67" s="11">
        <v>373850</v>
      </c>
      <c r="G67" s="11">
        <v>17150</v>
      </c>
      <c r="H67" s="11">
        <v>296700</v>
      </c>
    </row>
    <row r="68" spans="2:10" x14ac:dyDescent="0.25">
      <c r="B68" s="10">
        <v>45490</v>
      </c>
      <c r="C68" s="11">
        <v>188380</v>
      </c>
      <c r="D68" s="11">
        <v>60000</v>
      </c>
      <c r="E68" s="11"/>
      <c r="F68" s="11">
        <v>373850</v>
      </c>
      <c r="G68" s="11">
        <v>31950</v>
      </c>
      <c r="H68" s="11">
        <v>281900</v>
      </c>
    </row>
    <row r="69" spans="2:10" x14ac:dyDescent="0.25">
      <c r="B69" s="10">
        <v>45490</v>
      </c>
      <c r="C69" s="11">
        <v>188380</v>
      </c>
      <c r="D69" s="11">
        <v>60000</v>
      </c>
      <c r="E69" s="11"/>
      <c r="F69" s="11">
        <v>375850</v>
      </c>
      <c r="G69" s="11">
        <v>21950</v>
      </c>
      <c r="H69" s="11">
        <v>293900</v>
      </c>
    </row>
    <row r="70" spans="2:10" x14ac:dyDescent="0.25">
      <c r="B70" s="10">
        <v>45492</v>
      </c>
      <c r="C70" s="11">
        <v>188380</v>
      </c>
      <c r="D70" s="11">
        <v>60000</v>
      </c>
      <c r="E70" s="11"/>
      <c r="F70" s="11">
        <v>375850</v>
      </c>
      <c r="G70" s="11">
        <v>32000</v>
      </c>
      <c r="H70" s="11">
        <v>283850</v>
      </c>
    </row>
    <row r="71" spans="2:10" x14ac:dyDescent="0.25">
      <c r="B71" s="10">
        <v>45492</v>
      </c>
      <c r="C71" s="11">
        <v>188380</v>
      </c>
      <c r="D71" s="11">
        <v>60000</v>
      </c>
      <c r="E71" s="11"/>
      <c r="F71" s="11">
        <v>379850</v>
      </c>
      <c r="G71" s="11">
        <v>12000</v>
      </c>
      <c r="H71" s="11">
        <v>307850</v>
      </c>
    </row>
    <row r="72" spans="2:10" x14ac:dyDescent="0.25">
      <c r="B72" s="10">
        <v>45495</v>
      </c>
      <c r="C72" s="11">
        <v>188380</v>
      </c>
      <c r="D72" s="11">
        <v>60000</v>
      </c>
      <c r="E72" s="11"/>
      <c r="F72" s="11">
        <v>379850</v>
      </c>
      <c r="G72" s="11">
        <v>24550</v>
      </c>
      <c r="H72" s="11">
        <v>295300</v>
      </c>
      <c r="I72" s="15"/>
    </row>
    <row r="73" spans="2:10" x14ac:dyDescent="0.25">
      <c r="B73" s="10">
        <v>45495</v>
      </c>
      <c r="C73" s="11">
        <v>188380</v>
      </c>
      <c r="D73" s="11">
        <v>60000</v>
      </c>
      <c r="E73" s="11"/>
      <c r="F73" s="11">
        <v>381850</v>
      </c>
      <c r="G73" s="11">
        <v>14550</v>
      </c>
      <c r="H73" s="11">
        <v>307300</v>
      </c>
      <c r="I73" s="15"/>
    </row>
    <row r="74" spans="2:10" x14ac:dyDescent="0.25">
      <c r="B74" s="10">
        <v>45500</v>
      </c>
      <c r="C74" s="11">
        <v>188380</v>
      </c>
      <c r="D74" s="11">
        <v>60000</v>
      </c>
      <c r="E74" s="11"/>
      <c r="F74" s="11">
        <v>381850</v>
      </c>
      <c r="G74" s="11">
        <v>34050</v>
      </c>
      <c r="H74" s="11">
        <v>287800</v>
      </c>
      <c r="I74" s="15">
        <v>285400</v>
      </c>
      <c r="J74" s="15">
        <f>H74-I74</f>
        <v>2400</v>
      </c>
    </row>
    <row r="75" spans="2:10" x14ac:dyDescent="0.25">
      <c r="B75" s="10">
        <v>45500</v>
      </c>
      <c r="C75" s="11">
        <v>188380</v>
      </c>
      <c r="D75" s="11">
        <v>60000</v>
      </c>
      <c r="E75" s="11"/>
      <c r="F75" s="11">
        <v>385850</v>
      </c>
      <c r="G75" s="11">
        <v>14050</v>
      </c>
      <c r="H75" s="11">
        <v>311800</v>
      </c>
      <c r="I75" s="2">
        <f>1400+1000</f>
        <v>2400</v>
      </c>
    </row>
    <row r="76" spans="2:10" x14ac:dyDescent="0.25">
      <c r="B76" s="10">
        <v>45506</v>
      </c>
      <c r="C76" s="11">
        <v>188380</v>
      </c>
      <c r="D76" s="11">
        <v>60000</v>
      </c>
      <c r="E76" s="11"/>
      <c r="F76" s="11">
        <v>385850</v>
      </c>
      <c r="G76" s="11">
        <v>42750</v>
      </c>
      <c r="H76" s="11">
        <v>283100</v>
      </c>
    </row>
    <row r="77" spans="2:10" x14ac:dyDescent="0.25">
      <c r="B77" s="10">
        <v>45506</v>
      </c>
      <c r="C77" s="11">
        <v>188380</v>
      </c>
      <c r="D77" s="11">
        <v>60000</v>
      </c>
      <c r="E77" s="11"/>
      <c r="F77" s="11">
        <v>392800</v>
      </c>
      <c r="G77" s="11">
        <v>7750</v>
      </c>
      <c r="H77" s="11">
        <v>325050</v>
      </c>
      <c r="I77" s="15"/>
    </row>
    <row r="78" spans="2:10" x14ac:dyDescent="0.25">
      <c r="B78" s="10">
        <v>45513</v>
      </c>
      <c r="C78" s="11">
        <v>188380</v>
      </c>
      <c r="D78" s="11">
        <v>60000</v>
      </c>
      <c r="E78" s="11"/>
      <c r="F78" s="11">
        <v>392800</v>
      </c>
      <c r="G78" s="11">
        <v>25400</v>
      </c>
      <c r="H78" s="11">
        <v>307400</v>
      </c>
    </row>
    <row r="79" spans="2:10" x14ac:dyDescent="0.25">
      <c r="B79" s="10">
        <v>45513</v>
      </c>
      <c r="C79" s="11">
        <v>188380</v>
      </c>
      <c r="D79" s="11">
        <v>60000</v>
      </c>
      <c r="E79" s="11"/>
      <c r="F79" s="11">
        <v>394800</v>
      </c>
      <c r="G79" s="11">
        <v>15400</v>
      </c>
      <c r="H79" s="11">
        <v>319400</v>
      </c>
      <c r="I79" s="14"/>
    </row>
    <row r="80" spans="2:10" x14ac:dyDescent="0.25">
      <c r="B80" s="10">
        <v>45522</v>
      </c>
      <c r="C80" s="11">
        <v>188380</v>
      </c>
      <c r="D80" s="11">
        <v>60000</v>
      </c>
      <c r="E80" s="11"/>
      <c r="F80" s="11">
        <v>394800</v>
      </c>
      <c r="G80" s="11">
        <v>41800</v>
      </c>
      <c r="H80" s="11">
        <v>293000</v>
      </c>
      <c r="I80" s="14"/>
    </row>
    <row r="81" spans="2:9" x14ac:dyDescent="0.25">
      <c r="B81" s="10">
        <v>45522</v>
      </c>
      <c r="C81" s="11">
        <v>188380</v>
      </c>
      <c r="D81" s="11">
        <v>60000</v>
      </c>
      <c r="E81" s="11"/>
      <c r="F81" s="11">
        <v>400800</v>
      </c>
      <c r="G81" s="11">
        <v>11800</v>
      </c>
      <c r="H81" s="11">
        <v>329000</v>
      </c>
      <c r="I81" s="14"/>
    </row>
    <row r="82" spans="2:9" x14ac:dyDescent="0.25">
      <c r="B82" s="10">
        <v>45529</v>
      </c>
      <c r="C82" s="11">
        <v>188380</v>
      </c>
      <c r="D82" s="11">
        <v>60000</v>
      </c>
      <c r="E82" s="11"/>
      <c r="F82" s="11">
        <v>400800</v>
      </c>
      <c r="G82" s="11">
        <v>27200</v>
      </c>
      <c r="H82" s="11">
        <v>308600</v>
      </c>
      <c r="I82" s="14"/>
    </row>
    <row r="83" spans="2:9" x14ac:dyDescent="0.25">
      <c r="B83" s="10">
        <v>45529</v>
      </c>
      <c r="C83" s="11">
        <v>188380</v>
      </c>
      <c r="D83" s="11">
        <v>60000</v>
      </c>
      <c r="E83" s="11"/>
      <c r="F83" s="11">
        <v>398800</v>
      </c>
      <c r="G83" s="11">
        <v>12200</v>
      </c>
      <c r="H83" s="11">
        <v>326600</v>
      </c>
      <c r="I83" s="14"/>
    </row>
    <row r="84" spans="2:9" x14ac:dyDescent="0.25">
      <c r="B84" s="10">
        <v>45534</v>
      </c>
      <c r="C84" s="11">
        <v>188380</v>
      </c>
      <c r="D84" s="11">
        <v>60000</v>
      </c>
      <c r="E84" s="11"/>
      <c r="F84" s="11">
        <v>398800</v>
      </c>
      <c r="G84" s="11">
        <v>34150</v>
      </c>
      <c r="H84" s="11">
        <v>304650</v>
      </c>
      <c r="I84" s="14"/>
    </row>
    <row r="85" spans="2:9" x14ac:dyDescent="0.25">
      <c r="B85" s="10">
        <v>45534</v>
      </c>
      <c r="C85" s="11">
        <v>188380</v>
      </c>
      <c r="D85" s="11">
        <v>60000</v>
      </c>
      <c r="E85" s="11"/>
      <c r="F85" s="11">
        <v>403800</v>
      </c>
      <c r="G85" s="11">
        <v>9150</v>
      </c>
      <c r="H85" s="11">
        <v>334650</v>
      </c>
      <c r="I85" s="14"/>
    </row>
    <row r="86" spans="2:9" x14ac:dyDescent="0.25">
      <c r="B86" s="10">
        <v>45542</v>
      </c>
      <c r="C86" s="11">
        <v>188380</v>
      </c>
      <c r="D86" s="11">
        <v>60000</v>
      </c>
      <c r="E86" s="11"/>
      <c r="F86" s="11">
        <v>403800</v>
      </c>
      <c r="G86" s="11">
        <v>33700</v>
      </c>
      <c r="H86" s="11">
        <v>310100</v>
      </c>
      <c r="I86" s="14"/>
    </row>
    <row r="87" spans="2:9" x14ac:dyDescent="0.25">
      <c r="B87" s="10">
        <v>45542</v>
      </c>
      <c r="C87" s="11">
        <v>188380</v>
      </c>
      <c r="D87" s="11">
        <v>60000</v>
      </c>
      <c r="E87" s="11"/>
      <c r="F87" s="11">
        <v>404800</v>
      </c>
      <c r="G87" s="11">
        <v>28700</v>
      </c>
      <c r="H87" s="11">
        <v>316100</v>
      </c>
      <c r="I87" s="14" t="s">
        <v>18</v>
      </c>
    </row>
    <row r="88" spans="2:9" x14ac:dyDescent="0.25">
      <c r="B88" s="10">
        <v>45544</v>
      </c>
      <c r="C88" s="11">
        <v>188380</v>
      </c>
      <c r="D88" s="11">
        <v>60000</v>
      </c>
      <c r="E88" s="11"/>
      <c r="F88" s="11">
        <v>399300</v>
      </c>
      <c r="G88" s="11">
        <v>23200</v>
      </c>
      <c r="H88" s="11">
        <v>316100</v>
      </c>
      <c r="I88" s="14" t="s">
        <v>19</v>
      </c>
    </row>
    <row r="89" spans="2:9" x14ac:dyDescent="0.25">
      <c r="B89" s="10">
        <v>45549</v>
      </c>
      <c r="C89" s="11">
        <v>188380</v>
      </c>
      <c r="D89" s="11">
        <v>60000</v>
      </c>
      <c r="E89" s="11"/>
      <c r="F89" s="11">
        <v>399300</v>
      </c>
      <c r="G89" s="11">
        <v>41150</v>
      </c>
      <c r="H89" s="11">
        <v>298150</v>
      </c>
      <c r="I89" s="14"/>
    </row>
    <row r="90" spans="2:9" x14ac:dyDescent="0.25">
      <c r="B90" s="10">
        <v>45549</v>
      </c>
      <c r="C90" s="11">
        <v>188380</v>
      </c>
      <c r="D90" s="11">
        <v>60000</v>
      </c>
      <c r="E90" s="11"/>
      <c r="F90" s="11">
        <v>403300</v>
      </c>
      <c r="G90" s="11">
        <v>21150</v>
      </c>
      <c r="H90" s="11">
        <v>322150</v>
      </c>
      <c r="I90" s="14" t="s">
        <v>20</v>
      </c>
    </row>
    <row r="91" spans="2:9" x14ac:dyDescent="0.25">
      <c r="B91" s="10">
        <v>45556</v>
      </c>
      <c r="C91" s="11">
        <v>188380</v>
      </c>
      <c r="D91" s="11">
        <v>60000</v>
      </c>
      <c r="E91" s="11"/>
      <c r="F91" s="11">
        <v>403300</v>
      </c>
      <c r="G91" s="11">
        <v>54700</v>
      </c>
      <c r="H91" s="11">
        <v>288600</v>
      </c>
      <c r="I91" s="14"/>
    </row>
    <row r="92" spans="2:9" x14ac:dyDescent="0.25">
      <c r="B92" s="10">
        <v>45556</v>
      </c>
      <c r="C92" s="11">
        <v>188380</v>
      </c>
      <c r="D92" s="11">
        <v>60000</v>
      </c>
      <c r="E92" s="11"/>
      <c r="F92" s="11">
        <v>407250</v>
      </c>
      <c r="G92" s="11">
        <v>34700</v>
      </c>
      <c r="H92" s="11">
        <v>312550</v>
      </c>
      <c r="I92" s="14"/>
    </row>
    <row r="93" spans="2:9" x14ac:dyDescent="0.25">
      <c r="B93" s="10">
        <v>45560</v>
      </c>
      <c r="C93" s="11">
        <v>188380</v>
      </c>
      <c r="D93" s="11">
        <v>60000</v>
      </c>
      <c r="E93" s="11"/>
      <c r="F93" s="11">
        <v>407250</v>
      </c>
      <c r="G93" s="11">
        <v>45750</v>
      </c>
      <c r="H93" s="11">
        <v>301500</v>
      </c>
      <c r="I93" s="14"/>
    </row>
    <row r="94" spans="2:9" x14ac:dyDescent="0.25">
      <c r="B94" s="10">
        <v>45560</v>
      </c>
      <c r="C94" s="11">
        <v>188380</v>
      </c>
      <c r="D94" s="11">
        <v>60000</v>
      </c>
      <c r="E94" s="11"/>
      <c r="F94" s="11">
        <v>409250</v>
      </c>
      <c r="G94" s="11">
        <v>35750</v>
      </c>
      <c r="H94" s="11">
        <v>313500</v>
      </c>
      <c r="I94" s="14" t="s">
        <v>21</v>
      </c>
    </row>
    <row r="95" spans="2:9" x14ac:dyDescent="0.25">
      <c r="B95" s="10">
        <v>45561</v>
      </c>
      <c r="C95" s="11">
        <v>188380</v>
      </c>
      <c r="D95" s="11">
        <v>60000</v>
      </c>
      <c r="E95" s="11"/>
      <c r="F95" s="11">
        <v>409250</v>
      </c>
      <c r="G95" s="11">
        <v>51900</v>
      </c>
      <c r="H95" s="11">
        <v>297350</v>
      </c>
      <c r="I95" s="14"/>
    </row>
    <row r="96" spans="2:9" x14ac:dyDescent="0.25">
      <c r="B96" s="10">
        <v>45561</v>
      </c>
      <c r="C96" s="11">
        <v>188380</v>
      </c>
      <c r="D96" s="11">
        <v>60000</v>
      </c>
      <c r="E96" s="11"/>
      <c r="F96" s="11">
        <v>413250</v>
      </c>
      <c r="G96" s="11">
        <v>31900</v>
      </c>
      <c r="H96" s="11">
        <v>321350</v>
      </c>
      <c r="I96" s="14" t="s">
        <v>22</v>
      </c>
    </row>
    <row r="97" spans="2:9" x14ac:dyDescent="0.25">
      <c r="B97" s="10">
        <v>45561</v>
      </c>
      <c r="C97" s="11">
        <v>188380</v>
      </c>
      <c r="D97" s="11">
        <v>60000</v>
      </c>
      <c r="E97" s="11"/>
      <c r="F97" s="11">
        <v>413250</v>
      </c>
      <c r="G97" s="11">
        <v>33400</v>
      </c>
      <c r="H97" s="11">
        <v>319850</v>
      </c>
      <c r="I97" s="14"/>
    </row>
    <row r="98" spans="2:9" x14ac:dyDescent="0.25">
      <c r="B98" s="10">
        <v>45561</v>
      </c>
      <c r="C98" s="11">
        <v>188380</v>
      </c>
      <c r="D98" s="11">
        <v>60000</v>
      </c>
      <c r="E98" s="11"/>
      <c r="F98" s="11">
        <v>415250</v>
      </c>
      <c r="G98" s="11">
        <v>23400</v>
      </c>
      <c r="H98" s="11">
        <v>331850</v>
      </c>
      <c r="I98" s="14" t="s">
        <v>23</v>
      </c>
    </row>
    <row r="99" spans="2:9" x14ac:dyDescent="0.25">
      <c r="B99" s="10">
        <v>45569</v>
      </c>
      <c r="C99" s="11">
        <v>188380</v>
      </c>
      <c r="D99" s="11">
        <v>60000</v>
      </c>
      <c r="E99" s="11"/>
      <c r="F99" s="11">
        <v>415250</v>
      </c>
      <c r="G99" s="11">
        <v>41000</v>
      </c>
      <c r="H99" s="11">
        <v>314250</v>
      </c>
      <c r="I99" s="14"/>
    </row>
    <row r="100" spans="2:9" x14ac:dyDescent="0.25">
      <c r="B100" s="10">
        <v>45569</v>
      </c>
      <c r="C100" s="11">
        <v>188380</v>
      </c>
      <c r="D100" s="11">
        <v>60000</v>
      </c>
      <c r="E100" s="11"/>
      <c r="F100" s="11">
        <v>418250</v>
      </c>
      <c r="G100" s="11">
        <v>26000</v>
      </c>
      <c r="H100" s="11">
        <v>332250</v>
      </c>
      <c r="I100" s="14" t="s">
        <v>24</v>
      </c>
    </row>
    <row r="101" spans="2:9" x14ac:dyDescent="0.25">
      <c r="B101" s="10">
        <v>45577</v>
      </c>
      <c r="C101" s="11">
        <v>188380</v>
      </c>
      <c r="D101" s="11">
        <v>60000</v>
      </c>
      <c r="E101" s="11"/>
      <c r="F101" s="11">
        <v>418250</v>
      </c>
      <c r="G101" s="11">
        <v>56850</v>
      </c>
      <c r="H101" s="11">
        <v>301400</v>
      </c>
      <c r="I101" s="14"/>
    </row>
    <row r="102" spans="2:9" x14ac:dyDescent="0.25">
      <c r="B102" s="10">
        <v>45577</v>
      </c>
      <c r="C102" s="11">
        <v>188380</v>
      </c>
      <c r="D102" s="11">
        <v>60000</v>
      </c>
      <c r="E102" s="11"/>
      <c r="F102" s="11">
        <v>428250</v>
      </c>
      <c r="G102" s="11">
        <v>6850</v>
      </c>
      <c r="H102" s="11">
        <v>361400</v>
      </c>
      <c r="I102" s="14" t="s">
        <v>25</v>
      </c>
    </row>
    <row r="103" spans="2:9" x14ac:dyDescent="0.25">
      <c r="B103" s="10">
        <v>45577</v>
      </c>
      <c r="C103" s="11">
        <v>188380</v>
      </c>
      <c r="D103" s="11">
        <v>60000</v>
      </c>
      <c r="E103" s="11"/>
      <c r="F103" s="11">
        <v>428250</v>
      </c>
      <c r="G103" s="11">
        <v>16450</v>
      </c>
      <c r="H103" s="11">
        <v>351800</v>
      </c>
      <c r="I103" s="14"/>
    </row>
    <row r="104" spans="2:9" x14ac:dyDescent="0.25">
      <c r="B104" s="10">
        <v>45583</v>
      </c>
      <c r="C104" s="11">
        <v>188380</v>
      </c>
      <c r="D104" s="11">
        <v>60000</v>
      </c>
      <c r="E104" s="11"/>
      <c r="F104" s="11">
        <v>428250</v>
      </c>
      <c r="G104" s="11">
        <v>72100</v>
      </c>
      <c r="H104" s="11">
        <v>296150</v>
      </c>
      <c r="I104" s="14"/>
    </row>
    <row r="105" spans="2:9" x14ac:dyDescent="0.25">
      <c r="B105" s="10">
        <v>45583</v>
      </c>
      <c r="C105" s="11">
        <v>188380</v>
      </c>
      <c r="D105" s="11">
        <v>60000</v>
      </c>
      <c r="E105" s="11"/>
      <c r="F105" s="11">
        <v>428250</v>
      </c>
      <c r="G105" s="11">
        <v>270100</v>
      </c>
      <c r="H105" s="11">
        <v>296150</v>
      </c>
      <c r="I105" s="14" t="s">
        <v>26</v>
      </c>
    </row>
    <row r="106" spans="2:9" x14ac:dyDescent="0.25">
      <c r="B106" s="10">
        <v>45583</v>
      </c>
      <c r="C106" s="11">
        <v>188380</v>
      </c>
      <c r="D106" s="11">
        <v>60000</v>
      </c>
      <c r="E106" s="11"/>
      <c r="F106" s="11">
        <v>716250</v>
      </c>
      <c r="G106" s="11">
        <v>20100</v>
      </c>
      <c r="H106" s="11">
        <v>636150</v>
      </c>
      <c r="I106" s="14"/>
    </row>
    <row r="107" spans="2:9" x14ac:dyDescent="0.25">
      <c r="B107" s="10">
        <v>45586</v>
      </c>
      <c r="C107" s="11">
        <v>188380</v>
      </c>
      <c r="D107" s="11">
        <v>60000</v>
      </c>
      <c r="E107" s="11"/>
      <c r="F107" s="11">
        <v>716250</v>
      </c>
      <c r="G107" s="11">
        <v>31200</v>
      </c>
      <c r="H107" s="11">
        <v>625050</v>
      </c>
      <c r="I107" s="14"/>
    </row>
    <row r="108" spans="2:9" x14ac:dyDescent="0.25">
      <c r="B108" s="10">
        <v>45586</v>
      </c>
      <c r="C108" s="11">
        <v>188380</v>
      </c>
      <c r="D108" s="11">
        <v>60000</v>
      </c>
      <c r="E108" s="11"/>
      <c r="F108" s="11">
        <v>718250</v>
      </c>
      <c r="G108" s="11">
        <v>21200</v>
      </c>
      <c r="H108" s="11">
        <v>637050</v>
      </c>
      <c r="I108" s="14" t="s">
        <v>27</v>
      </c>
    </row>
    <row r="109" spans="2:9" x14ac:dyDescent="0.25">
      <c r="B109" s="10">
        <v>45590</v>
      </c>
      <c r="C109" s="11">
        <v>188380</v>
      </c>
      <c r="D109" s="11">
        <v>60000</v>
      </c>
      <c r="E109" s="11"/>
      <c r="F109" s="11">
        <v>718250</v>
      </c>
      <c r="G109" s="11">
        <v>40550</v>
      </c>
      <c r="H109" s="11">
        <v>617700</v>
      </c>
      <c r="I109" s="14"/>
    </row>
    <row r="110" spans="2:9" x14ac:dyDescent="0.25">
      <c r="B110" s="10">
        <v>45590</v>
      </c>
      <c r="C110" s="11">
        <v>188380</v>
      </c>
      <c r="D110" s="11">
        <v>60000</v>
      </c>
      <c r="E110" s="11"/>
      <c r="F110" s="11">
        <v>722250</v>
      </c>
      <c r="G110" s="11">
        <v>20550</v>
      </c>
      <c r="H110" s="11">
        <v>641700</v>
      </c>
      <c r="I110" s="14" t="s">
        <v>28</v>
      </c>
    </row>
    <row r="111" spans="2:9" x14ac:dyDescent="0.25">
      <c r="B111" s="10">
        <v>45595</v>
      </c>
      <c r="C111" s="11">
        <v>188380</v>
      </c>
      <c r="D111" s="11">
        <v>60000</v>
      </c>
      <c r="E111" s="11"/>
      <c r="F111" s="11">
        <v>722250</v>
      </c>
      <c r="G111" s="11">
        <v>62650</v>
      </c>
      <c r="H111" s="11">
        <v>599600</v>
      </c>
      <c r="I111" s="14"/>
    </row>
    <row r="112" spans="2:9" x14ac:dyDescent="0.25">
      <c r="B112" s="10">
        <v>45595</v>
      </c>
      <c r="C112" s="11">
        <v>188380</v>
      </c>
      <c r="D112" s="11">
        <v>60000</v>
      </c>
      <c r="E112" s="11"/>
      <c r="F112" s="11">
        <v>730250</v>
      </c>
      <c r="G112" s="11">
        <v>22650</v>
      </c>
      <c r="H112" s="11">
        <v>647600</v>
      </c>
      <c r="I112" s="14" t="s">
        <v>29</v>
      </c>
    </row>
    <row r="113" spans="2:9" x14ac:dyDescent="0.25">
      <c r="B113" s="10">
        <v>45601</v>
      </c>
      <c r="C113" s="11">
        <v>188380</v>
      </c>
      <c r="D113" s="11">
        <v>60000</v>
      </c>
      <c r="E113" s="11"/>
      <c r="F113" s="11">
        <v>730250</v>
      </c>
      <c r="G113" s="11">
        <v>51000</v>
      </c>
      <c r="H113" s="11">
        <v>619250</v>
      </c>
      <c r="I113" s="14"/>
    </row>
    <row r="114" spans="2:9" x14ac:dyDescent="0.25">
      <c r="B114" s="10">
        <v>45601</v>
      </c>
      <c r="C114" s="11">
        <v>188380</v>
      </c>
      <c r="D114" s="11">
        <v>60000</v>
      </c>
      <c r="E114" s="11"/>
      <c r="F114" s="11">
        <v>736250</v>
      </c>
      <c r="G114" s="11">
        <v>21000</v>
      </c>
      <c r="H114" s="11">
        <v>655250</v>
      </c>
      <c r="I114" s="14" t="s">
        <v>30</v>
      </c>
    </row>
    <row r="115" spans="2:9" x14ac:dyDescent="0.25">
      <c r="B115" s="10">
        <v>45602</v>
      </c>
      <c r="C115" s="11">
        <v>188380</v>
      </c>
      <c r="D115" s="11">
        <v>60000</v>
      </c>
      <c r="E115" s="11"/>
      <c r="F115" s="11">
        <v>736250</v>
      </c>
      <c r="G115" s="11">
        <v>30550</v>
      </c>
      <c r="H115" s="11">
        <v>645700</v>
      </c>
      <c r="I115" s="14"/>
    </row>
    <row r="116" spans="2:9" x14ac:dyDescent="0.25">
      <c r="B116" s="10">
        <v>45611</v>
      </c>
      <c r="C116" s="11">
        <v>188380</v>
      </c>
      <c r="D116" s="11">
        <v>60000</v>
      </c>
      <c r="E116" s="11"/>
      <c r="F116" s="11">
        <v>736250</v>
      </c>
      <c r="G116" s="11">
        <v>92100</v>
      </c>
      <c r="H116" s="11">
        <v>584150</v>
      </c>
      <c r="I116" s="14"/>
    </row>
    <row r="117" spans="2:9" x14ac:dyDescent="0.25">
      <c r="B117" s="10">
        <v>45611</v>
      </c>
      <c r="C117" s="11">
        <v>188380</v>
      </c>
      <c r="D117" s="11">
        <v>60000</v>
      </c>
      <c r="E117" s="11"/>
      <c r="F117" s="11">
        <v>748250</v>
      </c>
      <c r="G117" s="11">
        <v>32100</v>
      </c>
      <c r="H117" s="11">
        <v>656150</v>
      </c>
      <c r="I117" s="14" t="s">
        <v>31</v>
      </c>
    </row>
    <row r="118" spans="2:9" x14ac:dyDescent="0.25">
      <c r="B118" s="10">
        <v>45611</v>
      </c>
      <c r="C118" s="11">
        <v>188380</v>
      </c>
      <c r="D118" s="11">
        <v>60000</v>
      </c>
      <c r="E118" s="11"/>
      <c r="F118" s="11">
        <v>741750</v>
      </c>
      <c r="G118" s="11">
        <v>25600</v>
      </c>
      <c r="H118" s="11">
        <v>656150</v>
      </c>
      <c r="I118" s="14" t="s">
        <v>32</v>
      </c>
    </row>
    <row r="119" spans="2:9" x14ac:dyDescent="0.25">
      <c r="B119" s="10">
        <v>45611</v>
      </c>
      <c r="C119" s="11">
        <v>188380</v>
      </c>
      <c r="D119" s="11">
        <v>60000</v>
      </c>
      <c r="E119" s="11"/>
      <c r="F119" s="11">
        <v>741750</v>
      </c>
      <c r="G119" s="11">
        <v>43400</v>
      </c>
      <c r="H119" s="11">
        <v>638350</v>
      </c>
      <c r="I119" s="14"/>
    </row>
    <row r="120" spans="2:9" x14ac:dyDescent="0.25">
      <c r="B120" s="10">
        <v>45618</v>
      </c>
      <c r="C120" s="11">
        <v>188380</v>
      </c>
      <c r="D120" s="11">
        <v>60000</v>
      </c>
      <c r="E120" s="11"/>
      <c r="F120" s="11">
        <f>831950-30000</f>
        <v>801950</v>
      </c>
      <c r="G120" s="11">
        <v>36400</v>
      </c>
      <c r="H120" s="11">
        <v>735550</v>
      </c>
      <c r="I120" s="14" t="s">
        <v>33</v>
      </c>
    </row>
    <row r="121" spans="2:9" x14ac:dyDescent="0.25">
      <c r="B121" s="10">
        <v>45621</v>
      </c>
      <c r="C121" s="11">
        <v>188380</v>
      </c>
      <c r="D121" s="11">
        <v>60000</v>
      </c>
      <c r="E121" s="11"/>
      <c r="F121" s="11">
        <f>831950-30000</f>
        <v>801950</v>
      </c>
      <c r="G121" s="11">
        <v>50300</v>
      </c>
      <c r="H121" s="11">
        <v>721650</v>
      </c>
      <c r="I121" s="14"/>
    </row>
    <row r="122" spans="2:9" x14ac:dyDescent="0.25">
      <c r="B122" s="10">
        <v>45626</v>
      </c>
      <c r="C122" s="11">
        <v>188380</v>
      </c>
      <c r="D122" s="11">
        <v>60000</v>
      </c>
      <c r="E122" s="11"/>
      <c r="F122" s="11">
        <f>831950-30000</f>
        <v>801950</v>
      </c>
      <c r="G122" s="11">
        <v>76050</v>
      </c>
      <c r="H122" s="11">
        <v>695900</v>
      </c>
      <c r="I122" s="14"/>
    </row>
    <row r="123" spans="2:9" x14ac:dyDescent="0.25">
      <c r="B123" s="10">
        <v>45626</v>
      </c>
      <c r="C123" s="11">
        <v>188380</v>
      </c>
      <c r="D123" s="11">
        <v>60000</v>
      </c>
      <c r="E123" s="11"/>
      <c r="F123" s="11">
        <f>831950-30000</f>
        <v>801950</v>
      </c>
      <c r="G123" s="11">
        <v>71050</v>
      </c>
      <c r="H123" s="11">
        <v>695900</v>
      </c>
      <c r="I123" s="14" t="s">
        <v>34</v>
      </c>
    </row>
    <row r="124" spans="2:9" ht="15.75" customHeight="1" x14ac:dyDescent="0.25">
      <c r="B124" s="10">
        <v>45626</v>
      </c>
      <c r="C124" s="11">
        <v>188380</v>
      </c>
      <c r="D124" s="11">
        <v>60000</v>
      </c>
      <c r="E124" s="11"/>
      <c r="F124" s="11">
        <f>836950-25000</f>
        <v>811950</v>
      </c>
      <c r="G124" s="11">
        <v>21050</v>
      </c>
      <c r="H124" s="11">
        <v>755900</v>
      </c>
      <c r="I124" s="14" t="s">
        <v>35</v>
      </c>
    </row>
    <row r="125" spans="2:9" ht="15.75" customHeight="1" x14ac:dyDescent="0.25">
      <c r="B125" s="10">
        <v>45628</v>
      </c>
      <c r="C125" s="11">
        <v>188380</v>
      </c>
      <c r="D125" s="11">
        <v>60000</v>
      </c>
      <c r="E125" s="11"/>
      <c r="F125" s="11">
        <f>836950-25000</f>
        <v>811950</v>
      </c>
      <c r="G125" s="11">
        <v>29950</v>
      </c>
      <c r="H125" s="11">
        <v>747000</v>
      </c>
      <c r="I125" s="14"/>
    </row>
    <row r="126" spans="2:9" ht="15.75" customHeight="1" x14ac:dyDescent="0.25">
      <c r="B126" s="10">
        <v>45632</v>
      </c>
      <c r="C126" s="11">
        <v>188380</v>
      </c>
      <c r="D126" s="11">
        <v>60000</v>
      </c>
      <c r="E126" s="11"/>
      <c r="F126" s="11">
        <f>836950-25000</f>
        <v>811950</v>
      </c>
      <c r="G126" s="11">
        <v>83550</v>
      </c>
      <c r="H126" s="11">
        <v>693400</v>
      </c>
      <c r="I126" s="14"/>
    </row>
    <row r="127" spans="2:9" ht="15.75" customHeight="1" x14ac:dyDescent="0.25">
      <c r="B127" s="10">
        <v>45632</v>
      </c>
      <c r="C127" s="11">
        <v>188380</v>
      </c>
      <c r="D127" s="11">
        <v>60000</v>
      </c>
      <c r="E127" s="11"/>
      <c r="F127" s="11">
        <v>811950</v>
      </c>
      <c r="G127" s="11">
        <f>G126-5000</f>
        <v>78550</v>
      </c>
      <c r="H127" s="11">
        <v>693400</v>
      </c>
      <c r="I127" s="2" t="s">
        <v>36</v>
      </c>
    </row>
    <row r="128" spans="2:9" ht="15.75" customHeight="1" x14ac:dyDescent="0.25">
      <c r="B128" s="10">
        <v>45632</v>
      </c>
      <c r="C128" s="11">
        <v>188380</v>
      </c>
      <c r="D128" s="11">
        <v>60000</v>
      </c>
      <c r="E128" s="11"/>
      <c r="F128" s="11">
        <f>841950-20000</f>
        <v>821950</v>
      </c>
      <c r="G128" s="11">
        <v>28550</v>
      </c>
      <c r="H128" s="11">
        <v>753400</v>
      </c>
      <c r="I128" s="2" t="s">
        <v>37</v>
      </c>
    </row>
    <row r="129" spans="2:10" ht="15.75" customHeight="1" x14ac:dyDescent="0.25">
      <c r="B129" s="10">
        <v>45640</v>
      </c>
      <c r="C129" s="11">
        <v>188380</v>
      </c>
      <c r="D129" s="11">
        <v>60000</v>
      </c>
      <c r="E129" s="11"/>
      <c r="F129" s="11">
        <f>841950-20000-6500</f>
        <v>815450</v>
      </c>
      <c r="G129" s="11">
        <f>28550-6500</f>
        <v>22050</v>
      </c>
      <c r="H129" s="11">
        <v>753400</v>
      </c>
      <c r="I129" s="2" t="s">
        <v>40</v>
      </c>
    </row>
    <row r="130" spans="2:10" ht="15.75" customHeight="1" x14ac:dyDescent="0.25">
      <c r="B130" s="10">
        <v>45647</v>
      </c>
      <c r="C130" s="11">
        <v>188380</v>
      </c>
      <c r="D130" s="11">
        <v>60000</v>
      </c>
      <c r="E130" s="11"/>
      <c r="F130" s="11">
        <f>841950-20000-6500</f>
        <v>815450</v>
      </c>
      <c r="G130" s="11">
        <v>239400</v>
      </c>
      <c r="H130" s="11">
        <v>536050</v>
      </c>
    </row>
    <row r="131" spans="2:10" ht="15.75" customHeight="1" x14ac:dyDescent="0.25">
      <c r="B131" s="10">
        <v>45647</v>
      </c>
      <c r="C131" s="11">
        <v>188380</v>
      </c>
      <c r="D131" s="11">
        <v>60000</v>
      </c>
      <c r="E131" s="11"/>
      <c r="F131" s="11">
        <f>841950-20000-6500</f>
        <v>815450</v>
      </c>
      <c r="G131" s="11">
        <v>236400</v>
      </c>
      <c r="H131" s="11">
        <v>536050</v>
      </c>
      <c r="I131" s="2" t="s">
        <v>38</v>
      </c>
    </row>
    <row r="132" spans="2:10" ht="15.75" customHeight="1" x14ac:dyDescent="0.25">
      <c r="B132" s="10">
        <v>45647</v>
      </c>
      <c r="C132" s="11">
        <v>188380</v>
      </c>
      <c r="D132" s="11">
        <v>60000</v>
      </c>
      <c r="E132" s="11"/>
      <c r="F132" s="11">
        <f>952850-17000-25300</f>
        <v>910550</v>
      </c>
      <c r="G132" s="11">
        <v>36400</v>
      </c>
      <c r="H132" s="11">
        <v>856450</v>
      </c>
      <c r="I132" s="14" t="s">
        <v>41</v>
      </c>
    </row>
    <row r="133" spans="2:10" ht="15.75" customHeight="1" x14ac:dyDescent="0.25">
      <c r="B133" s="10">
        <v>45647</v>
      </c>
      <c r="C133" s="11">
        <v>188380</v>
      </c>
      <c r="D133" s="11">
        <v>60000</v>
      </c>
      <c r="E133" s="11"/>
      <c r="F133" s="11">
        <f>952850-17000-25300</f>
        <v>910550</v>
      </c>
      <c r="G133" s="11">
        <f>36400-4000</f>
        <v>32400</v>
      </c>
      <c r="H133" s="11">
        <v>856450</v>
      </c>
      <c r="I133" s="14" t="s">
        <v>42</v>
      </c>
    </row>
    <row r="134" spans="2:10" ht="15.75" customHeight="1" x14ac:dyDescent="0.25">
      <c r="B134" s="10">
        <v>45647</v>
      </c>
      <c r="C134" s="11">
        <v>188380</v>
      </c>
      <c r="D134" s="11">
        <v>60000</v>
      </c>
      <c r="E134" s="11"/>
      <c r="F134" s="11">
        <f>952850-17000-25300</f>
        <v>910550</v>
      </c>
      <c r="G134" s="11">
        <f>G133-13400</f>
        <v>19000</v>
      </c>
      <c r="H134" s="11">
        <v>856450</v>
      </c>
      <c r="I134" s="14" t="s">
        <v>43</v>
      </c>
    </row>
    <row r="135" spans="2:10" ht="15.75" customHeight="1" x14ac:dyDescent="0.25">
      <c r="B135" s="10">
        <v>45647</v>
      </c>
      <c r="C135" s="11">
        <v>188380</v>
      </c>
      <c r="D135" s="11">
        <v>60000</v>
      </c>
      <c r="E135" s="11">
        <v>10000</v>
      </c>
      <c r="F135" s="11">
        <v>910550</v>
      </c>
      <c r="G135" s="11">
        <v>19000</v>
      </c>
      <c r="H135" s="11">
        <v>856450</v>
      </c>
      <c r="I135" s="2" t="s">
        <v>45</v>
      </c>
    </row>
    <row r="136" spans="2:10" ht="15.75" customHeight="1" x14ac:dyDescent="0.25">
      <c r="B136" s="10">
        <v>45647</v>
      </c>
      <c r="C136" s="11">
        <v>188380</v>
      </c>
      <c r="D136" s="11">
        <v>60000</v>
      </c>
      <c r="E136" s="11">
        <v>10000</v>
      </c>
      <c r="F136" s="11">
        <v>912550</v>
      </c>
      <c r="G136" s="11">
        <v>19000</v>
      </c>
      <c r="H136" s="11">
        <v>868450</v>
      </c>
      <c r="I136" s="2" t="s">
        <v>44</v>
      </c>
    </row>
    <row r="137" spans="2:10" ht="15.75" customHeight="1" x14ac:dyDescent="0.25">
      <c r="B137" s="10">
        <v>45650</v>
      </c>
      <c r="C137" s="11">
        <v>188380</v>
      </c>
      <c r="D137" s="11">
        <v>60000</v>
      </c>
      <c r="E137" s="11">
        <v>10000</v>
      </c>
      <c r="F137" s="11">
        <v>912550</v>
      </c>
      <c r="G137" s="11">
        <v>27250</v>
      </c>
      <c r="H137" s="11">
        <v>860200</v>
      </c>
    </row>
    <row r="138" spans="2:10" ht="15.75" customHeight="1" x14ac:dyDescent="0.25">
      <c r="B138" s="10">
        <v>45650</v>
      </c>
      <c r="C138" s="11">
        <v>188380</v>
      </c>
      <c r="D138" s="11">
        <v>60000</v>
      </c>
      <c r="E138" s="11">
        <v>10000</v>
      </c>
      <c r="F138" s="11">
        <v>912550</v>
      </c>
      <c r="G138" s="11">
        <v>27250</v>
      </c>
      <c r="H138" s="11">
        <v>860200</v>
      </c>
    </row>
    <row r="139" spans="2:10" ht="15.75" customHeight="1" x14ac:dyDescent="0.25">
      <c r="B139" s="10">
        <v>45651</v>
      </c>
      <c r="C139" s="11">
        <v>188380</v>
      </c>
      <c r="D139" s="11">
        <v>60000</v>
      </c>
      <c r="E139" s="11">
        <v>10000</v>
      </c>
      <c r="F139" s="11">
        <v>912550</v>
      </c>
      <c r="G139" s="11">
        <v>35250</v>
      </c>
      <c r="H139" s="11">
        <v>852200</v>
      </c>
      <c r="I139" s="14"/>
    </row>
    <row r="140" spans="2:10" ht="15.75" customHeight="1" x14ac:dyDescent="0.25">
      <c r="B140" s="10">
        <v>45651</v>
      </c>
      <c r="C140" s="11">
        <v>188380</v>
      </c>
      <c r="D140" s="11">
        <v>60000</v>
      </c>
      <c r="E140" s="11">
        <v>10000</v>
      </c>
      <c r="F140" s="11">
        <v>922550</v>
      </c>
      <c r="G140" s="11">
        <v>-4750</v>
      </c>
      <c r="H140" s="11">
        <v>912200</v>
      </c>
      <c r="I140" s="14" t="s">
        <v>47</v>
      </c>
    </row>
    <row r="141" spans="2:10" ht="15.75" customHeight="1" x14ac:dyDescent="0.25">
      <c r="B141" s="10">
        <v>45654</v>
      </c>
      <c r="C141" s="11">
        <v>188380</v>
      </c>
      <c r="D141" s="11">
        <v>60000</v>
      </c>
      <c r="E141" s="11">
        <v>10000</v>
      </c>
      <c r="F141" s="11">
        <v>922550</v>
      </c>
      <c r="G141" s="11">
        <v>3650</v>
      </c>
      <c r="H141" s="11">
        <v>903800</v>
      </c>
      <c r="I141" s="14"/>
    </row>
    <row r="142" spans="2:10" ht="15.75" customHeight="1" x14ac:dyDescent="0.25">
      <c r="B142" s="10">
        <v>45654</v>
      </c>
      <c r="C142" s="11">
        <v>188380</v>
      </c>
      <c r="D142" s="11">
        <v>60000</v>
      </c>
      <c r="E142" s="11">
        <v>10000</v>
      </c>
      <c r="F142" s="11">
        <v>922550</v>
      </c>
      <c r="G142" s="11">
        <v>-4250</v>
      </c>
      <c r="H142" s="11">
        <v>903800</v>
      </c>
      <c r="I142" s="14" t="s">
        <v>48</v>
      </c>
    </row>
    <row r="143" spans="2:10" ht="15.75" customHeight="1" x14ac:dyDescent="0.25">
      <c r="B143" s="10">
        <v>45661</v>
      </c>
      <c r="C143" s="11">
        <v>188380</v>
      </c>
      <c r="D143" s="11">
        <v>60000</v>
      </c>
      <c r="E143" s="11">
        <v>10000</v>
      </c>
      <c r="F143" s="11">
        <v>922550</v>
      </c>
      <c r="G143" s="11">
        <v>19300</v>
      </c>
      <c r="H143" s="11">
        <v>880250</v>
      </c>
    </row>
    <row r="144" spans="2:10" ht="15.75" customHeight="1" x14ac:dyDescent="0.25">
      <c r="B144" s="10">
        <v>45661</v>
      </c>
      <c r="C144" s="11">
        <v>188380</v>
      </c>
      <c r="D144" s="11">
        <v>60000</v>
      </c>
      <c r="E144" s="11">
        <f>10000+7300</f>
        <v>17300</v>
      </c>
      <c r="F144" s="11">
        <v>922550</v>
      </c>
      <c r="G144" s="11">
        <v>-2300</v>
      </c>
      <c r="H144" s="11">
        <v>880250</v>
      </c>
      <c r="I144" s="14" t="s">
        <v>49</v>
      </c>
      <c r="J144" s="14"/>
    </row>
    <row r="145" spans="2:9" ht="15.75" customHeight="1" x14ac:dyDescent="0.25">
      <c r="B145" s="10"/>
      <c r="C145" s="11"/>
      <c r="D145" s="11"/>
      <c r="E145" s="11"/>
      <c r="F145" s="11"/>
      <c r="G145" s="11"/>
      <c r="H145" s="11"/>
      <c r="I145" s="14"/>
    </row>
    <row r="146" spans="2:9" ht="15.75" customHeight="1" x14ac:dyDescent="0.25">
      <c r="B146" s="10"/>
      <c r="C146" s="11"/>
      <c r="D146" s="11"/>
      <c r="E146" s="11"/>
      <c r="F146" s="11"/>
      <c r="G146" s="11"/>
      <c r="H146" s="11"/>
      <c r="I146" s="14"/>
    </row>
    <row r="147" spans="2:9" ht="15.75" customHeight="1" x14ac:dyDescent="0.25">
      <c r="B147" s="10"/>
      <c r="C147" s="11"/>
      <c r="D147" s="11"/>
      <c r="E147" s="11"/>
      <c r="F147" s="11"/>
      <c r="G147" s="11"/>
      <c r="H147" s="11"/>
      <c r="I147" s="14"/>
    </row>
    <row r="148" spans="2:9" ht="15.75" customHeight="1" x14ac:dyDescent="0.25">
      <c r="B148" s="10"/>
      <c r="C148" s="11"/>
      <c r="D148" s="11"/>
      <c r="E148" s="11"/>
      <c r="F148" s="11"/>
      <c r="G148" s="11"/>
      <c r="H148" s="11"/>
    </row>
    <row r="149" spans="2:9" ht="15.75" customHeight="1" x14ac:dyDescent="0.25">
      <c r="B149" s="10"/>
      <c r="C149" s="11"/>
      <c r="D149" s="11"/>
      <c r="E149" s="11"/>
      <c r="F149" s="11"/>
      <c r="G149" s="11"/>
      <c r="H149" s="11"/>
    </row>
    <row r="150" spans="2:9" ht="15.75" customHeight="1" x14ac:dyDescent="0.25">
      <c r="B150" s="10"/>
      <c r="C150" s="11"/>
      <c r="D150" s="11"/>
      <c r="E150" s="11"/>
      <c r="F150" s="11"/>
      <c r="G150" s="11"/>
      <c r="H150" s="11"/>
      <c r="I150" s="14"/>
    </row>
    <row r="151" spans="2:9" ht="15.75" customHeight="1" x14ac:dyDescent="0.25">
      <c r="B151" s="10"/>
      <c r="C151" s="11"/>
      <c r="D151" s="11"/>
      <c r="E151" s="11"/>
      <c r="F151" s="11"/>
      <c r="G151" s="11"/>
      <c r="H151" s="11"/>
    </row>
    <row r="152" spans="2:9" ht="15.75" customHeight="1" x14ac:dyDescent="0.25">
      <c r="B152" s="10"/>
      <c r="C152" s="11"/>
      <c r="D152" s="11"/>
      <c r="E152" s="11"/>
      <c r="F152" s="11"/>
      <c r="G152" s="11"/>
      <c r="H152" s="11"/>
    </row>
    <row r="153" spans="2:9" ht="15.75" customHeight="1" x14ac:dyDescent="0.25">
      <c r="B153" s="10"/>
      <c r="C153" s="11"/>
      <c r="D153" s="11"/>
      <c r="E153" s="11"/>
      <c r="F153" s="11"/>
      <c r="G153" s="11"/>
      <c r="H153" s="11"/>
    </row>
    <row r="154" spans="2:9" ht="15.75" customHeight="1" x14ac:dyDescent="0.25">
      <c r="B154" s="10"/>
      <c r="C154" s="11"/>
      <c r="D154" s="11"/>
      <c r="E154" s="11"/>
      <c r="F154" s="11"/>
      <c r="G154" s="11"/>
      <c r="H154" s="11"/>
    </row>
    <row r="155" spans="2:9" ht="15.75" customHeight="1" x14ac:dyDescent="0.25">
      <c r="B155" s="10"/>
      <c r="C155" s="11"/>
      <c r="D155" s="11"/>
      <c r="E155" s="11"/>
      <c r="F155" s="11"/>
      <c r="G155" s="11"/>
      <c r="H155" s="11"/>
    </row>
    <row r="156" spans="2:9" ht="15.75" customHeight="1" x14ac:dyDescent="0.25">
      <c r="B156" s="10"/>
      <c r="C156" s="11"/>
      <c r="D156" s="11"/>
      <c r="E156" s="11"/>
      <c r="F156" s="11"/>
      <c r="G156" s="11"/>
      <c r="H156" s="11"/>
    </row>
    <row r="157" spans="2:9" ht="15.75" customHeight="1" x14ac:dyDescent="0.25">
      <c r="B157" s="10"/>
      <c r="C157" s="11"/>
      <c r="D157" s="11"/>
      <c r="E157" s="11"/>
      <c r="F157" s="11"/>
      <c r="G157" s="11"/>
      <c r="H157" s="11"/>
    </row>
    <row r="168" spans="8:8" x14ac:dyDescent="0.25">
      <c r="H168" s="3">
        <v>10600</v>
      </c>
    </row>
    <row r="169" spans="8:8" x14ac:dyDescent="0.25">
      <c r="H169" s="3">
        <v>8600</v>
      </c>
    </row>
    <row r="170" spans="8:8" x14ac:dyDescent="0.25">
      <c r="H170" s="3">
        <v>17400</v>
      </c>
    </row>
    <row r="171" spans="8:8" x14ac:dyDescent="0.25">
      <c r="H171" s="3">
        <v>27000</v>
      </c>
    </row>
    <row r="172" spans="8:8" x14ac:dyDescent="0.25">
      <c r="H172" s="3">
        <v>14800</v>
      </c>
    </row>
    <row r="173" spans="8:8" x14ac:dyDescent="0.25">
      <c r="H173" s="3">
        <v>14800</v>
      </c>
    </row>
    <row r="174" spans="8:8" x14ac:dyDescent="0.25">
      <c r="H174" s="3">
        <v>7700</v>
      </c>
    </row>
    <row r="175" spans="8:8" x14ac:dyDescent="0.25">
      <c r="H175" s="3">
        <v>4800</v>
      </c>
    </row>
    <row r="176" spans="8:8" x14ac:dyDescent="0.25">
      <c r="H176" s="3">
        <v>33000</v>
      </c>
    </row>
    <row r="177" spans="4:9" x14ac:dyDescent="0.25">
      <c r="H177" s="3">
        <v>36000</v>
      </c>
    </row>
    <row r="178" spans="4:9" x14ac:dyDescent="0.25">
      <c r="F178" s="3" t="s">
        <v>39</v>
      </c>
      <c r="H178" s="3">
        <f>SUM(H168:H177)</f>
        <v>174700</v>
      </c>
    </row>
    <row r="179" spans="4:9" x14ac:dyDescent="0.25">
      <c r="H179" s="3">
        <v>200000</v>
      </c>
    </row>
    <row r="180" spans="4:9" x14ac:dyDescent="0.25">
      <c r="H180" s="3">
        <f>H179-H178</f>
        <v>25300</v>
      </c>
    </row>
    <row r="181" spans="4:9" x14ac:dyDescent="0.25">
      <c r="D181" s="3">
        <f>174700+7900+13400+4000</f>
        <v>200000</v>
      </c>
      <c r="H181" s="3">
        <v>4000</v>
      </c>
    </row>
    <row r="182" spans="4:9" x14ac:dyDescent="0.25">
      <c r="H182" s="3">
        <f>H180-H181</f>
        <v>21300</v>
      </c>
    </row>
    <row r="183" spans="4:9" x14ac:dyDescent="0.25">
      <c r="I183" s="2">
        <v>7900</v>
      </c>
    </row>
    <row r="184" spans="4:9" x14ac:dyDescent="0.25">
      <c r="I184" s="14">
        <f>H182-I183</f>
        <v>13400</v>
      </c>
    </row>
  </sheetData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62"/>
  <sheetViews>
    <sheetView tabSelected="1" topLeftCell="A38" workbookViewId="0">
      <selection activeCell="I46" sqref="I46"/>
    </sheetView>
  </sheetViews>
  <sheetFormatPr defaultRowHeight="15" x14ac:dyDescent="0.25"/>
  <cols>
    <col min="1" max="1" width="4.85546875" style="2" customWidth="1"/>
    <col min="2" max="2" width="33.42578125" style="2" customWidth="1"/>
    <col min="3" max="5" width="15" style="3" customWidth="1"/>
    <col min="6" max="6" width="13.28515625" style="3" customWidth="1"/>
    <col min="7" max="7" width="21.85546875" style="3" customWidth="1"/>
    <col min="8" max="9" width="19.140625" style="3" customWidth="1"/>
    <col min="10" max="10" width="25.28515625" style="2" customWidth="1"/>
    <col min="11" max="11" width="17.7109375" style="2" customWidth="1"/>
    <col min="12" max="16384" width="9.140625" style="2"/>
  </cols>
  <sheetData>
    <row r="1" spans="2:10" ht="20.100000000000001" customHeight="1" x14ac:dyDescent="0.25"/>
    <row r="2" spans="2:10" ht="34.5" customHeight="1" thickBot="1" x14ac:dyDescent="0.3">
      <c r="B2" s="4"/>
      <c r="C2" s="4" t="s">
        <v>16</v>
      </c>
      <c r="D2" s="4" t="s">
        <v>17</v>
      </c>
      <c r="E2" s="4" t="s">
        <v>46</v>
      </c>
      <c r="F2" s="4" t="s">
        <v>1</v>
      </c>
      <c r="G2" s="4" t="s">
        <v>2</v>
      </c>
      <c r="H2" s="4" t="s">
        <v>0</v>
      </c>
      <c r="I2" s="4" t="s">
        <v>55</v>
      </c>
    </row>
    <row r="3" spans="2:10" ht="33.75" customHeight="1" thickTop="1" thickBot="1" x14ac:dyDescent="0.3">
      <c r="B3" s="5" t="s">
        <v>3</v>
      </c>
      <c r="C3" s="6">
        <v>35000</v>
      </c>
      <c r="D3" s="6"/>
      <c r="E3" s="6"/>
      <c r="F3" s="6"/>
      <c r="G3" s="6"/>
      <c r="H3" s="7"/>
      <c r="I3" s="7"/>
    </row>
    <row r="4" spans="2:10" ht="15.75" customHeight="1" thickTop="1" x14ac:dyDescent="0.25">
      <c r="B4" s="10">
        <v>45632</v>
      </c>
      <c r="C4" s="11">
        <v>188380</v>
      </c>
      <c r="D4" s="11">
        <v>60000</v>
      </c>
      <c r="E4" s="11"/>
      <c r="F4" s="11">
        <v>811950</v>
      </c>
      <c r="G4" s="11" t="e">
        <f>#REF!-5000</f>
        <v>#REF!</v>
      </c>
      <c r="H4" s="11">
        <v>693400</v>
      </c>
      <c r="I4" s="11"/>
      <c r="J4" s="2" t="s">
        <v>36</v>
      </c>
    </row>
    <row r="5" spans="2:10" ht="15.75" customHeight="1" x14ac:dyDescent="0.25">
      <c r="B5" s="10">
        <v>45632</v>
      </c>
      <c r="C5" s="11">
        <v>188380</v>
      </c>
      <c r="D5" s="11">
        <v>60000</v>
      </c>
      <c r="E5" s="11"/>
      <c r="F5" s="11">
        <f>841950-20000</f>
        <v>821950</v>
      </c>
      <c r="G5" s="11">
        <v>28550</v>
      </c>
      <c r="H5" s="11">
        <v>753400</v>
      </c>
      <c r="I5" s="11"/>
      <c r="J5" s="2" t="s">
        <v>37</v>
      </c>
    </row>
    <row r="6" spans="2:10" ht="15.75" customHeight="1" x14ac:dyDescent="0.25">
      <c r="B6" s="10">
        <v>45640</v>
      </c>
      <c r="C6" s="11">
        <v>188380</v>
      </c>
      <c r="D6" s="11">
        <v>60000</v>
      </c>
      <c r="E6" s="11"/>
      <c r="F6" s="11">
        <f>841950-20000-6500</f>
        <v>815450</v>
      </c>
      <c r="G6" s="11">
        <f>28550-6500</f>
        <v>22050</v>
      </c>
      <c r="H6" s="11">
        <v>753400</v>
      </c>
      <c r="I6" s="11"/>
      <c r="J6" s="2" t="s">
        <v>40</v>
      </c>
    </row>
    <row r="7" spans="2:10" ht="15.75" customHeight="1" x14ac:dyDescent="0.25">
      <c r="B7" s="10">
        <v>45647</v>
      </c>
      <c r="C7" s="11">
        <v>188380</v>
      </c>
      <c r="D7" s="11">
        <v>60000</v>
      </c>
      <c r="E7" s="11"/>
      <c r="F7" s="11">
        <f>841950-20000-6500</f>
        <v>815450</v>
      </c>
      <c r="G7" s="11">
        <v>239400</v>
      </c>
      <c r="H7" s="11">
        <v>536050</v>
      </c>
      <c r="I7" s="11"/>
    </row>
    <row r="8" spans="2:10" ht="15.75" customHeight="1" x14ac:dyDescent="0.25">
      <c r="B8" s="10">
        <v>45647</v>
      </c>
      <c r="C8" s="11">
        <v>188380</v>
      </c>
      <c r="D8" s="11">
        <v>60000</v>
      </c>
      <c r="E8" s="11"/>
      <c r="F8" s="11">
        <f>841950-20000-6500</f>
        <v>815450</v>
      </c>
      <c r="G8" s="11">
        <v>236400</v>
      </c>
      <c r="H8" s="11">
        <v>536050</v>
      </c>
      <c r="I8" s="11"/>
      <c r="J8" s="2" t="s">
        <v>38</v>
      </c>
    </row>
    <row r="9" spans="2:10" ht="15.75" customHeight="1" x14ac:dyDescent="0.25">
      <c r="B9" s="10">
        <v>45647</v>
      </c>
      <c r="C9" s="11">
        <v>188380</v>
      </c>
      <c r="D9" s="11">
        <v>60000</v>
      </c>
      <c r="E9" s="11"/>
      <c r="F9" s="11">
        <f>952850-17000-25300</f>
        <v>910550</v>
      </c>
      <c r="G9" s="11">
        <v>36400</v>
      </c>
      <c r="H9" s="11">
        <v>856450</v>
      </c>
      <c r="I9" s="11"/>
      <c r="J9" s="14" t="s">
        <v>41</v>
      </c>
    </row>
    <row r="10" spans="2:10" ht="15.75" customHeight="1" x14ac:dyDescent="0.25">
      <c r="B10" s="10">
        <v>45647</v>
      </c>
      <c r="C10" s="11">
        <v>188380</v>
      </c>
      <c r="D10" s="11">
        <v>60000</v>
      </c>
      <c r="E10" s="11"/>
      <c r="F10" s="11">
        <f>952850-17000-25300</f>
        <v>910550</v>
      </c>
      <c r="G10" s="11">
        <f>36400-4000</f>
        <v>32400</v>
      </c>
      <c r="H10" s="11">
        <v>856450</v>
      </c>
      <c r="I10" s="11"/>
      <c r="J10" s="14" t="s">
        <v>42</v>
      </c>
    </row>
    <row r="11" spans="2:10" ht="15.75" customHeight="1" x14ac:dyDescent="0.25">
      <c r="B11" s="10">
        <v>45647</v>
      </c>
      <c r="C11" s="11">
        <v>188380</v>
      </c>
      <c r="D11" s="11">
        <v>60000</v>
      </c>
      <c r="E11" s="11"/>
      <c r="F11" s="11">
        <f>952850-17000-25300</f>
        <v>910550</v>
      </c>
      <c r="G11" s="11">
        <f>G10-13400</f>
        <v>19000</v>
      </c>
      <c r="H11" s="11">
        <v>856450</v>
      </c>
      <c r="I11" s="11"/>
      <c r="J11" s="14" t="s">
        <v>43</v>
      </c>
    </row>
    <row r="12" spans="2:10" ht="15.75" customHeight="1" x14ac:dyDescent="0.25">
      <c r="B12" s="10">
        <v>45647</v>
      </c>
      <c r="C12" s="11">
        <v>188380</v>
      </c>
      <c r="D12" s="11">
        <v>60000</v>
      </c>
      <c r="E12" s="11">
        <v>10000</v>
      </c>
      <c r="F12" s="11">
        <v>910550</v>
      </c>
      <c r="G12" s="11">
        <v>19000</v>
      </c>
      <c r="H12" s="11">
        <v>856450</v>
      </c>
      <c r="I12" s="11"/>
      <c r="J12" s="2" t="s">
        <v>45</v>
      </c>
    </row>
    <row r="13" spans="2:10" ht="15.75" customHeight="1" x14ac:dyDescent="0.25">
      <c r="B13" s="10">
        <v>45647</v>
      </c>
      <c r="C13" s="11">
        <v>188380</v>
      </c>
      <c r="D13" s="11">
        <v>60000</v>
      </c>
      <c r="E13" s="11">
        <v>10000</v>
      </c>
      <c r="F13" s="11">
        <v>912550</v>
      </c>
      <c r="G13" s="11">
        <v>19000</v>
      </c>
      <c r="H13" s="11">
        <v>868450</v>
      </c>
      <c r="I13" s="11"/>
      <c r="J13" s="2" t="s">
        <v>44</v>
      </c>
    </row>
    <row r="14" spans="2:10" ht="15.75" customHeight="1" x14ac:dyDescent="0.25">
      <c r="B14" s="10">
        <v>45650</v>
      </c>
      <c r="C14" s="11">
        <v>188380</v>
      </c>
      <c r="D14" s="11">
        <v>60000</v>
      </c>
      <c r="E14" s="11">
        <v>10000</v>
      </c>
      <c r="F14" s="11">
        <v>912550</v>
      </c>
      <c r="G14" s="11">
        <v>27250</v>
      </c>
      <c r="H14" s="11">
        <v>860200</v>
      </c>
      <c r="I14" s="11"/>
    </row>
    <row r="15" spans="2:10" ht="15.75" customHeight="1" x14ac:dyDescent="0.25">
      <c r="B15" s="10">
        <v>45650</v>
      </c>
      <c r="C15" s="11">
        <v>188380</v>
      </c>
      <c r="D15" s="11">
        <v>60000</v>
      </c>
      <c r="E15" s="11">
        <v>10000</v>
      </c>
      <c r="F15" s="11">
        <v>912550</v>
      </c>
      <c r="G15" s="11">
        <v>27250</v>
      </c>
      <c r="H15" s="11">
        <v>860200</v>
      </c>
      <c r="I15" s="11"/>
    </row>
    <row r="16" spans="2:10" ht="15.75" customHeight="1" x14ac:dyDescent="0.25">
      <c r="B16" s="10">
        <v>45651</v>
      </c>
      <c r="C16" s="11">
        <v>188380</v>
      </c>
      <c r="D16" s="11">
        <v>60000</v>
      </c>
      <c r="E16" s="11">
        <v>10000</v>
      </c>
      <c r="F16" s="11">
        <v>912550</v>
      </c>
      <c r="G16" s="11">
        <v>35250</v>
      </c>
      <c r="H16" s="11">
        <v>852200</v>
      </c>
      <c r="I16" s="11"/>
      <c r="J16" s="14"/>
    </row>
    <row r="17" spans="2:11" ht="15.75" customHeight="1" x14ac:dyDescent="0.25">
      <c r="B17" s="10">
        <v>45651</v>
      </c>
      <c r="C17" s="11">
        <v>188380</v>
      </c>
      <c r="D17" s="11">
        <v>60000</v>
      </c>
      <c r="E17" s="11">
        <v>10000</v>
      </c>
      <c r="F17" s="11">
        <v>922550</v>
      </c>
      <c r="G17" s="11">
        <v>-4750</v>
      </c>
      <c r="H17" s="11">
        <v>912200</v>
      </c>
      <c r="I17" s="11"/>
      <c r="J17" s="14" t="s">
        <v>47</v>
      </c>
    </row>
    <row r="18" spans="2:11" ht="15.75" customHeight="1" x14ac:dyDescent="0.25">
      <c r="B18" s="10">
        <v>45654</v>
      </c>
      <c r="C18" s="11">
        <v>188380</v>
      </c>
      <c r="D18" s="11">
        <v>60000</v>
      </c>
      <c r="E18" s="11">
        <v>10000</v>
      </c>
      <c r="F18" s="11">
        <v>922550</v>
      </c>
      <c r="G18" s="11">
        <v>3650</v>
      </c>
      <c r="H18" s="11">
        <v>903800</v>
      </c>
      <c r="I18" s="11"/>
      <c r="J18" s="14"/>
    </row>
    <row r="19" spans="2:11" ht="15.75" customHeight="1" x14ac:dyDescent="0.25">
      <c r="B19" s="10">
        <v>45654</v>
      </c>
      <c r="C19" s="11">
        <v>188380</v>
      </c>
      <c r="D19" s="11">
        <v>60000</v>
      </c>
      <c r="E19" s="11">
        <v>10000</v>
      </c>
      <c r="F19" s="11">
        <v>922550</v>
      </c>
      <c r="G19" s="11">
        <v>-4250</v>
      </c>
      <c r="H19" s="11">
        <v>903800</v>
      </c>
      <c r="I19" s="11"/>
      <c r="J19" s="14" t="s">
        <v>48</v>
      </c>
    </row>
    <row r="20" spans="2:11" ht="15.75" customHeight="1" x14ac:dyDescent="0.25">
      <c r="B20" s="10">
        <v>45661</v>
      </c>
      <c r="C20" s="11">
        <v>188380</v>
      </c>
      <c r="D20" s="11">
        <v>60000</v>
      </c>
      <c r="E20" s="11">
        <v>10000</v>
      </c>
      <c r="F20" s="11">
        <v>922550</v>
      </c>
      <c r="G20" s="11">
        <v>19300</v>
      </c>
      <c r="H20" s="11">
        <v>880250</v>
      </c>
      <c r="I20" s="11"/>
    </row>
    <row r="21" spans="2:11" ht="15.75" customHeight="1" x14ac:dyDescent="0.25">
      <c r="B21" s="10">
        <v>45661</v>
      </c>
      <c r="C21" s="11">
        <v>188380</v>
      </c>
      <c r="D21" s="11">
        <v>60000</v>
      </c>
      <c r="E21" s="11">
        <f>10000+7300</f>
        <v>17300</v>
      </c>
      <c r="F21" s="11">
        <v>922550</v>
      </c>
      <c r="G21" s="11">
        <v>-2300</v>
      </c>
      <c r="H21" s="11">
        <v>880250</v>
      </c>
      <c r="I21" s="11"/>
      <c r="J21" s="14" t="s">
        <v>49</v>
      </c>
      <c r="K21" s="14"/>
    </row>
    <row r="22" spans="2:11" ht="15.75" customHeight="1" x14ac:dyDescent="0.25">
      <c r="B22" s="10">
        <v>45668</v>
      </c>
      <c r="C22" s="11">
        <v>188380</v>
      </c>
      <c r="D22" s="11">
        <v>60000</v>
      </c>
      <c r="E22" s="11">
        <v>17300</v>
      </c>
      <c r="F22" s="11">
        <v>922550</v>
      </c>
      <c r="G22" s="11">
        <v>23450</v>
      </c>
      <c r="H22" s="11">
        <v>854500</v>
      </c>
      <c r="I22" s="11"/>
      <c r="J22" s="14"/>
    </row>
    <row r="23" spans="2:11" ht="15.75" customHeight="1" x14ac:dyDescent="0.25">
      <c r="B23" s="10">
        <v>45668</v>
      </c>
      <c r="C23" s="11">
        <v>188380</v>
      </c>
      <c r="D23" s="11">
        <v>60000</v>
      </c>
      <c r="E23" s="11">
        <v>17300</v>
      </c>
      <c r="F23" s="11">
        <v>922550</v>
      </c>
      <c r="G23" s="11">
        <v>18050</v>
      </c>
      <c r="H23" s="11">
        <v>854500</v>
      </c>
      <c r="I23" s="11"/>
      <c r="J23" s="14" t="s">
        <v>50</v>
      </c>
    </row>
    <row r="24" spans="2:11" ht="15.75" customHeight="1" x14ac:dyDescent="0.25">
      <c r="B24" s="10">
        <v>45670</v>
      </c>
      <c r="C24" s="11">
        <v>188380</v>
      </c>
      <c r="D24" s="11">
        <v>60000</v>
      </c>
      <c r="E24" s="11">
        <v>17300</v>
      </c>
      <c r="F24" s="11">
        <v>839550</v>
      </c>
      <c r="G24" s="11">
        <v>18050</v>
      </c>
      <c r="H24" s="11">
        <v>771500</v>
      </c>
      <c r="I24" s="11"/>
      <c r="J24" s="14" t="s">
        <v>51</v>
      </c>
    </row>
    <row r="25" spans="2:11" ht="15.75" customHeight="1" x14ac:dyDescent="0.25">
      <c r="B25" s="10">
        <v>45670</v>
      </c>
      <c r="C25" s="11">
        <v>188380</v>
      </c>
      <c r="D25" s="11">
        <v>60000</v>
      </c>
      <c r="E25" s="11">
        <v>17300</v>
      </c>
      <c r="F25" s="11">
        <f>922550-83000</f>
        <v>839550</v>
      </c>
      <c r="G25" s="11">
        <v>34400</v>
      </c>
      <c r="H25" s="11">
        <v>755150</v>
      </c>
      <c r="I25" s="11"/>
      <c r="J25" s="14"/>
    </row>
    <row r="26" spans="2:11" ht="15.75" customHeight="1" x14ac:dyDescent="0.25">
      <c r="B26" s="10">
        <v>45670</v>
      </c>
      <c r="C26" s="11">
        <v>188380</v>
      </c>
      <c r="D26" s="11">
        <v>60000</v>
      </c>
      <c r="E26" s="11">
        <v>17300</v>
      </c>
      <c r="F26" s="11">
        <f>853350-E26</f>
        <v>836050</v>
      </c>
      <c r="G26" s="11">
        <v>14400</v>
      </c>
      <c r="H26" s="11">
        <v>778950</v>
      </c>
      <c r="I26" s="11"/>
      <c r="J26" s="14" t="s">
        <v>54</v>
      </c>
    </row>
    <row r="27" spans="2:11" ht="15.75" customHeight="1" x14ac:dyDescent="0.25">
      <c r="B27" s="10">
        <v>45675</v>
      </c>
      <c r="C27" s="11">
        <v>188380</v>
      </c>
      <c r="D27" s="11">
        <v>60000</v>
      </c>
      <c r="E27" s="11">
        <v>17300</v>
      </c>
      <c r="F27" s="11">
        <f>853350-E27</f>
        <v>836050</v>
      </c>
      <c r="G27" s="11">
        <v>33100</v>
      </c>
      <c r="H27" s="11">
        <v>760250</v>
      </c>
      <c r="I27" s="11"/>
      <c r="J27" s="14"/>
    </row>
    <row r="28" spans="2:11" ht="15.75" customHeight="1" x14ac:dyDescent="0.25">
      <c r="B28" s="10">
        <v>45675</v>
      </c>
      <c r="C28" s="11">
        <v>188380</v>
      </c>
      <c r="D28" s="11">
        <v>60000</v>
      </c>
      <c r="E28" s="11">
        <v>17300</v>
      </c>
      <c r="F28" s="11">
        <f>853350-E28-6500</f>
        <v>829550</v>
      </c>
      <c r="G28" s="11">
        <v>26600</v>
      </c>
      <c r="H28" s="11">
        <v>784050</v>
      </c>
      <c r="I28" s="11"/>
      <c r="J28" s="14" t="s">
        <v>52</v>
      </c>
    </row>
    <row r="29" spans="2:11" ht="15.75" customHeight="1" x14ac:dyDescent="0.25">
      <c r="B29" s="10">
        <v>45675</v>
      </c>
      <c r="C29" s="11">
        <v>188380</v>
      </c>
      <c r="D29" s="11">
        <v>60000</v>
      </c>
      <c r="E29" s="11">
        <v>17300</v>
      </c>
      <c r="F29" s="11">
        <v>833350</v>
      </c>
      <c r="G29" s="11">
        <v>6600</v>
      </c>
      <c r="H29" s="11">
        <v>784050</v>
      </c>
      <c r="I29" s="11"/>
      <c r="J29" s="14" t="s">
        <v>53</v>
      </c>
    </row>
    <row r="30" spans="2:11" ht="15.75" customHeight="1" x14ac:dyDescent="0.25">
      <c r="B30" s="10">
        <v>45683</v>
      </c>
      <c r="C30" s="11">
        <v>188380</v>
      </c>
      <c r="D30" s="11">
        <v>60000</v>
      </c>
      <c r="E30" s="11">
        <v>17300</v>
      </c>
      <c r="F30" s="11">
        <f>H30+D30+G30-E30</f>
        <v>828150</v>
      </c>
      <c r="G30" s="11">
        <v>61000</v>
      </c>
      <c r="H30" s="11">
        <v>724450</v>
      </c>
      <c r="I30" s="11" t="s">
        <v>56</v>
      </c>
      <c r="J30" s="14"/>
    </row>
    <row r="31" spans="2:11" ht="15.75" customHeight="1" x14ac:dyDescent="0.25">
      <c r="B31" s="10">
        <v>45683</v>
      </c>
      <c r="C31" s="11">
        <v>188380</v>
      </c>
      <c r="D31" s="11">
        <v>60000</v>
      </c>
      <c r="E31" s="11">
        <v>17300</v>
      </c>
      <c r="F31" s="11">
        <f>H31+D31+G31-E31</f>
        <v>837950</v>
      </c>
      <c r="G31" s="11">
        <v>11000</v>
      </c>
      <c r="H31" s="11">
        <v>784250</v>
      </c>
      <c r="I31" s="16" t="s">
        <v>59</v>
      </c>
      <c r="J31" s="14" t="s">
        <v>57</v>
      </c>
    </row>
    <row r="32" spans="2:11" ht="15.75" customHeight="1" x14ac:dyDescent="0.25">
      <c r="B32" s="10">
        <v>45689</v>
      </c>
      <c r="C32" s="11">
        <v>188380</v>
      </c>
      <c r="D32" s="11">
        <v>60000</v>
      </c>
      <c r="E32" s="11">
        <v>17300</v>
      </c>
      <c r="F32" s="11">
        <f>H32+D32+G32-E32</f>
        <v>837950</v>
      </c>
      <c r="G32" s="11">
        <v>33400</v>
      </c>
      <c r="H32" s="11">
        <v>761850</v>
      </c>
      <c r="I32" s="16" t="s">
        <v>58</v>
      </c>
      <c r="J32" s="14"/>
    </row>
    <row r="33" spans="2:10" ht="15.75" customHeight="1" x14ac:dyDescent="0.25">
      <c r="B33" s="10">
        <v>45689</v>
      </c>
      <c r="C33" s="11">
        <v>188380</v>
      </c>
      <c r="D33" s="11">
        <v>60000</v>
      </c>
      <c r="E33" s="11">
        <v>17300</v>
      </c>
      <c r="F33" s="11">
        <v>839950</v>
      </c>
      <c r="G33" s="11">
        <v>23400</v>
      </c>
      <c r="H33" s="11">
        <v>773850</v>
      </c>
      <c r="I33" s="11" t="s">
        <v>61</v>
      </c>
      <c r="J33" s="14" t="s">
        <v>60</v>
      </c>
    </row>
    <row r="34" spans="2:10" ht="15.75" customHeight="1" x14ac:dyDescent="0.25">
      <c r="B34" s="10">
        <v>45695</v>
      </c>
      <c r="C34" s="11">
        <v>188380</v>
      </c>
      <c r="D34" s="11">
        <v>60000</v>
      </c>
      <c r="E34" s="11">
        <v>17300</v>
      </c>
      <c r="F34" s="11">
        <v>839950</v>
      </c>
      <c r="G34" s="11">
        <v>53600</v>
      </c>
      <c r="H34" s="11">
        <v>743750</v>
      </c>
      <c r="I34" s="16" t="s">
        <v>62</v>
      </c>
    </row>
    <row r="35" spans="2:10" ht="15.75" customHeight="1" x14ac:dyDescent="0.25">
      <c r="B35" s="10">
        <v>45695</v>
      </c>
      <c r="C35" s="11">
        <v>188380</v>
      </c>
      <c r="D35" s="11">
        <v>60000</v>
      </c>
      <c r="E35" s="11">
        <v>17300</v>
      </c>
      <c r="F35" s="11">
        <v>847050</v>
      </c>
      <c r="G35" s="11">
        <v>18600</v>
      </c>
      <c r="H35" s="11">
        <v>785750</v>
      </c>
      <c r="I35" s="16" t="s">
        <v>64</v>
      </c>
      <c r="J35" s="2" t="s">
        <v>63</v>
      </c>
    </row>
    <row r="36" spans="2:10" ht="15.75" customHeight="1" x14ac:dyDescent="0.25">
      <c r="B36" s="10">
        <v>45696</v>
      </c>
      <c r="C36" s="11">
        <v>188380</v>
      </c>
      <c r="D36" s="11">
        <v>60000</v>
      </c>
      <c r="E36" s="11">
        <v>17300</v>
      </c>
      <c r="F36" s="11">
        <v>847050</v>
      </c>
      <c r="G36" s="11">
        <v>21850</v>
      </c>
      <c r="H36" s="11">
        <v>782500</v>
      </c>
      <c r="I36" s="16"/>
    </row>
    <row r="37" spans="2:10" ht="15.75" customHeight="1" x14ac:dyDescent="0.25">
      <c r="B37" s="10">
        <v>45698</v>
      </c>
      <c r="C37" s="11">
        <v>188380</v>
      </c>
      <c r="D37" s="11">
        <v>60000</v>
      </c>
      <c r="E37" s="11">
        <v>17300</v>
      </c>
      <c r="F37" s="11">
        <v>847050</v>
      </c>
      <c r="G37" s="11">
        <v>32900</v>
      </c>
      <c r="H37" s="11">
        <v>771450</v>
      </c>
      <c r="I37" s="16"/>
    </row>
    <row r="38" spans="2:10" ht="15.75" customHeight="1" x14ac:dyDescent="0.25">
      <c r="B38" s="10">
        <v>45698</v>
      </c>
      <c r="C38" s="11">
        <v>188380</v>
      </c>
      <c r="D38" s="11">
        <v>60000</v>
      </c>
      <c r="E38" s="11">
        <v>17300</v>
      </c>
      <c r="F38" s="11">
        <v>851050</v>
      </c>
      <c r="G38" s="11">
        <v>12900</v>
      </c>
      <c r="H38" s="11">
        <v>795450</v>
      </c>
      <c r="I38" s="16" t="s">
        <v>65</v>
      </c>
      <c r="J38" s="2" t="s">
        <v>66</v>
      </c>
    </row>
    <row r="39" spans="2:10" ht="15.75" customHeight="1" x14ac:dyDescent="0.25">
      <c r="B39" s="10">
        <v>45702</v>
      </c>
      <c r="C39" s="11">
        <v>188380</v>
      </c>
      <c r="D39" s="11">
        <v>60000</v>
      </c>
      <c r="E39" s="11">
        <v>17300</v>
      </c>
      <c r="F39" s="11">
        <v>851050</v>
      </c>
      <c r="G39" s="11">
        <v>36300</v>
      </c>
      <c r="H39" s="11">
        <v>772050</v>
      </c>
      <c r="I39" s="16" t="s">
        <v>67</v>
      </c>
    </row>
    <row r="40" spans="2:10" ht="15.75" customHeight="1" x14ac:dyDescent="0.25">
      <c r="B40" s="10">
        <v>45702</v>
      </c>
      <c r="C40" s="11">
        <v>188380</v>
      </c>
      <c r="D40" s="11">
        <v>60000</v>
      </c>
      <c r="E40" s="11">
        <v>17300</v>
      </c>
      <c r="F40" s="11">
        <v>844550</v>
      </c>
      <c r="G40" s="11">
        <v>29800</v>
      </c>
      <c r="H40" s="11">
        <v>772050</v>
      </c>
      <c r="I40" s="16" t="s">
        <v>69</v>
      </c>
      <c r="J40" s="14" t="s">
        <v>68</v>
      </c>
    </row>
    <row r="41" spans="2:10" ht="15.75" customHeight="1" x14ac:dyDescent="0.25">
      <c r="B41" s="10">
        <v>45710</v>
      </c>
      <c r="C41" s="11">
        <v>188380</v>
      </c>
      <c r="D41" s="11">
        <v>60000</v>
      </c>
      <c r="E41" s="11">
        <v>17300</v>
      </c>
      <c r="F41" s="11">
        <v>844550</v>
      </c>
      <c r="G41" s="11">
        <v>66950</v>
      </c>
      <c r="H41" s="11">
        <v>734900</v>
      </c>
      <c r="I41" s="16"/>
      <c r="J41" s="14"/>
    </row>
    <row r="42" spans="2:10" ht="15.75" customHeight="1" x14ac:dyDescent="0.25">
      <c r="B42" s="10">
        <v>45710</v>
      </c>
      <c r="C42" s="11">
        <v>188380</v>
      </c>
      <c r="D42" s="11">
        <v>60000</v>
      </c>
      <c r="E42" s="11">
        <f>17300+4000</f>
        <v>21300</v>
      </c>
      <c r="F42" s="11">
        <v>834550</v>
      </c>
      <c r="G42" s="11">
        <v>60950</v>
      </c>
      <c r="H42" s="11">
        <v>734900</v>
      </c>
      <c r="I42" s="16"/>
      <c r="J42" s="14" t="s">
        <v>70</v>
      </c>
    </row>
    <row r="43" spans="2:10" ht="15.75" customHeight="1" x14ac:dyDescent="0.25">
      <c r="B43" s="10">
        <v>45710</v>
      </c>
      <c r="C43" s="11">
        <v>188380</v>
      </c>
      <c r="D43" s="11">
        <v>60000</v>
      </c>
      <c r="E43" s="11">
        <v>21300</v>
      </c>
      <c r="F43" s="11">
        <v>836450</v>
      </c>
      <c r="G43" s="11">
        <v>50950</v>
      </c>
      <c r="H43" s="11">
        <v>746800</v>
      </c>
      <c r="I43" s="16"/>
      <c r="J43" s="14" t="s">
        <v>73</v>
      </c>
    </row>
    <row r="44" spans="2:10" ht="15.75" customHeight="1" x14ac:dyDescent="0.25">
      <c r="B44" s="10">
        <v>45711</v>
      </c>
      <c r="C44" s="11">
        <v>188380</v>
      </c>
      <c r="D44" s="11">
        <v>60000</v>
      </c>
      <c r="E44" s="11">
        <v>21300</v>
      </c>
      <c r="F44" s="11">
        <v>836450</v>
      </c>
      <c r="G44" s="11">
        <v>53550</v>
      </c>
      <c r="H44" s="11">
        <v>744200</v>
      </c>
      <c r="I44" s="16" t="s">
        <v>71</v>
      </c>
    </row>
    <row r="45" spans="2:10" ht="15.75" customHeight="1" x14ac:dyDescent="0.25">
      <c r="B45" s="10">
        <v>45711</v>
      </c>
      <c r="C45" s="11">
        <v>188380</v>
      </c>
      <c r="D45" s="11">
        <v>60000</v>
      </c>
      <c r="E45" s="11">
        <v>21300</v>
      </c>
      <c r="F45" s="11">
        <v>840450</v>
      </c>
      <c r="G45" s="11">
        <v>33550</v>
      </c>
      <c r="H45" s="11">
        <v>768200</v>
      </c>
      <c r="I45" s="16" t="s">
        <v>74</v>
      </c>
      <c r="J45" s="2" t="s">
        <v>72</v>
      </c>
    </row>
    <row r="46" spans="2:10" ht="15.75" customHeight="1" x14ac:dyDescent="0.25">
      <c r="B46" s="10"/>
      <c r="C46" s="11"/>
      <c r="D46" s="11"/>
      <c r="E46" s="11"/>
      <c r="F46" s="11"/>
      <c r="G46" s="11"/>
      <c r="H46" s="11"/>
      <c r="I46" s="16"/>
    </row>
    <row r="49" spans="6:10" x14ac:dyDescent="0.25">
      <c r="F49" s="3">
        <f>600+100+1400+500+500+200</f>
        <v>3300</v>
      </c>
    </row>
    <row r="50" spans="6:10" x14ac:dyDescent="0.25">
      <c r="F50" s="3">
        <f>200+1000</f>
        <v>1200</v>
      </c>
    </row>
    <row r="51" spans="6:10" x14ac:dyDescent="0.25">
      <c r="F51" s="3">
        <f>200+500+500+200</f>
        <v>1400</v>
      </c>
    </row>
    <row r="52" spans="6:10" x14ac:dyDescent="0.25">
      <c r="F52" s="3">
        <f>100+600+350+800+800+800+2000+1400</f>
        <v>6850</v>
      </c>
    </row>
    <row r="53" spans="6:10" x14ac:dyDescent="0.25">
      <c r="F53" s="3">
        <f>400+500+500</f>
        <v>1400</v>
      </c>
    </row>
    <row r="54" spans="6:10" x14ac:dyDescent="0.25">
      <c r="F54" s="3">
        <f>100+600+200+500+500</f>
        <v>1900</v>
      </c>
    </row>
    <row r="55" spans="6:10" x14ac:dyDescent="0.25">
      <c r="F55" s="3">
        <f>200+700+1200+400+700+8000+2800+500+500+500+2800+2800</f>
        <v>21100</v>
      </c>
    </row>
    <row r="56" spans="6:10" x14ac:dyDescent="0.25">
      <c r="F56" s="3">
        <f>2500+100</f>
        <v>2600</v>
      </c>
    </row>
    <row r="57" spans="6:10" x14ac:dyDescent="0.25">
      <c r="F57" s="3">
        <f>SUM(F50:F56)</f>
        <v>36450</v>
      </c>
    </row>
    <row r="62" spans="6:10" x14ac:dyDescent="0.25">
      <c r="J62" s="14"/>
    </row>
  </sheetData>
  <pageMargins left="0.7" right="0.7" top="0.75" bottom="0.75" header="0.3" footer="0.3"/>
  <pageSetup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2023TrendAnalysis</vt:lpstr>
      <vt:lpstr>2025TrendAnalysis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2025-02-23T09:54:32Z</dcterms:modified>
</cp:coreProperties>
</file>