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6" rupBuild="9302"/>
  <workbookPr filterPrivacy="1"/>
  <bookViews>
    <workbookView xWindow="0" yWindow="6000" windowWidth="20640" windowHeight="11760"/>
  </bookViews>
  <sheets>
    <sheet name="2023TrendAnalysis" sheetId="15" r:id="rId1"/>
  </sheets>
  <calcPr calcId="145621" iterateDelta="1E-4"/>
</workbook>
</file>

<file path=xl/calcChain.xml><?xml version="1.0" encoding="utf-8"?>
<calcChain xmlns="http://schemas.openxmlformats.org/spreadsheetml/2006/main">
  <c r="D38" i="15" l="1"/>
  <c r="D37" i="15" l="1"/>
  <c r="E37" i="15"/>
  <c r="E34" i="15" l="1"/>
  <c r="D28" i="15" l="1"/>
  <c r="C22" i="15" l="1"/>
  <c r="E14" i="15"/>
  <c r="D10" i="15" l="1"/>
  <c r="E3" i="15"/>
  <c r="D3" i="15" l="1"/>
  <c r="F3" i="15"/>
</calcChain>
</file>

<file path=xl/sharedStrings.xml><?xml version="1.0" encoding="utf-8"?>
<sst xmlns="http://schemas.openxmlformats.org/spreadsheetml/2006/main" count="16" uniqueCount="12">
  <si>
    <t>Outstanding Amount</t>
  </si>
  <si>
    <t>FirmValue</t>
  </si>
  <si>
    <t>CashBalance</t>
  </si>
  <si>
    <t>Investments</t>
  </si>
  <si>
    <t>On Current Date</t>
  </si>
  <si>
    <t>error -150</t>
  </si>
  <si>
    <t>payable to ranjita 15450</t>
  </si>
  <si>
    <t>payable to ranjita 2000</t>
  </si>
  <si>
    <t>payable to ranjita 3100</t>
  </si>
  <si>
    <t>14550 to be pay to tungpham by ranjita</t>
  </si>
  <si>
    <t>oil expenses 1000</t>
  </si>
  <si>
    <t>payable 6000 to ranjita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</si>
</sst>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43" formatCode="_(* #,##0.00_);_(* \(#,##0.00\);_(* &quot;-&quot;??_);_(@_)"/>
    <numFmt numFmtId="164" formatCode="_ &quot;₹&quot;\ * #,##0.00_ ;_ &quot;₹&quot;\ * \-#,##0.00_ ;_ &quot;₹&quot;\ * &quot;-&quot;??_ ;_ @_ "/>
    <numFmt numFmtId="165" formatCode="[$-14009]dddd\,\ d\ mmmm\,\ yyyy;@"/>
  </numFmts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0"/>
      <name val="Arial"/>
      <family val="2"/>
    </font>
    <font>
      <sz val="12"/>
      <color theme="0"/>
      <name val="Arial"/>
      <family val="2"/>
    </font>
    <font>
      <sz val="11"/>
      <color theme="0"/>
      <name val="Calibri"/>
      <family val="2"/>
      <scheme val="minor"/>
    </font>
    <font>
      <b/>
      <sz val="10"/>
      <color theme="0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006666"/>
        <bgColor indexed="64"/>
      </patternFill>
    </fill>
    <fill>
      <patternFill patternType="solid">
        <fgColor rgb="FF008080"/>
        <bgColor indexed="64"/>
      </patternFill>
    </fill>
    <fill>
      <patternFill patternType="solid">
        <fgColor rgb="FF009999"/>
        <bgColor indexed="64"/>
      </patternFill>
    </fill>
    <fill>
      <patternFill patternType="solid">
        <fgColor rgb="FF33CCCC"/>
        <bgColor indexed="64"/>
      </patternFill>
    </fill>
  </fills>
  <borders count="7">
    <border>
      <left/>
      <right/>
      <top/>
      <bottom/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/>
      <diagonal/>
    </border>
    <border>
      <left style="thin">
        <color theme="0" tint="-0.14996795556505021"/>
      </left>
      <right style="thin">
        <color theme="0" tint="-0.14996795556505021"/>
      </right>
      <top/>
      <bottom style="thin">
        <color theme="0" tint="-0.14996795556505021"/>
      </bottom>
      <diagonal/>
    </border>
    <border>
      <left style="thick">
        <color theme="0" tint="-0.14993743705557422"/>
      </left>
      <right style="thin">
        <color theme="0" tint="-0.14996795556505021"/>
      </right>
      <top style="thick">
        <color theme="0" tint="-0.14993743705557422"/>
      </top>
      <bottom style="thick">
        <color theme="0" tint="-0.14993743705557422"/>
      </bottom>
      <diagonal/>
    </border>
    <border>
      <left style="thin">
        <color theme="0" tint="-0.14996795556505021"/>
      </left>
      <right style="thin">
        <color theme="0" tint="-0.14996795556505021"/>
      </right>
      <top style="thick">
        <color theme="0" tint="-0.14993743705557422"/>
      </top>
      <bottom style="thick">
        <color theme="0" tint="-0.14993743705557422"/>
      </bottom>
      <diagonal/>
    </border>
    <border>
      <left style="thin">
        <color theme="0" tint="-0.14996795556505021"/>
      </left>
      <right style="thick">
        <color theme="0" tint="-0.14993743705557422"/>
      </right>
      <top style="thick">
        <color theme="0" tint="-0.14993743705557422"/>
      </top>
      <bottom style="thick">
        <color theme="0" tint="-0.14993743705557422"/>
      </bottom>
      <diagonal/>
    </border>
  </borders>
  <cellStyleXfs count="2">
    <xf numFmtId="0" fontId="0" fillId="0" borderId="0"/>
    <xf numFmtId="164" fontId="1" fillId="0" borderId="0" applyFont="0" applyFill="0" applyBorder="0" applyAlignment="0" applyProtection="0"/>
  </cellStyleXfs>
  <cellXfs count="15">
    <xf numFmtId="0" fontId="0" fillId="0" borderId="0" xfId="0"/>
    <xf numFmtId="164" fontId="3" fillId="3" borderId="1" xfId="1" applyFont="1" applyFill="1" applyBorder="1" applyAlignment="1">
      <alignment horizontal="center" vertical="center"/>
    </xf>
    <xf numFmtId="0" fontId="4" fillId="2" borderId="0" xfId="0" applyFont="1" applyFill="1"/>
    <xf numFmtId="164" fontId="4" fillId="2" borderId="0" xfId="1" applyFont="1" applyFill="1"/>
    <xf numFmtId="164" fontId="2" fillId="3" borderId="2" xfId="1" applyFont="1" applyFill="1" applyBorder="1" applyAlignment="1">
      <alignment horizontal="center" vertical="center" wrapText="1"/>
    </xf>
    <xf numFmtId="1" fontId="5" fillId="5" borderId="4" xfId="0" applyNumberFormat="1" applyFont="1" applyFill="1" applyBorder="1" applyAlignment="1">
      <alignment horizontal="center" vertical="center"/>
    </xf>
    <xf numFmtId="164" fontId="5" fillId="5" borderId="5" xfId="1" applyFont="1" applyFill="1" applyBorder="1" applyAlignment="1">
      <alignment horizontal="center" vertical="center"/>
    </xf>
    <xf numFmtId="164" fontId="5" fillId="5" borderId="6" xfId="1" applyFont="1" applyFill="1" applyBorder="1" applyAlignment="1">
      <alignment horizontal="center" vertical="center"/>
    </xf>
    <xf numFmtId="165" fontId="2" fillId="4" borderId="3" xfId="1" applyNumberFormat="1" applyFont="1" applyFill="1" applyBorder="1" applyAlignment="1">
      <alignment horizontal="center" vertical="center"/>
    </xf>
    <xf numFmtId="164" fontId="2" fillId="4" borderId="3" xfId="1" applyFont="1" applyFill="1" applyBorder="1" applyAlignment="1">
      <alignment horizontal="center" vertical="center"/>
    </xf>
    <xf numFmtId="165" fontId="2" fillId="3" borderId="1" xfId="1" applyNumberFormat="1" applyFont="1" applyFill="1" applyBorder="1" applyAlignment="1">
      <alignment horizontal="center" vertical="center"/>
    </xf>
    <xf numFmtId="164" fontId="2" fillId="3" borderId="1" xfId="1" applyFont="1" applyFill="1" applyBorder="1" applyAlignment="1">
      <alignment horizontal="center" vertical="center"/>
    </xf>
    <xf numFmtId="165" fontId="2" fillId="4" borderId="1" xfId="1" applyNumberFormat="1" applyFont="1" applyFill="1" applyBorder="1" applyAlignment="1">
      <alignment horizontal="center" vertical="center"/>
    </xf>
    <xf numFmtId="164" fontId="2" fillId="4" borderId="1" xfId="1" applyFont="1" applyFill="1" applyBorder="1" applyAlignment="1">
      <alignment horizontal="center" vertical="center"/>
    </xf>
    <xf numFmtId="43" fontId="4" fillId="2" borderId="0" xfId="0" applyNumberFormat="1" applyFont="1" applyFill="1"/>
  </cellXfs>
  <cellStyles count="2">
    <cellStyle name="Currency" xfId="1" builtinId="4"/>
    <cellStyle name="Normal" xfId="0" builtinId="0"/>
  </cellStyles>
  <dxfs count="0"/>
  <tableStyles count="0" defaultTableStyle="TableStyleMedium2" defaultPivotStyle="PivotStyleLight16"/>
  <colors>
    <mruColors>
      <color rgb="FF33CCCC"/>
      <color rgb="FF006666"/>
      <color rgb="FF008080"/>
      <color rgb="FF009999"/>
      <color rgb="FF00CC99"/>
      <color rgb="FF3366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Trend Analysis</a:t>
            </a: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'2023TrendAnalysis'!$C$2</c:f>
              <c:strCache>
                <c:ptCount val="1"/>
                <c:pt idx="0">
                  <c:v>Investments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'2023TrendAnalysis'!$B$4:$B$13</c:f>
              <c:numCache>
                <c:formatCode>[$-14009]dddd\,\ d\ mmmm\,\ yyyy;@</c:formatCode>
                <c:ptCount val="10"/>
                <c:pt idx="0">
                  <c:v>45221</c:v>
                </c:pt>
                <c:pt idx="1">
                  <c:v>45227</c:v>
                </c:pt>
                <c:pt idx="2">
                  <c:v>45235</c:v>
                </c:pt>
                <c:pt idx="3">
                  <c:v>45242</c:v>
                </c:pt>
                <c:pt idx="4">
                  <c:v>45249</c:v>
                </c:pt>
                <c:pt idx="5">
                  <c:v>45256</c:v>
                </c:pt>
                <c:pt idx="6">
                  <c:v>45270</c:v>
                </c:pt>
                <c:pt idx="7">
                  <c:v>45277</c:v>
                </c:pt>
                <c:pt idx="8">
                  <c:v>45284</c:v>
                </c:pt>
                <c:pt idx="9">
                  <c:v>45291</c:v>
                </c:pt>
              </c:numCache>
            </c:numRef>
          </c:cat>
          <c:val>
            <c:numRef>
              <c:f>'2023TrendAnalysis'!$C$3:$C$13</c:f>
              <c:numCache>
                <c:formatCode>_ "₹"\ * #,##0.00_ ;_ "₹"\ * \-#,##0.00_ ;_ "₹"\ * "-"??_ ;_ @_ </c:formatCode>
                <c:ptCount val="11"/>
                <c:pt idx="0">
                  <c:v>35000</c:v>
                </c:pt>
                <c:pt idx="1">
                  <c:v>35000</c:v>
                </c:pt>
                <c:pt idx="2">
                  <c:v>35000</c:v>
                </c:pt>
                <c:pt idx="3">
                  <c:v>35000</c:v>
                </c:pt>
                <c:pt idx="4">
                  <c:v>34880</c:v>
                </c:pt>
                <c:pt idx="5">
                  <c:v>34880</c:v>
                </c:pt>
                <c:pt idx="6">
                  <c:v>44880</c:v>
                </c:pt>
                <c:pt idx="7">
                  <c:v>44880</c:v>
                </c:pt>
                <c:pt idx="8">
                  <c:v>134880</c:v>
                </c:pt>
                <c:pt idx="9">
                  <c:v>159880</c:v>
                </c:pt>
                <c:pt idx="10">
                  <c:v>159880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588A-4FD6-90A1-C2BC5C3DF530}"/>
            </c:ext>
          </c:extLst>
        </c:ser>
        <c:ser>
          <c:idx val="1"/>
          <c:order val="1"/>
          <c:tx>
            <c:strRef>
              <c:f>'2023TrendAnalysis'!$D$2</c:f>
              <c:strCache>
                <c:ptCount val="1"/>
                <c:pt idx="0">
                  <c:v>FirmValue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'2023TrendAnalysis'!$B$4:$B$13</c:f>
              <c:numCache>
                <c:formatCode>[$-14009]dddd\,\ d\ mmmm\,\ yyyy;@</c:formatCode>
                <c:ptCount val="10"/>
                <c:pt idx="0">
                  <c:v>45221</c:v>
                </c:pt>
                <c:pt idx="1">
                  <c:v>45227</c:v>
                </c:pt>
                <c:pt idx="2">
                  <c:v>45235</c:v>
                </c:pt>
                <c:pt idx="3">
                  <c:v>45242</c:v>
                </c:pt>
                <c:pt idx="4">
                  <c:v>45249</c:v>
                </c:pt>
                <c:pt idx="5">
                  <c:v>45256</c:v>
                </c:pt>
                <c:pt idx="6">
                  <c:v>45270</c:v>
                </c:pt>
                <c:pt idx="7">
                  <c:v>45277</c:v>
                </c:pt>
                <c:pt idx="8">
                  <c:v>45284</c:v>
                </c:pt>
                <c:pt idx="9">
                  <c:v>45291</c:v>
                </c:pt>
              </c:numCache>
            </c:numRef>
          </c:cat>
          <c:val>
            <c:numRef>
              <c:f>'2023TrendAnalysis'!$D$3:$D$13</c:f>
              <c:numCache>
                <c:formatCode>_ "₹"\ * #,##0.00_ ;_ "₹"\ * \-#,##0.00_ ;_ "₹"\ * "-"??_ ;_ @_ </c:formatCode>
                <c:ptCount val="11"/>
                <c:pt idx="0">
                  <c:v>0</c:v>
                </c:pt>
                <c:pt idx="1">
                  <c:v>41200</c:v>
                </c:pt>
                <c:pt idx="2">
                  <c:v>41200</c:v>
                </c:pt>
                <c:pt idx="3">
                  <c:v>41200</c:v>
                </c:pt>
                <c:pt idx="4">
                  <c:v>46100</c:v>
                </c:pt>
                <c:pt idx="5">
                  <c:v>46100</c:v>
                </c:pt>
                <c:pt idx="6">
                  <c:v>59050</c:v>
                </c:pt>
                <c:pt idx="7">
                  <c:v>58500</c:v>
                </c:pt>
                <c:pt idx="8">
                  <c:v>190050</c:v>
                </c:pt>
                <c:pt idx="9">
                  <c:v>222250</c:v>
                </c:pt>
                <c:pt idx="10">
                  <c:v>222250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588A-4FD6-90A1-C2BC5C3DF530}"/>
            </c:ext>
          </c:extLst>
        </c:ser>
        <c:ser>
          <c:idx val="2"/>
          <c:order val="2"/>
          <c:tx>
            <c:strRef>
              <c:f>'2023TrendAnalysis'!$E$2</c:f>
              <c:strCache>
                <c:ptCount val="1"/>
                <c:pt idx="0">
                  <c:v>CashBalance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'2023TrendAnalysis'!$B$4:$B$13</c:f>
              <c:numCache>
                <c:formatCode>[$-14009]dddd\,\ d\ mmmm\,\ yyyy;@</c:formatCode>
                <c:ptCount val="10"/>
                <c:pt idx="0">
                  <c:v>45221</c:v>
                </c:pt>
                <c:pt idx="1">
                  <c:v>45227</c:v>
                </c:pt>
                <c:pt idx="2">
                  <c:v>45235</c:v>
                </c:pt>
                <c:pt idx="3">
                  <c:v>45242</c:v>
                </c:pt>
                <c:pt idx="4">
                  <c:v>45249</c:v>
                </c:pt>
                <c:pt idx="5">
                  <c:v>45256</c:v>
                </c:pt>
                <c:pt idx="6">
                  <c:v>45270</c:v>
                </c:pt>
                <c:pt idx="7">
                  <c:v>45277</c:v>
                </c:pt>
                <c:pt idx="8">
                  <c:v>45284</c:v>
                </c:pt>
                <c:pt idx="9">
                  <c:v>45291</c:v>
                </c:pt>
              </c:numCache>
            </c:numRef>
          </c:cat>
          <c:val>
            <c:numRef>
              <c:f>'2023TrendAnalysis'!$E$3:$E$13</c:f>
              <c:numCache>
                <c:formatCode>_ "₹"\ * #,##0.00_ ;_ "₹"\ * \-#,##0.00_ ;_ "₹"\ * "-"??_ ;_ @_ </c:formatCode>
                <c:ptCount val="11"/>
                <c:pt idx="0">
                  <c:v>0</c:v>
                </c:pt>
                <c:pt idx="1">
                  <c:v>800</c:v>
                </c:pt>
                <c:pt idx="2">
                  <c:v>4100</c:v>
                </c:pt>
                <c:pt idx="3">
                  <c:v>4100</c:v>
                </c:pt>
                <c:pt idx="4">
                  <c:v>0</c:v>
                </c:pt>
                <c:pt idx="6">
                  <c:v>1850</c:v>
                </c:pt>
                <c:pt idx="7">
                  <c:v>9100</c:v>
                </c:pt>
                <c:pt idx="8">
                  <c:v>13000</c:v>
                </c:pt>
                <c:pt idx="9">
                  <c:v>5500</c:v>
                </c:pt>
                <c:pt idx="10">
                  <c:v>16800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588A-4FD6-90A1-C2BC5C3DF530}"/>
            </c:ext>
          </c:extLst>
        </c:ser>
        <c:ser>
          <c:idx val="3"/>
          <c:order val="3"/>
          <c:tx>
            <c:strRef>
              <c:f>'2023TrendAnalysis'!$F$2</c:f>
              <c:strCache>
                <c:ptCount val="1"/>
                <c:pt idx="0">
                  <c:v>Outstanding Amount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'2023TrendAnalysis'!$B$4:$B$13</c:f>
              <c:numCache>
                <c:formatCode>[$-14009]dddd\,\ d\ mmmm\,\ yyyy;@</c:formatCode>
                <c:ptCount val="10"/>
                <c:pt idx="0">
                  <c:v>45221</c:v>
                </c:pt>
                <c:pt idx="1">
                  <c:v>45227</c:v>
                </c:pt>
                <c:pt idx="2">
                  <c:v>45235</c:v>
                </c:pt>
                <c:pt idx="3">
                  <c:v>45242</c:v>
                </c:pt>
                <c:pt idx="4">
                  <c:v>45249</c:v>
                </c:pt>
                <c:pt idx="5">
                  <c:v>45256</c:v>
                </c:pt>
                <c:pt idx="6">
                  <c:v>45270</c:v>
                </c:pt>
                <c:pt idx="7">
                  <c:v>45277</c:v>
                </c:pt>
                <c:pt idx="8">
                  <c:v>45284</c:v>
                </c:pt>
                <c:pt idx="9">
                  <c:v>45291</c:v>
                </c:pt>
              </c:numCache>
            </c:numRef>
          </c:cat>
          <c:val>
            <c:numRef>
              <c:f>'2023TrendAnalysis'!$F$3:$F$13</c:f>
              <c:numCache>
                <c:formatCode>_ "₹"\ * #,##0.00_ ;_ "₹"\ * \-#,##0.00_ ;_ "₹"\ * "-"??_ ;_ @_ </c:formatCode>
                <c:ptCount val="11"/>
                <c:pt idx="0">
                  <c:v>0</c:v>
                </c:pt>
                <c:pt idx="1">
                  <c:v>40400</c:v>
                </c:pt>
                <c:pt idx="2">
                  <c:v>37100</c:v>
                </c:pt>
                <c:pt idx="3">
                  <c:v>37100</c:v>
                </c:pt>
                <c:pt idx="4">
                  <c:v>46100</c:v>
                </c:pt>
                <c:pt idx="5">
                  <c:v>46100</c:v>
                </c:pt>
                <c:pt idx="6">
                  <c:v>57200</c:v>
                </c:pt>
                <c:pt idx="7">
                  <c:v>49400</c:v>
                </c:pt>
                <c:pt idx="8">
                  <c:v>177050</c:v>
                </c:pt>
                <c:pt idx="9">
                  <c:v>216750</c:v>
                </c:pt>
                <c:pt idx="10">
                  <c:v>205750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3-588A-4FD6-90A1-C2BC5C3DF53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8681728"/>
        <c:axId val="48683264"/>
      </c:lineChart>
      <c:dateAx>
        <c:axId val="48681728"/>
        <c:scaling>
          <c:orientation val="minMax"/>
        </c:scaling>
        <c:delete val="0"/>
        <c:axPos val="b"/>
        <c:numFmt formatCode="[$-14009]dddd\,\ d\ mmmm\,\ yyyy;@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683264"/>
        <c:crosses val="autoZero"/>
        <c:auto val="1"/>
        <c:lblOffset val="100"/>
        <c:baseTimeUnit val="days"/>
      </c:dateAx>
      <c:valAx>
        <c:axId val="486832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 &quot;₹&quot;\ * #,##0.00_ ;_ &quot;₹&quot;\ * \-#,##0.00_ ;_ &quot;₹&quot;\ * &quot;-&quot;??_ ;_ @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6817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322" l="0.70000000000000062" r="0.70000000000000062" t="0.75000000000000322" header="0.30000000000000032" footer="0.30000000000000032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342900</xdr:colOff>
      <xdr:row>0</xdr:row>
      <xdr:rowOff>109537</xdr:rowOff>
    </xdr:from>
    <xdr:to>
      <xdr:col>13</xdr:col>
      <xdr:colOff>266700</xdr:colOff>
      <xdr:row>14</xdr:row>
      <xdr:rowOff>47625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xmlns="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H55"/>
  <sheetViews>
    <sheetView tabSelected="1" topLeftCell="A43" workbookViewId="0">
      <selection activeCell="B66" sqref="B66"/>
    </sheetView>
  </sheetViews>
  <sheetFormatPr defaultRowHeight="15" x14ac:dyDescent="0.25"/>
  <cols>
    <col min="1" max="1" width="4.85546875" style="2" customWidth="1"/>
    <col min="2" max="2" width="26.85546875" style="2" customWidth="1"/>
    <col min="3" max="3" width="15" style="3" customWidth="1"/>
    <col min="4" max="4" width="13.28515625" style="3" customWidth="1"/>
    <col min="5" max="5" width="21.85546875" style="3" customWidth="1"/>
    <col min="6" max="6" width="19.140625" style="3" customWidth="1"/>
    <col min="7" max="7" width="25.28515625" style="2" customWidth="1"/>
    <col min="8" max="8" width="13.140625" style="2" customWidth="1"/>
    <col min="9" max="16384" width="9.140625" style="2"/>
  </cols>
  <sheetData>
    <row r="1" spans="2:8" ht="20.100000000000001" customHeight="1" x14ac:dyDescent="0.25"/>
    <row r="2" spans="2:8" ht="34.5" customHeight="1" thickBot="1" x14ac:dyDescent="0.3">
      <c r="B2" s="4"/>
      <c r="C2" s="4" t="s">
        <v>3</v>
      </c>
      <c r="D2" s="4" t="s">
        <v>1</v>
      </c>
      <c r="E2" s="4" t="s">
        <v>2</v>
      </c>
      <c r="F2" s="4" t="s">
        <v>0</v>
      </c>
    </row>
    <row r="3" spans="2:8" ht="33.75" customHeight="1" thickTop="1" thickBot="1" x14ac:dyDescent="0.3">
      <c r="B3" s="5" t="s">
        <v>4</v>
      </c>
      <c r="C3" s="6">
        <v>35000</v>
      </c>
      <c r="D3" s="6" t="e">
        <f>#REF!</f>
        <v>#REF!</v>
      </c>
      <c r="E3" s="6" t="e">
        <f>#REF!</f>
        <v>#REF!</v>
      </c>
      <c r="F3" s="7" t="e">
        <f>#REF!</f>
        <v>#REF!</v>
      </c>
    </row>
    <row r="4" spans="2:8" ht="20.100000000000001" customHeight="1" thickTop="1" x14ac:dyDescent="0.25">
      <c r="B4" s="8">
        <v>45221</v>
      </c>
      <c r="C4" s="9">
        <v>35000</v>
      </c>
      <c r="D4" s="9">
        <v>41200</v>
      </c>
      <c r="E4" s="9">
        <v>800</v>
      </c>
      <c r="F4" s="9">
        <v>40400</v>
      </c>
    </row>
    <row r="5" spans="2:8" ht="20.100000000000001" customHeight="1" x14ac:dyDescent="0.25">
      <c r="B5" s="10">
        <v>45227</v>
      </c>
      <c r="C5" s="11">
        <v>35000</v>
      </c>
      <c r="D5" s="11">
        <v>41200</v>
      </c>
      <c r="E5" s="11">
        <v>4100</v>
      </c>
      <c r="F5" s="11">
        <v>37100</v>
      </c>
    </row>
    <row r="6" spans="2:8" ht="20.100000000000001" customHeight="1" x14ac:dyDescent="0.25">
      <c r="B6" s="12">
        <v>45235</v>
      </c>
      <c r="C6" s="13">
        <v>35000</v>
      </c>
      <c r="D6" s="13">
        <v>41200</v>
      </c>
      <c r="E6" s="13">
        <v>4100</v>
      </c>
      <c r="F6" s="13">
        <v>37100</v>
      </c>
    </row>
    <row r="7" spans="2:8" ht="20.100000000000001" customHeight="1" x14ac:dyDescent="0.25">
      <c r="B7" s="10">
        <v>45242</v>
      </c>
      <c r="C7" s="11">
        <v>34880</v>
      </c>
      <c r="D7" s="11">
        <v>46100</v>
      </c>
      <c r="E7" s="11">
        <v>0</v>
      </c>
      <c r="F7" s="11">
        <v>46100</v>
      </c>
      <c r="G7" s="1"/>
    </row>
    <row r="8" spans="2:8" ht="20.100000000000001" customHeight="1" x14ac:dyDescent="0.25">
      <c r="B8" s="12">
        <v>45249</v>
      </c>
      <c r="C8" s="13">
        <v>34880</v>
      </c>
      <c r="D8" s="13">
        <v>46100</v>
      </c>
      <c r="E8" s="13"/>
      <c r="F8" s="13">
        <v>46100</v>
      </c>
    </row>
    <row r="9" spans="2:8" ht="20.100000000000001" customHeight="1" x14ac:dyDescent="0.25">
      <c r="B9" s="10">
        <v>45256</v>
      </c>
      <c r="C9" s="11">
        <v>44880</v>
      </c>
      <c r="D9" s="11">
        <v>59050</v>
      </c>
      <c r="E9" s="11">
        <v>1850</v>
      </c>
      <c r="F9" s="11">
        <v>57200</v>
      </c>
    </row>
    <row r="10" spans="2:8" ht="20.100000000000001" customHeight="1" x14ac:dyDescent="0.25">
      <c r="B10" s="10">
        <v>45270</v>
      </c>
      <c r="C10" s="11">
        <v>44880</v>
      </c>
      <c r="D10" s="11">
        <f>E10+F10</f>
        <v>58500</v>
      </c>
      <c r="E10" s="11">
        <v>9100</v>
      </c>
      <c r="F10" s="11">
        <v>49400</v>
      </c>
    </row>
    <row r="11" spans="2:8" ht="20.100000000000001" customHeight="1" x14ac:dyDescent="0.25">
      <c r="B11" s="12">
        <v>45277</v>
      </c>
      <c r="C11" s="13">
        <v>134880</v>
      </c>
      <c r="D11" s="13">
        <v>190050</v>
      </c>
      <c r="E11" s="13">
        <v>13000</v>
      </c>
      <c r="F11" s="13">
        <v>177050</v>
      </c>
    </row>
    <row r="12" spans="2:8" ht="20.100000000000001" customHeight="1" x14ac:dyDescent="0.25">
      <c r="B12" s="10">
        <v>45284</v>
      </c>
      <c r="C12" s="11">
        <v>159880</v>
      </c>
      <c r="D12" s="11">
        <v>222250</v>
      </c>
      <c r="E12" s="11">
        <v>5500</v>
      </c>
      <c r="F12" s="11">
        <v>216750</v>
      </c>
    </row>
    <row r="13" spans="2:8" ht="20.100000000000001" customHeight="1" x14ac:dyDescent="0.25">
      <c r="B13" s="12">
        <v>45291</v>
      </c>
      <c r="C13" s="11">
        <v>159880</v>
      </c>
      <c r="D13" s="13">
        <v>222250</v>
      </c>
      <c r="E13" s="13">
        <v>16800</v>
      </c>
      <c r="F13" s="13">
        <v>205750</v>
      </c>
    </row>
    <row r="14" spans="2:8" ht="20.100000000000001" customHeight="1" x14ac:dyDescent="0.25">
      <c r="B14" s="10">
        <v>45298</v>
      </c>
      <c r="C14" s="11">
        <v>159880</v>
      </c>
      <c r="D14" s="11">
        <v>230000</v>
      </c>
      <c r="E14" s="11">
        <f>5000+8100+2850+2700</f>
        <v>18650</v>
      </c>
      <c r="F14" s="11">
        <v>211350</v>
      </c>
    </row>
    <row r="15" spans="2:8" ht="20.100000000000001" customHeight="1" x14ac:dyDescent="0.25">
      <c r="B15" s="12">
        <v>45301</v>
      </c>
      <c r="C15" s="11">
        <v>159880</v>
      </c>
      <c r="D15" s="13">
        <v>250800</v>
      </c>
      <c r="E15" s="13">
        <v>-150</v>
      </c>
      <c r="F15" s="13">
        <v>250950</v>
      </c>
    </row>
    <row r="16" spans="2:8" ht="20.100000000000001" customHeight="1" x14ac:dyDescent="0.25">
      <c r="B16" s="10">
        <v>45305</v>
      </c>
      <c r="C16" s="11">
        <v>159880</v>
      </c>
      <c r="D16" s="11">
        <v>242050</v>
      </c>
      <c r="E16" s="11">
        <v>5950</v>
      </c>
      <c r="F16" s="11">
        <v>236100</v>
      </c>
      <c r="H16" s="14"/>
    </row>
    <row r="17" spans="2:8" ht="20.100000000000001" customHeight="1" x14ac:dyDescent="0.25">
      <c r="B17" s="10">
        <v>45308</v>
      </c>
      <c r="C17" s="11">
        <v>159880</v>
      </c>
      <c r="D17" s="11">
        <v>242050</v>
      </c>
      <c r="E17" s="11">
        <v>12550</v>
      </c>
      <c r="F17" s="11">
        <v>229250</v>
      </c>
      <c r="G17" s="14"/>
    </row>
    <row r="18" spans="2:8" ht="20.100000000000001" customHeight="1" x14ac:dyDescent="0.25">
      <c r="B18" s="10">
        <v>45316</v>
      </c>
      <c r="C18" s="11">
        <v>159880</v>
      </c>
      <c r="D18" s="11">
        <v>242050</v>
      </c>
      <c r="E18" s="11">
        <v>17550</v>
      </c>
      <c r="F18" s="11">
        <v>224900</v>
      </c>
      <c r="G18" s="14"/>
    </row>
    <row r="19" spans="2:8" ht="20.100000000000001" customHeight="1" x14ac:dyDescent="0.25">
      <c r="B19" s="10">
        <v>45316</v>
      </c>
      <c r="C19" s="11">
        <v>159880</v>
      </c>
      <c r="D19" s="11">
        <v>249250</v>
      </c>
      <c r="E19" s="11">
        <v>7550</v>
      </c>
      <c r="F19" s="11">
        <v>241700</v>
      </c>
      <c r="G19" s="14"/>
    </row>
    <row r="20" spans="2:8" ht="20.100000000000001" customHeight="1" x14ac:dyDescent="0.25">
      <c r="B20" s="10">
        <v>45320</v>
      </c>
      <c r="C20" s="11">
        <v>159880</v>
      </c>
      <c r="D20" s="11">
        <v>249250</v>
      </c>
      <c r="E20" s="11">
        <v>16800</v>
      </c>
      <c r="F20" s="11">
        <v>232450</v>
      </c>
      <c r="G20" s="14" t="s">
        <v>5</v>
      </c>
      <c r="H20" s="14"/>
    </row>
    <row r="21" spans="2:8" x14ac:dyDescent="0.25">
      <c r="B21" s="10">
        <v>45321</v>
      </c>
      <c r="C21" s="11">
        <v>159880</v>
      </c>
      <c r="D21" s="11">
        <v>255900</v>
      </c>
      <c r="E21" s="11">
        <v>6650</v>
      </c>
      <c r="F21" s="11">
        <v>249250</v>
      </c>
    </row>
    <row r="22" spans="2:8" x14ac:dyDescent="0.25">
      <c r="B22" s="10">
        <v>45325</v>
      </c>
      <c r="C22" s="11">
        <f>159880+1500</f>
        <v>161380</v>
      </c>
      <c r="D22" s="11">
        <v>257400</v>
      </c>
      <c r="E22" s="11">
        <v>18650</v>
      </c>
      <c r="F22" s="11">
        <v>240150</v>
      </c>
    </row>
    <row r="23" spans="2:8" x14ac:dyDescent="0.25">
      <c r="B23" s="10">
        <v>45325</v>
      </c>
      <c r="C23" s="11">
        <v>161380</v>
      </c>
      <c r="D23" s="11">
        <v>252850</v>
      </c>
      <c r="E23" s="11">
        <v>1000</v>
      </c>
      <c r="F23" s="11">
        <v>251850</v>
      </c>
    </row>
    <row r="24" spans="2:8" x14ac:dyDescent="0.25">
      <c r="B24" s="10">
        <v>45331</v>
      </c>
      <c r="C24" s="11">
        <v>161380</v>
      </c>
      <c r="D24" s="11">
        <v>251450</v>
      </c>
      <c r="E24" s="11">
        <v>11700</v>
      </c>
      <c r="F24" s="11">
        <v>239750</v>
      </c>
    </row>
    <row r="25" spans="2:8" x14ac:dyDescent="0.25">
      <c r="B25" s="10">
        <v>45331</v>
      </c>
      <c r="C25" s="11">
        <v>161380</v>
      </c>
      <c r="D25" s="11">
        <v>253500</v>
      </c>
      <c r="E25" s="11">
        <v>-8150</v>
      </c>
      <c r="F25" s="11">
        <v>261650</v>
      </c>
    </row>
    <row r="26" spans="2:8" x14ac:dyDescent="0.25">
      <c r="B26" s="10">
        <v>45333</v>
      </c>
      <c r="C26" s="11">
        <v>161380</v>
      </c>
      <c r="D26" s="11">
        <v>257450</v>
      </c>
      <c r="E26" s="11">
        <v>-22600</v>
      </c>
      <c r="F26" s="11">
        <v>280050</v>
      </c>
    </row>
    <row r="27" spans="2:8" x14ac:dyDescent="0.25">
      <c r="B27" s="10">
        <v>45339</v>
      </c>
      <c r="C27" s="11">
        <v>161380</v>
      </c>
      <c r="D27" s="11">
        <v>257450</v>
      </c>
      <c r="E27" s="11">
        <v>-7450</v>
      </c>
      <c r="F27" s="11">
        <v>265300</v>
      </c>
      <c r="G27" s="14"/>
    </row>
    <row r="28" spans="2:8" x14ac:dyDescent="0.25">
      <c r="B28" s="10">
        <v>45339</v>
      </c>
      <c r="C28" s="11">
        <v>173380</v>
      </c>
      <c r="D28" s="11">
        <f>272250+1600</f>
        <v>273850</v>
      </c>
      <c r="E28" s="11">
        <v>-15450</v>
      </c>
      <c r="F28" s="11">
        <v>287700</v>
      </c>
      <c r="G28" s="14" t="s">
        <v>6</v>
      </c>
    </row>
    <row r="29" spans="2:8" x14ac:dyDescent="0.25">
      <c r="B29" s="10">
        <v>45347</v>
      </c>
      <c r="C29" s="11">
        <v>173380</v>
      </c>
      <c r="D29" s="11">
        <v>273850</v>
      </c>
      <c r="E29" s="11">
        <v>-2000</v>
      </c>
      <c r="F29" s="11">
        <v>275850</v>
      </c>
      <c r="G29" s="14" t="s">
        <v>7</v>
      </c>
    </row>
    <row r="30" spans="2:8" x14ac:dyDescent="0.25">
      <c r="B30" s="10">
        <v>45353</v>
      </c>
      <c r="C30" s="11">
        <v>173380</v>
      </c>
      <c r="D30" s="11">
        <v>273850</v>
      </c>
      <c r="E30" s="11">
        <v>11150</v>
      </c>
      <c r="F30" s="11">
        <v>262700</v>
      </c>
      <c r="G30" s="14" t="s">
        <v>7</v>
      </c>
    </row>
    <row r="31" spans="2:8" x14ac:dyDescent="0.25">
      <c r="B31" s="10">
        <v>45353</v>
      </c>
      <c r="C31" s="11">
        <v>173380</v>
      </c>
      <c r="D31" s="11">
        <v>279800</v>
      </c>
      <c r="E31" s="11">
        <v>-3100</v>
      </c>
      <c r="F31" s="11">
        <v>282900</v>
      </c>
      <c r="G31" s="14" t="s">
        <v>8</v>
      </c>
    </row>
    <row r="32" spans="2:8" x14ac:dyDescent="0.25">
      <c r="B32" s="10">
        <v>45359</v>
      </c>
      <c r="C32" s="11">
        <v>173380</v>
      </c>
      <c r="D32" s="11">
        <v>279800</v>
      </c>
      <c r="E32" s="11">
        <v>11600</v>
      </c>
      <c r="F32" s="11">
        <v>268200</v>
      </c>
      <c r="G32" s="14" t="s">
        <v>8</v>
      </c>
    </row>
    <row r="33" spans="2:7" x14ac:dyDescent="0.25">
      <c r="B33" s="10">
        <v>45359</v>
      </c>
      <c r="C33" s="11">
        <v>173380</v>
      </c>
      <c r="D33" s="11">
        <v>286600</v>
      </c>
      <c r="E33" s="11">
        <v>1600</v>
      </c>
      <c r="F33" s="11">
        <v>285000</v>
      </c>
      <c r="G33" s="14"/>
    </row>
    <row r="34" spans="2:7" x14ac:dyDescent="0.25">
      <c r="B34" s="10">
        <v>45373</v>
      </c>
      <c r="C34" s="11">
        <v>173380</v>
      </c>
      <c r="D34" s="11">
        <v>286600</v>
      </c>
      <c r="E34" s="11">
        <f>32450+2100</f>
        <v>34550</v>
      </c>
      <c r="F34" s="11">
        <v>252050</v>
      </c>
      <c r="G34" s="14"/>
    </row>
    <row r="35" spans="2:7" x14ac:dyDescent="0.25">
      <c r="B35" s="10">
        <v>45373</v>
      </c>
      <c r="C35" s="11">
        <v>173380</v>
      </c>
      <c r="D35" s="11">
        <v>290600</v>
      </c>
      <c r="E35" s="11">
        <v>14550</v>
      </c>
      <c r="F35" s="11">
        <v>276050</v>
      </c>
      <c r="G35" s="14" t="s">
        <v>9</v>
      </c>
    </row>
    <row r="36" spans="2:7" x14ac:dyDescent="0.25">
      <c r="B36" s="10">
        <v>45380</v>
      </c>
      <c r="C36" s="11">
        <v>173380</v>
      </c>
      <c r="D36" s="11">
        <v>290600</v>
      </c>
      <c r="E36" s="11">
        <v>29500</v>
      </c>
      <c r="F36" s="11">
        <v>261100</v>
      </c>
      <c r="G36" s="14" t="s">
        <v>9</v>
      </c>
    </row>
    <row r="37" spans="2:7" x14ac:dyDescent="0.25">
      <c r="B37" s="10">
        <v>45380</v>
      </c>
      <c r="C37" s="11">
        <v>173380</v>
      </c>
      <c r="D37" s="11">
        <f>297400-500</f>
        <v>296900</v>
      </c>
      <c r="E37" s="11">
        <f>19500-500</f>
        <v>19000</v>
      </c>
      <c r="F37" s="11">
        <v>277900</v>
      </c>
      <c r="G37" s="14" t="s">
        <v>9</v>
      </c>
    </row>
    <row r="38" spans="2:7" x14ac:dyDescent="0.25">
      <c r="B38" s="10">
        <v>45387</v>
      </c>
      <c r="C38" s="11">
        <v>173380</v>
      </c>
      <c r="D38" s="11">
        <f>297400-500</f>
        <v>296900</v>
      </c>
      <c r="E38" s="11">
        <v>36650</v>
      </c>
      <c r="F38" s="11">
        <v>260250</v>
      </c>
    </row>
    <row r="39" spans="2:7" x14ac:dyDescent="0.25">
      <c r="B39" s="10">
        <v>45387</v>
      </c>
      <c r="C39" s="11">
        <v>173380</v>
      </c>
      <c r="D39" s="11">
        <v>300900</v>
      </c>
      <c r="E39" s="11">
        <v>16650</v>
      </c>
      <c r="F39" s="11">
        <v>284250</v>
      </c>
    </row>
    <row r="40" spans="2:7" x14ac:dyDescent="0.25">
      <c r="B40" s="10">
        <v>45392</v>
      </c>
      <c r="C40" s="11">
        <v>173380</v>
      </c>
      <c r="D40" s="11">
        <v>300900</v>
      </c>
      <c r="E40" s="11">
        <v>22800</v>
      </c>
      <c r="F40" s="11">
        <v>278100</v>
      </c>
    </row>
    <row r="41" spans="2:7" x14ac:dyDescent="0.25">
      <c r="B41" s="10">
        <v>45392</v>
      </c>
      <c r="C41" s="11">
        <v>173380</v>
      </c>
      <c r="D41" s="11">
        <v>307700</v>
      </c>
      <c r="E41" s="11">
        <v>12800</v>
      </c>
      <c r="F41" s="11">
        <v>294900</v>
      </c>
    </row>
    <row r="42" spans="2:7" x14ac:dyDescent="0.25">
      <c r="B42" s="10">
        <v>45399</v>
      </c>
      <c r="C42" s="11">
        <v>173380</v>
      </c>
      <c r="D42" s="11">
        <v>307700</v>
      </c>
      <c r="E42" s="11">
        <v>31150</v>
      </c>
      <c r="F42" s="11">
        <v>276550</v>
      </c>
    </row>
    <row r="43" spans="2:7" x14ac:dyDescent="0.25">
      <c r="B43" s="10">
        <v>45399</v>
      </c>
      <c r="C43" s="11">
        <v>173380</v>
      </c>
      <c r="D43" s="11">
        <v>312700</v>
      </c>
      <c r="E43" s="11">
        <v>6150</v>
      </c>
      <c r="F43" s="11">
        <v>306550</v>
      </c>
    </row>
    <row r="44" spans="2:7" x14ac:dyDescent="0.25">
      <c r="B44" s="10">
        <v>45410</v>
      </c>
      <c r="C44" s="11">
        <v>173380</v>
      </c>
      <c r="D44" s="11">
        <v>312700</v>
      </c>
      <c r="E44" s="11">
        <v>30600</v>
      </c>
      <c r="F44" s="11">
        <v>282100</v>
      </c>
    </row>
    <row r="45" spans="2:7" x14ac:dyDescent="0.25">
      <c r="B45" s="10">
        <v>45410</v>
      </c>
      <c r="C45" s="11">
        <v>173380</v>
      </c>
      <c r="D45" s="11">
        <v>339900</v>
      </c>
      <c r="E45" s="11">
        <v>-9400</v>
      </c>
      <c r="F45" s="11">
        <v>349300</v>
      </c>
    </row>
    <row r="46" spans="2:7" x14ac:dyDescent="0.25">
      <c r="B46" s="10">
        <v>45416</v>
      </c>
      <c r="C46" s="11">
        <v>173380</v>
      </c>
      <c r="D46" s="11">
        <v>339900</v>
      </c>
      <c r="E46" s="11">
        <v>1150</v>
      </c>
      <c r="F46" s="11">
        <v>338750</v>
      </c>
    </row>
    <row r="47" spans="2:7" x14ac:dyDescent="0.25">
      <c r="B47" s="10">
        <v>45423</v>
      </c>
      <c r="C47" s="11">
        <v>178380</v>
      </c>
      <c r="D47" s="11">
        <v>339900</v>
      </c>
      <c r="E47" s="11">
        <v>17150</v>
      </c>
      <c r="F47" s="11">
        <v>322750</v>
      </c>
    </row>
    <row r="48" spans="2:7" x14ac:dyDescent="0.25">
      <c r="B48" s="10">
        <v>45424</v>
      </c>
      <c r="C48" s="11">
        <v>178380</v>
      </c>
      <c r="D48" s="11">
        <v>340900</v>
      </c>
      <c r="E48" s="11">
        <v>12150</v>
      </c>
      <c r="F48" s="11">
        <v>328750</v>
      </c>
      <c r="G48" s="2" t="s">
        <v>10</v>
      </c>
    </row>
    <row r="49" spans="2:7" x14ac:dyDescent="0.25">
      <c r="B49" s="10">
        <v>45424</v>
      </c>
      <c r="C49" s="11">
        <v>178380</v>
      </c>
      <c r="D49" s="11">
        <v>339900</v>
      </c>
      <c r="E49" s="11">
        <v>11150</v>
      </c>
      <c r="F49" s="11">
        <v>328750</v>
      </c>
    </row>
    <row r="50" spans="2:7" x14ac:dyDescent="0.25">
      <c r="B50" s="10">
        <v>45425</v>
      </c>
      <c r="C50" s="11">
        <v>178380</v>
      </c>
      <c r="D50" s="11">
        <v>342500</v>
      </c>
      <c r="E50" s="11">
        <v>-2050</v>
      </c>
      <c r="F50" s="11">
        <v>344550</v>
      </c>
    </row>
    <row r="51" spans="2:7" x14ac:dyDescent="0.25">
      <c r="B51" s="10">
        <v>45429</v>
      </c>
      <c r="C51" s="11">
        <v>178380</v>
      </c>
      <c r="D51" s="11">
        <v>342500</v>
      </c>
      <c r="E51" s="11">
        <v>4250</v>
      </c>
      <c r="F51" s="11">
        <v>338250</v>
      </c>
    </row>
    <row r="52" spans="2:7" x14ac:dyDescent="0.25">
      <c r="B52" s="10">
        <v>45429</v>
      </c>
      <c r="C52" s="11">
        <v>178380</v>
      </c>
      <c r="D52" s="11">
        <v>343500</v>
      </c>
      <c r="E52" s="11">
        <v>-750</v>
      </c>
      <c r="F52" s="11">
        <v>344250</v>
      </c>
    </row>
    <row r="53" spans="2:7" x14ac:dyDescent="0.25">
      <c r="B53" s="10">
        <v>45431</v>
      </c>
      <c r="C53" s="11">
        <v>178380</v>
      </c>
      <c r="D53" s="11">
        <v>343500</v>
      </c>
      <c r="E53" s="11">
        <v>13700</v>
      </c>
      <c r="F53" s="11">
        <v>329800</v>
      </c>
    </row>
    <row r="54" spans="2:7" x14ac:dyDescent="0.25">
      <c r="B54" s="10">
        <v>45431</v>
      </c>
      <c r="C54" s="11">
        <v>178380</v>
      </c>
      <c r="D54" s="11">
        <v>365900</v>
      </c>
      <c r="E54" s="11">
        <v>-6300</v>
      </c>
      <c r="F54" s="11">
        <v>372200</v>
      </c>
      <c r="G54" s="2" t="s">
        <v>11</v>
      </c>
    </row>
    <row r="55" spans="2:7" x14ac:dyDescent="0.25">
      <c r="B55" s="10"/>
      <c r="C55" s="11"/>
      <c r="D55" s="11"/>
      <c r="E55" s="11"/>
      <c r="F55" s="11"/>
    </row>
  </sheetData>
  <pageMargins left="0.7" right="0.7" top="0.75" bottom="0.75" header="0.3" footer="0.3"/>
  <pageSetup orientation="portrait" horizontalDpi="300" verticalDpi="30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2023TrendAnalysis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2024-05-21T05:45:14Z</dcterms:modified>
</cp:coreProperties>
</file>