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2"/>
  </bookViews>
  <sheets>
    <sheet name="2023TrendAnalysis" sheetId="15" r:id="rId1"/>
    <sheet name="2025TrendAnalysis" sheetId="16" r:id="rId2"/>
    <sheet name="2026TrendAnalysis" sheetId="17" r:id="rId3"/>
    <sheet name="trackingonline transaction" sheetId="18" r:id="rId4"/>
  </sheets>
  <calcPr calcId="162913"/>
</workbook>
</file>

<file path=xl/calcChain.xml><?xml version="1.0" encoding="utf-8"?>
<calcChain xmlns="http://schemas.openxmlformats.org/spreadsheetml/2006/main">
  <c r="E52" i="17" l="1"/>
  <c r="E44" i="17" l="1"/>
  <c r="E45" i="17"/>
  <c r="D45" i="17"/>
  <c r="D44" i="17"/>
  <c r="E43" i="17"/>
  <c r="D43" i="17"/>
  <c r="E42" i="17"/>
  <c r="D42" i="17"/>
  <c r="E41" i="17" l="1"/>
  <c r="D41" i="17"/>
  <c r="E40" i="17"/>
  <c r="D40" i="17"/>
  <c r="E39" i="17"/>
  <c r="D39" i="17" l="1"/>
  <c r="D38" i="17"/>
  <c r="D37" i="17"/>
  <c r="D36" i="17" l="1"/>
  <c r="D35" i="17"/>
  <c r="B16" i="18" l="1"/>
  <c r="D34" i="17" l="1"/>
  <c r="D33" i="17" l="1"/>
  <c r="D32" i="17"/>
  <c r="D31" i="17" l="1"/>
  <c r="D30" i="17" l="1"/>
  <c r="D29" i="17" l="1"/>
  <c r="D28" i="17" l="1"/>
  <c r="D27" i="17" l="1"/>
  <c r="D26" i="17" l="1"/>
  <c r="D25" i="17"/>
  <c r="D24" i="17" l="1"/>
  <c r="D23" i="17" l="1"/>
  <c r="D22" i="17"/>
  <c r="D21" i="17"/>
  <c r="D20" i="17" l="1"/>
  <c r="D19" i="17" l="1"/>
  <c r="D18" i="17"/>
  <c r="G17" i="17" l="1"/>
  <c r="D17" i="17"/>
  <c r="G155" i="16"/>
  <c r="D155" i="16"/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<sst xmlns="http://schemas.openxmlformats.org/spreadsheetml/2006/main" count="206" uniqueCount="157">
  <si>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</si>
  <si>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</si>
  <si>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</si>
  <si>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</si>
  <si>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</si>
  <si>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</si>
  <si>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</si>
  <si>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</si>
  <si>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</si>
  <si>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</si>
  <si>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</si>
  <si>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</si>
  <si>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</si>
  <si>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</si>
  <si>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</si>
  <si>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</si>
  <si>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</si>
  <si>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</si>
  <si>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</si>
  <si>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</si>
  <si>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</si>
  <si>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</si>
  <si>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</si>
  <si>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</si>
  <si>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</si>
  <si>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</si>
  <si>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</si>
  <si>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</si>
  <si>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</si>
  <si>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</si>
  <si>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</si>
  <si>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</si>
  <si>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</si>
  <si>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</si>
  <si>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</si>
  <si>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</si>
  <si>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</si>
  <si>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</si>
  <si>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</si>
  <si>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</si>
  <si>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</si>
  <si>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</si>
  <si>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</si>
  <si>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</si>
  <si>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</si>
  <si>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</si>
  <si>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</si>
  <si>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</si>
  <si>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</si>
  <si>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</si>
  <si>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</si>
  <si>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</si>
  <si>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</si>
  <si>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</si>
  <si>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</si>
  <si>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</si>
  <si>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</si>
  <si>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</si>
  <si>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</si>
  <si>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</si>
  <si>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</si>
  <si>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</si>
  <si>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</si>
  <si>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</si>
  <si>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</si>
  <si>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</si>
  <si>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</si>
  <si>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</si>
  <si>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</si>
  <si>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</si>
  <si>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</si>
  <si>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</si>
  <si>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</si>
  <si>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</si>
  <si>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</si>
  <si>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</si>
  <si>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</si>
  <si>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</si>
  <si>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</si>
  <si>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</si>
  <si>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</si>
  <si>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</si>
  <si>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</si>
  <si>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</si>
  <si>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</si>
  <si>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</si>
  <si>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</si>
  <si>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</si>
  <si>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</si>
  <si>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</si>
  <si>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</si>
  <si>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</si>
  <si>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</si>
  <si>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</si>
  <si>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</si>
  <si>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</si>
  <si>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</si>
  <si>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</si>
  <si>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</si>
  <si>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</si>
  <si>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</si>
  <si>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</si>
  <si>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</si>
  <si>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</si>
  <si>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</si>
  <si>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</si>
  <si>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</si>
  <si>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</si>
  <si>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</si>
  <si>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</si>
  <si>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</si>
  <si>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</si>
  <si>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</si>
  <si>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</si>
  <si>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</si>
  <si>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</si>
  <si>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</si>
  <si>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</si>
  <si>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</si>
  <si>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</si>
  <si>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</si>
  <si>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</si>
  <si>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</si>
  <si>
    <t>loan inaobi 16000</t>
  </si>
  <si>
    <t>loan budhacandra</t>
  </si>
  <si>
    <t>ibeyaima loan 15000</t>
  </si>
  <si>
    <t>wangkhei marup  6000</t>
  </si>
  <si>
    <t>loan renita 20000 kiranmala 10000 denita 10000 sandhyarani 10000</t>
  </si>
  <si>
    <t>marup 6500+6000; grocery 2000+1700</t>
  </si>
  <si>
    <t>anand izra Rs 60000; payable to aboong 14650; online transfer 28100+10000=38100</t>
  </si>
  <si>
    <t>loan reena 10000</t>
  </si>
  <si>
    <t xml:space="preserve">adjust priya loans of totalling 186900 as 1lakhs 90thousand </t>
  </si>
  <si>
    <t>marup 6500+6000</t>
  </si>
  <si>
    <t>loan pratima 20000 ibeyaima 30000 bijenty 50000</t>
  </si>
  <si>
    <t>loan kamala 40000 sonia 20000</t>
  </si>
  <si>
    <t>loan sanarei 140000 (chaoba 50000)</t>
  </si>
  <si>
    <t>loan bidyabati 10000</t>
  </si>
  <si>
    <t>loan ronel 20000</t>
  </si>
  <si>
    <t>Credit (taken) from Chaoba</t>
  </si>
  <si>
    <t>by Tungfam</t>
  </si>
  <si>
    <t>online adjusted to HDFCBank (Aboong)</t>
  </si>
  <si>
    <t>transferred to bechau</t>
  </si>
  <si>
    <t>transferred to benao  8000 (500 for vegeatables/7500 for benao)</t>
  </si>
  <si>
    <t>loan lanvhenbi 60000 bala 20000 bidyalaxmi 5000</t>
  </si>
  <si>
    <t>Buncha Maroop</t>
  </si>
  <si>
    <t xml:space="preserve">bechau </t>
  </si>
  <si>
    <t>aboong</t>
  </si>
  <si>
    <t>mother</t>
  </si>
  <si>
    <t>tungfam (nanao)</t>
  </si>
  <si>
    <t>no loan issue</t>
  </si>
  <si>
    <t>loan nanao 10000</t>
  </si>
  <si>
    <t xml:space="preserve"> withdrawn  9300  baenao (online transfer 8000) ranjit 11300+ranjita 700</t>
  </si>
  <si>
    <t>marup bomcha 11500</t>
  </si>
  <si>
    <t>wangkhei marup 11000</t>
  </si>
  <si>
    <t>chicken 250</t>
  </si>
  <si>
    <t>dada 1300(chiraoba fish vegetable and tablet on march 18 adjusted with deposit  11300</t>
  </si>
  <si>
    <t>130000+12000+10000+11500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</si>
</sst>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  <xf numFmtId="16" fontId="0" fillId="0" borderId="0" xfId="0" applyNumberFormat="1"/>
    <xf numFmtId="0" fontId="8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6" workbookViewId="0">
      <selection activeCell="G144" sqref="G144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57"/>
  <sheetViews>
    <sheetView workbookViewId="0">
      <selection activeCell="H159" sqref="H15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>
        <v>45996</v>
      </c>
      <c r="C142" s="11">
        <v>188380</v>
      </c>
      <c r="D142" s="11">
        <v>60000</v>
      </c>
      <c r="E142" s="11">
        <v>21300</v>
      </c>
      <c r="F142" s="11">
        <v>996300</v>
      </c>
      <c r="G142" s="11">
        <v>203500</v>
      </c>
      <c r="H142" s="11">
        <v>754100</v>
      </c>
      <c r="I142" s="16"/>
    </row>
    <row r="143" spans="2:10" x14ac:dyDescent="0.25">
      <c r="B143" s="10">
        <v>45996</v>
      </c>
      <c r="C143" s="11">
        <v>188380</v>
      </c>
      <c r="D143" s="11">
        <v>60000</v>
      </c>
      <c r="E143" s="11">
        <v>21300</v>
      </c>
      <c r="F143" s="11">
        <v>999500</v>
      </c>
      <c r="G143" s="11">
        <v>187500</v>
      </c>
      <c r="H143" s="11">
        <v>773300</v>
      </c>
      <c r="I143" s="16"/>
      <c r="J143" s="2" t="s">
        <v>123</v>
      </c>
    </row>
    <row r="144" spans="2:10" x14ac:dyDescent="0.25">
      <c r="B144" s="10">
        <v>45997</v>
      </c>
      <c r="C144" s="11">
        <v>188380</v>
      </c>
      <c r="D144" s="11">
        <v>60000</v>
      </c>
      <c r="E144" s="11">
        <v>21300</v>
      </c>
      <c r="F144" s="11">
        <v>999500</v>
      </c>
      <c r="G144" s="11">
        <v>217050</v>
      </c>
      <c r="H144" s="11">
        <v>743750</v>
      </c>
      <c r="I144" s="16"/>
    </row>
    <row r="145" spans="2:10" x14ac:dyDescent="0.25">
      <c r="B145" s="10">
        <v>45997</v>
      </c>
      <c r="C145" s="11">
        <v>188380</v>
      </c>
      <c r="D145" s="11">
        <v>60000</v>
      </c>
      <c r="E145" s="11">
        <v>21300</v>
      </c>
      <c r="F145" s="11">
        <v>1003500</v>
      </c>
      <c r="G145" s="11">
        <v>197050</v>
      </c>
      <c r="H145" s="11">
        <v>767750</v>
      </c>
      <c r="I145" s="16"/>
      <c r="J145" s="2" t="s">
        <v>124</v>
      </c>
    </row>
    <row r="146" spans="2:10" x14ac:dyDescent="0.25">
      <c r="B146" s="10">
        <v>46005</v>
      </c>
      <c r="C146" s="11">
        <v>188380</v>
      </c>
      <c r="D146" s="11">
        <v>60000</v>
      </c>
      <c r="E146" s="11">
        <v>21300</v>
      </c>
      <c r="F146" s="11">
        <v>1003500</v>
      </c>
      <c r="G146" s="11">
        <v>202320</v>
      </c>
      <c r="H146" s="11">
        <v>762480</v>
      </c>
      <c r="I146" s="16"/>
    </row>
    <row r="147" spans="2:10" x14ac:dyDescent="0.25">
      <c r="B147" s="10">
        <v>46005</v>
      </c>
      <c r="C147" s="11">
        <v>188380</v>
      </c>
      <c r="D147" s="11">
        <v>60000</v>
      </c>
      <c r="E147" s="11">
        <v>21300</v>
      </c>
      <c r="F147" s="11">
        <v>997000</v>
      </c>
      <c r="G147" s="11">
        <v>195820</v>
      </c>
      <c r="H147" s="11">
        <v>762480</v>
      </c>
      <c r="I147" s="16"/>
      <c r="J147" s="2" t="s">
        <v>40</v>
      </c>
    </row>
    <row r="148" spans="2:10" x14ac:dyDescent="0.25">
      <c r="B148" s="10">
        <v>46006</v>
      </c>
      <c r="C148" s="11">
        <v>188380</v>
      </c>
      <c r="D148" s="11">
        <v>60000</v>
      </c>
      <c r="E148" s="11">
        <v>21300</v>
      </c>
      <c r="F148" s="11">
        <v>997000</v>
      </c>
      <c r="G148" s="11">
        <v>212690</v>
      </c>
      <c r="H148" s="11">
        <v>745610</v>
      </c>
      <c r="I148" s="16"/>
    </row>
    <row r="149" spans="2:10" x14ac:dyDescent="0.25">
      <c r="B149" s="10">
        <v>46006</v>
      </c>
      <c r="C149" s="11">
        <v>188380</v>
      </c>
      <c r="D149" s="11">
        <v>60000</v>
      </c>
      <c r="E149" s="11">
        <v>21300</v>
      </c>
      <c r="F149" s="11">
        <v>999850</v>
      </c>
      <c r="G149" s="11">
        <v>197690</v>
      </c>
      <c r="H149" s="11">
        <v>763460</v>
      </c>
      <c r="I149" s="16"/>
      <c r="J149" s="2" t="s">
        <v>125</v>
      </c>
    </row>
    <row r="150" spans="2:10" x14ac:dyDescent="0.25">
      <c r="B150" s="10">
        <v>46018</v>
      </c>
      <c r="C150" s="11">
        <v>188380</v>
      </c>
      <c r="D150" s="11">
        <v>60000</v>
      </c>
      <c r="E150" s="11">
        <v>21300</v>
      </c>
      <c r="F150" s="11">
        <v>999850</v>
      </c>
      <c r="G150" s="11">
        <v>223210</v>
      </c>
      <c r="H150" s="11">
        <v>737940</v>
      </c>
      <c r="I150" s="16"/>
    </row>
    <row r="151" spans="2:10" x14ac:dyDescent="0.25">
      <c r="B151" s="10">
        <v>46018</v>
      </c>
      <c r="C151" s="11">
        <v>188380</v>
      </c>
      <c r="D151" s="11">
        <v>60000</v>
      </c>
      <c r="E151" s="11">
        <v>21300</v>
      </c>
      <c r="F151" s="11">
        <v>993850</v>
      </c>
      <c r="G151" s="11">
        <v>217210</v>
      </c>
      <c r="H151" s="11">
        <v>737940</v>
      </c>
      <c r="I151" s="16"/>
      <c r="J151" s="2" t="s">
        <v>126</v>
      </c>
    </row>
    <row r="152" spans="2:10" x14ac:dyDescent="0.25">
      <c r="B152" s="10">
        <v>46018</v>
      </c>
      <c r="C152" s="11">
        <v>188380</v>
      </c>
      <c r="D152" s="11">
        <v>60000</v>
      </c>
      <c r="E152" s="11">
        <v>21300</v>
      </c>
      <c r="F152" s="11">
        <v>1003850</v>
      </c>
      <c r="G152" s="11">
        <v>167210</v>
      </c>
      <c r="H152" s="11">
        <v>797940</v>
      </c>
      <c r="I152" s="16"/>
      <c r="J152" s="2" t="s">
        <v>127</v>
      </c>
    </row>
    <row r="153" spans="2:10" x14ac:dyDescent="0.25">
      <c r="B153" s="10">
        <v>46048</v>
      </c>
      <c r="C153" s="11">
        <v>188380</v>
      </c>
      <c r="D153" s="11">
        <v>60000</v>
      </c>
      <c r="E153" s="11">
        <v>21300</v>
      </c>
      <c r="F153" s="11">
        <v>1003850</v>
      </c>
      <c r="G153" s="11">
        <v>236510</v>
      </c>
      <c r="H153" s="11">
        <v>728640</v>
      </c>
      <c r="I153" s="16"/>
    </row>
    <row r="154" spans="2:10" x14ac:dyDescent="0.25">
      <c r="B154" s="10">
        <v>46048</v>
      </c>
      <c r="C154" s="11">
        <v>188380</v>
      </c>
      <c r="D154" s="11">
        <v>60000</v>
      </c>
      <c r="E154" s="11">
        <v>21300</v>
      </c>
      <c r="F154" s="11">
        <v>987650</v>
      </c>
      <c r="G154" s="11">
        <v>220310</v>
      </c>
      <c r="H154" s="11">
        <v>728640</v>
      </c>
      <c r="I154" s="16"/>
      <c r="J154" s="2" t="s">
        <v>128</v>
      </c>
    </row>
    <row r="155" spans="2:10" x14ac:dyDescent="0.25">
      <c r="B155" s="10">
        <v>46048</v>
      </c>
      <c r="C155" s="11">
        <v>188380</v>
      </c>
      <c r="D155" s="11">
        <f>60000+60000-14650</f>
        <v>105350</v>
      </c>
      <c r="E155" s="11">
        <v>21300</v>
      </c>
      <c r="F155" s="11">
        <v>994900</v>
      </c>
      <c r="G155" s="11">
        <f>220310-38100</f>
        <v>182210</v>
      </c>
      <c r="H155" s="11">
        <v>728640</v>
      </c>
      <c r="I155" s="16"/>
      <c r="J155" s="2" t="s">
        <v>129</v>
      </c>
    </row>
    <row r="156" spans="2:10" x14ac:dyDescent="0.25">
      <c r="B156" s="10"/>
      <c r="C156" s="11"/>
      <c r="D156" s="11"/>
      <c r="E156" s="11"/>
      <c r="F156" s="11"/>
      <c r="G156" s="11"/>
      <c r="H156" s="11"/>
      <c r="I156" s="16"/>
    </row>
    <row r="157" spans="2:10" x14ac:dyDescent="0.25">
      <c r="B157" s="10"/>
      <c r="C157" s="11"/>
      <c r="D157" s="11"/>
      <c r="E157" s="11"/>
      <c r="F157" s="11"/>
      <c r="G157" s="11"/>
      <c r="H157" s="11"/>
      <c r="I157" s="16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52"/>
  <sheetViews>
    <sheetView tabSelected="1" topLeftCell="A34" workbookViewId="0">
      <selection activeCell="G49" sqref="G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thickTop="1" x14ac:dyDescent="0.25">
      <c r="B4" s="10">
        <v>45996</v>
      </c>
      <c r="C4" s="11">
        <v>188380</v>
      </c>
      <c r="D4" s="11">
        <v>60000</v>
      </c>
      <c r="E4" s="11">
        <v>21300</v>
      </c>
      <c r="F4" s="11">
        <v>996300</v>
      </c>
      <c r="G4" s="11">
        <v>203500</v>
      </c>
      <c r="H4" s="11">
        <v>754100</v>
      </c>
      <c r="I4" s="16"/>
    </row>
    <row r="5" spans="2:10" x14ac:dyDescent="0.25">
      <c r="B5" s="10">
        <v>45996</v>
      </c>
      <c r="C5" s="11">
        <v>188380</v>
      </c>
      <c r="D5" s="11">
        <v>60000</v>
      </c>
      <c r="E5" s="11">
        <v>21300</v>
      </c>
      <c r="F5" s="11">
        <v>999500</v>
      </c>
      <c r="G5" s="11">
        <v>187500</v>
      </c>
      <c r="H5" s="11">
        <v>773300</v>
      </c>
      <c r="I5" s="16"/>
      <c r="J5" s="2" t="s">
        <v>123</v>
      </c>
    </row>
    <row r="6" spans="2:10" x14ac:dyDescent="0.25">
      <c r="B6" s="10">
        <v>45997</v>
      </c>
      <c r="C6" s="11">
        <v>188380</v>
      </c>
      <c r="D6" s="11">
        <v>60000</v>
      </c>
      <c r="E6" s="11">
        <v>21300</v>
      </c>
      <c r="F6" s="11">
        <v>999500</v>
      </c>
      <c r="G6" s="11">
        <v>217050</v>
      </c>
      <c r="H6" s="11">
        <v>743750</v>
      </c>
      <c r="I6" s="16"/>
    </row>
    <row r="7" spans="2:10" x14ac:dyDescent="0.25">
      <c r="B7" s="10">
        <v>45997</v>
      </c>
      <c r="C7" s="11">
        <v>188380</v>
      </c>
      <c r="D7" s="11">
        <v>60000</v>
      </c>
      <c r="E7" s="11">
        <v>21300</v>
      </c>
      <c r="F7" s="11">
        <v>1003500</v>
      </c>
      <c r="G7" s="11">
        <v>197050</v>
      </c>
      <c r="H7" s="11">
        <v>767750</v>
      </c>
      <c r="I7" s="16"/>
      <c r="J7" s="2" t="s">
        <v>124</v>
      </c>
    </row>
    <row r="8" spans="2:10" x14ac:dyDescent="0.25">
      <c r="B8" s="10">
        <v>46005</v>
      </c>
      <c r="C8" s="11">
        <v>188380</v>
      </c>
      <c r="D8" s="11">
        <v>60000</v>
      </c>
      <c r="E8" s="11">
        <v>21300</v>
      </c>
      <c r="F8" s="11">
        <v>1003500</v>
      </c>
      <c r="G8" s="11">
        <v>202320</v>
      </c>
      <c r="H8" s="11">
        <v>762480</v>
      </c>
      <c r="I8" s="16"/>
    </row>
    <row r="9" spans="2:10" x14ac:dyDescent="0.25">
      <c r="B9" s="10">
        <v>46005</v>
      </c>
      <c r="C9" s="11">
        <v>188380</v>
      </c>
      <c r="D9" s="11">
        <v>60000</v>
      </c>
      <c r="E9" s="11">
        <v>21300</v>
      </c>
      <c r="F9" s="11">
        <v>997000</v>
      </c>
      <c r="G9" s="11">
        <v>195820</v>
      </c>
      <c r="H9" s="11">
        <v>762480</v>
      </c>
      <c r="I9" s="16"/>
      <c r="J9" s="2" t="s">
        <v>40</v>
      </c>
    </row>
    <row r="10" spans="2:10" x14ac:dyDescent="0.25">
      <c r="B10" s="10">
        <v>46006</v>
      </c>
      <c r="C10" s="11">
        <v>188380</v>
      </c>
      <c r="D10" s="11">
        <v>60000</v>
      </c>
      <c r="E10" s="11">
        <v>21300</v>
      </c>
      <c r="F10" s="11">
        <v>997000</v>
      </c>
      <c r="G10" s="11">
        <v>212690</v>
      </c>
      <c r="H10" s="11">
        <v>745610</v>
      </c>
      <c r="I10" s="16"/>
    </row>
    <row r="11" spans="2:10" x14ac:dyDescent="0.25">
      <c r="B11" s="10">
        <v>46006</v>
      </c>
      <c r="C11" s="11">
        <v>188380</v>
      </c>
      <c r="D11" s="11">
        <v>60000</v>
      </c>
      <c r="E11" s="11">
        <v>21300</v>
      </c>
      <c r="F11" s="11">
        <v>999850</v>
      </c>
      <c r="G11" s="11">
        <v>197690</v>
      </c>
      <c r="H11" s="11">
        <v>763460</v>
      </c>
      <c r="I11" s="16"/>
      <c r="J11" s="2" t="s">
        <v>125</v>
      </c>
    </row>
    <row r="12" spans="2:10" x14ac:dyDescent="0.25">
      <c r="B12" s="10">
        <v>46018</v>
      </c>
      <c r="C12" s="11">
        <v>188380</v>
      </c>
      <c r="D12" s="11">
        <v>60000</v>
      </c>
      <c r="E12" s="11">
        <v>21300</v>
      </c>
      <c r="F12" s="11">
        <v>999850</v>
      </c>
      <c r="G12" s="11">
        <v>223210</v>
      </c>
      <c r="H12" s="11">
        <v>737940</v>
      </c>
      <c r="I12" s="16"/>
    </row>
    <row r="13" spans="2:10" x14ac:dyDescent="0.25">
      <c r="B13" s="10">
        <v>46018</v>
      </c>
      <c r="C13" s="11">
        <v>188380</v>
      </c>
      <c r="D13" s="11">
        <v>60000</v>
      </c>
      <c r="E13" s="11">
        <v>21300</v>
      </c>
      <c r="F13" s="11">
        <v>993850</v>
      </c>
      <c r="G13" s="11">
        <v>217210</v>
      </c>
      <c r="H13" s="11">
        <v>737940</v>
      </c>
      <c r="I13" s="16"/>
      <c r="J13" s="2" t="s">
        <v>126</v>
      </c>
    </row>
    <row r="14" spans="2:10" x14ac:dyDescent="0.25">
      <c r="B14" s="10">
        <v>46018</v>
      </c>
      <c r="C14" s="11">
        <v>188380</v>
      </c>
      <c r="D14" s="11">
        <v>60000</v>
      </c>
      <c r="E14" s="11">
        <v>21300</v>
      </c>
      <c r="F14" s="11">
        <v>1003850</v>
      </c>
      <c r="G14" s="11">
        <v>167210</v>
      </c>
      <c r="H14" s="11">
        <v>797940</v>
      </c>
      <c r="I14" s="16"/>
      <c r="J14" s="2" t="s">
        <v>127</v>
      </c>
    </row>
    <row r="15" spans="2:10" x14ac:dyDescent="0.25">
      <c r="B15" s="10">
        <v>46048</v>
      </c>
      <c r="C15" s="11">
        <v>188380</v>
      </c>
      <c r="D15" s="11">
        <v>60000</v>
      </c>
      <c r="E15" s="11">
        <v>21300</v>
      </c>
      <c r="F15" s="11">
        <v>1003850</v>
      </c>
      <c r="G15" s="11">
        <v>236510</v>
      </c>
      <c r="H15" s="11">
        <v>728640</v>
      </c>
      <c r="I15" s="16"/>
    </row>
    <row r="16" spans="2:10" x14ac:dyDescent="0.25">
      <c r="B16" s="10">
        <v>46048</v>
      </c>
      <c r="C16" s="11">
        <v>188380</v>
      </c>
      <c r="D16" s="11">
        <v>60000</v>
      </c>
      <c r="E16" s="11">
        <v>21300</v>
      </c>
      <c r="F16" s="11">
        <v>987650</v>
      </c>
      <c r="G16" s="11">
        <v>220310</v>
      </c>
      <c r="H16" s="11">
        <v>728640</v>
      </c>
      <c r="I16" s="16"/>
      <c r="J16" s="2" t="s">
        <v>128</v>
      </c>
    </row>
    <row r="17" spans="2:10" x14ac:dyDescent="0.25">
      <c r="B17" s="10">
        <v>46048</v>
      </c>
      <c r="C17" s="11">
        <v>188380</v>
      </c>
      <c r="D17" s="11">
        <f t="shared" ref="D17:D45" si="0">60000+60000-14650</f>
        <v>105350</v>
      </c>
      <c r="E17" s="11">
        <v>21300</v>
      </c>
      <c r="F17" s="11">
        <v>994900</v>
      </c>
      <c r="G17" s="11">
        <f>220310-38100</f>
        <v>182210</v>
      </c>
      <c r="H17" s="11">
        <v>728640</v>
      </c>
      <c r="I17" s="16"/>
      <c r="J17" s="2" t="s">
        <v>129</v>
      </c>
    </row>
    <row r="18" spans="2:10" x14ac:dyDescent="0.25">
      <c r="B18" s="10">
        <v>46061</v>
      </c>
      <c r="C18" s="11">
        <v>188380</v>
      </c>
      <c r="D18" s="11">
        <f t="shared" si="0"/>
        <v>105350</v>
      </c>
      <c r="E18" s="11">
        <v>21300</v>
      </c>
      <c r="F18" s="11">
        <v>994900</v>
      </c>
      <c r="G18" s="11">
        <v>192160</v>
      </c>
      <c r="H18" s="11">
        <v>718690</v>
      </c>
      <c r="I18" s="16"/>
    </row>
    <row r="19" spans="2:10" x14ac:dyDescent="0.25">
      <c r="B19" s="10">
        <v>46061</v>
      </c>
      <c r="C19" s="11">
        <v>188380</v>
      </c>
      <c r="D19" s="11">
        <f t="shared" si="0"/>
        <v>105350</v>
      </c>
      <c r="E19" s="11">
        <v>21300</v>
      </c>
      <c r="F19" s="11">
        <v>996800</v>
      </c>
      <c r="G19" s="11">
        <v>182160</v>
      </c>
      <c r="H19" s="11">
        <v>730590</v>
      </c>
      <c r="I19" s="16"/>
      <c r="J19" s="2" t="s">
        <v>130</v>
      </c>
    </row>
    <row r="20" spans="2:10" x14ac:dyDescent="0.25">
      <c r="B20" s="10">
        <v>46066</v>
      </c>
      <c r="C20" s="11">
        <v>188380</v>
      </c>
      <c r="D20" s="11">
        <f t="shared" si="0"/>
        <v>105350</v>
      </c>
      <c r="E20" s="11">
        <v>21300</v>
      </c>
      <c r="F20" s="11">
        <v>996800</v>
      </c>
      <c r="G20" s="11">
        <v>188660</v>
      </c>
      <c r="H20" s="11">
        <v>724090</v>
      </c>
      <c r="I20" s="16"/>
    </row>
    <row r="21" spans="2:10" x14ac:dyDescent="0.25">
      <c r="B21" s="10">
        <v>46066</v>
      </c>
      <c r="C21" s="11">
        <v>188380</v>
      </c>
      <c r="D21" s="11">
        <f t="shared" si="0"/>
        <v>105350</v>
      </c>
      <c r="E21" s="11">
        <v>21300</v>
      </c>
      <c r="F21" s="11">
        <v>996800</v>
      </c>
      <c r="G21" s="11">
        <v>375560</v>
      </c>
      <c r="H21" s="11">
        <v>537190</v>
      </c>
      <c r="I21" s="16"/>
    </row>
    <row r="22" spans="2:10" x14ac:dyDescent="0.25">
      <c r="B22" s="10">
        <v>46066</v>
      </c>
      <c r="C22" s="11">
        <v>188380</v>
      </c>
      <c r="D22" s="11">
        <f t="shared" si="0"/>
        <v>105350</v>
      </c>
      <c r="E22" s="11">
        <v>21300</v>
      </c>
      <c r="F22" s="11">
        <v>996800</v>
      </c>
      <c r="G22" s="11">
        <v>375560</v>
      </c>
      <c r="H22" s="11">
        <v>537190</v>
      </c>
      <c r="I22" s="16"/>
    </row>
    <row r="23" spans="2:10" x14ac:dyDescent="0.25">
      <c r="B23" s="10">
        <v>46066</v>
      </c>
      <c r="C23" s="11">
        <v>188380</v>
      </c>
      <c r="D23" s="11">
        <f t="shared" si="0"/>
        <v>105350</v>
      </c>
      <c r="E23" s="11">
        <v>21300</v>
      </c>
      <c r="F23" s="11">
        <v>996800</v>
      </c>
      <c r="G23" s="11">
        <v>185560</v>
      </c>
      <c r="H23" s="11">
        <v>727190</v>
      </c>
      <c r="I23" s="16"/>
      <c r="J23" s="2" t="s">
        <v>131</v>
      </c>
    </row>
    <row r="24" spans="2:10" x14ac:dyDescent="0.25">
      <c r="B24" s="10">
        <v>46073</v>
      </c>
      <c r="C24" s="11">
        <v>188380</v>
      </c>
      <c r="D24" s="11">
        <f t="shared" si="0"/>
        <v>105350</v>
      </c>
      <c r="E24" s="11">
        <v>21300</v>
      </c>
      <c r="F24" s="11">
        <v>984300</v>
      </c>
      <c r="G24" s="11">
        <v>173060</v>
      </c>
      <c r="H24" s="11">
        <v>727190</v>
      </c>
      <c r="I24" s="16"/>
      <c r="J24" s="2" t="s">
        <v>132</v>
      </c>
    </row>
    <row r="25" spans="2:10" x14ac:dyDescent="0.25">
      <c r="B25" s="10">
        <v>46082</v>
      </c>
      <c r="C25" s="11">
        <v>188380</v>
      </c>
      <c r="D25" s="11">
        <f t="shared" si="0"/>
        <v>105350</v>
      </c>
      <c r="E25" s="11">
        <v>21300</v>
      </c>
      <c r="F25" s="11">
        <v>984300</v>
      </c>
      <c r="G25" s="11">
        <v>227110</v>
      </c>
      <c r="H25" s="11">
        <v>673140</v>
      </c>
      <c r="I25" s="16"/>
    </row>
    <row r="26" spans="2:10" x14ac:dyDescent="0.25">
      <c r="B26" s="10">
        <v>46082</v>
      </c>
      <c r="C26" s="11">
        <v>188380</v>
      </c>
      <c r="D26" s="11">
        <f t="shared" si="0"/>
        <v>105350</v>
      </c>
      <c r="E26" s="11">
        <v>21300</v>
      </c>
      <c r="F26" s="11">
        <v>1003800</v>
      </c>
      <c r="G26" s="11">
        <v>127110</v>
      </c>
      <c r="H26" s="11">
        <v>792640</v>
      </c>
      <c r="I26" s="16"/>
      <c r="J26" s="2" t="s">
        <v>133</v>
      </c>
    </row>
    <row r="27" spans="2:10" x14ac:dyDescent="0.25">
      <c r="B27" s="10">
        <v>46087</v>
      </c>
      <c r="C27" s="11">
        <v>188380</v>
      </c>
      <c r="D27" s="11">
        <f t="shared" si="0"/>
        <v>105350</v>
      </c>
      <c r="E27" s="11">
        <v>21300</v>
      </c>
      <c r="F27" s="11">
        <v>1003800</v>
      </c>
      <c r="G27" s="11">
        <v>140610</v>
      </c>
      <c r="H27" s="11">
        <v>779140</v>
      </c>
      <c r="I27" s="16"/>
    </row>
    <row r="28" spans="2:10" x14ac:dyDescent="0.25">
      <c r="B28" s="10">
        <v>46087</v>
      </c>
      <c r="C28" s="11">
        <v>188380</v>
      </c>
      <c r="D28" s="11">
        <f t="shared" si="0"/>
        <v>105350</v>
      </c>
      <c r="E28" s="11">
        <v>21300</v>
      </c>
      <c r="F28" s="11">
        <v>1015800</v>
      </c>
      <c r="G28" s="11">
        <v>80610</v>
      </c>
      <c r="H28" s="11">
        <v>851140</v>
      </c>
      <c r="I28" s="16"/>
      <c r="J28" s="2" t="s">
        <v>134</v>
      </c>
    </row>
    <row r="29" spans="2:10" x14ac:dyDescent="0.25">
      <c r="B29" s="10">
        <v>46088</v>
      </c>
      <c r="C29" s="11">
        <v>188380</v>
      </c>
      <c r="D29" s="11">
        <f t="shared" si="0"/>
        <v>105350</v>
      </c>
      <c r="E29" s="11">
        <v>21300</v>
      </c>
      <c r="F29" s="11">
        <v>1015800</v>
      </c>
      <c r="G29" s="11">
        <v>92850</v>
      </c>
      <c r="H29" s="11">
        <v>838900</v>
      </c>
      <c r="I29" s="16"/>
    </row>
    <row r="30" spans="2:10" x14ac:dyDescent="0.25">
      <c r="B30" s="10">
        <v>46088</v>
      </c>
      <c r="C30" s="11">
        <v>188380</v>
      </c>
      <c r="D30" s="11">
        <f t="shared" si="0"/>
        <v>105350</v>
      </c>
      <c r="E30" s="11">
        <v>21300</v>
      </c>
      <c r="F30" s="11">
        <v>1042400</v>
      </c>
      <c r="G30" s="11">
        <v>-47150</v>
      </c>
      <c r="H30" s="11">
        <v>1005500</v>
      </c>
      <c r="I30" s="16"/>
      <c r="J30" s="2" t="s">
        <v>135</v>
      </c>
    </row>
    <row r="31" spans="2:10" x14ac:dyDescent="0.25">
      <c r="B31" s="10">
        <v>46089</v>
      </c>
      <c r="C31" s="11">
        <v>188380</v>
      </c>
      <c r="D31" s="11">
        <f t="shared" si="0"/>
        <v>105350</v>
      </c>
      <c r="E31" s="11">
        <v>21300</v>
      </c>
      <c r="F31" s="11">
        <v>1042400</v>
      </c>
      <c r="G31" s="11">
        <v>-42290</v>
      </c>
      <c r="H31" s="11">
        <v>1000640</v>
      </c>
      <c r="I31" s="16"/>
    </row>
    <row r="32" spans="2:10" x14ac:dyDescent="0.25">
      <c r="B32" s="10">
        <v>46089</v>
      </c>
      <c r="C32" s="11">
        <v>188380</v>
      </c>
      <c r="D32" s="11">
        <f t="shared" si="0"/>
        <v>105350</v>
      </c>
      <c r="E32" s="11">
        <v>21300</v>
      </c>
      <c r="F32" s="11">
        <v>1044400</v>
      </c>
      <c r="G32" s="11">
        <v>-52290</v>
      </c>
      <c r="H32" s="11">
        <v>1012640</v>
      </c>
      <c r="I32" s="16"/>
      <c r="J32" s="2" t="s">
        <v>136</v>
      </c>
    </row>
    <row r="33" spans="2:10" x14ac:dyDescent="0.25">
      <c r="B33" s="10">
        <v>46089</v>
      </c>
      <c r="C33" s="11">
        <v>188380</v>
      </c>
      <c r="D33" s="11">
        <f t="shared" si="0"/>
        <v>105350</v>
      </c>
      <c r="E33" s="11">
        <v>21300</v>
      </c>
      <c r="F33" s="11">
        <v>1044400</v>
      </c>
      <c r="G33" s="11">
        <v>-48670</v>
      </c>
      <c r="H33" s="11">
        <v>1009020</v>
      </c>
      <c r="I33" s="16"/>
    </row>
    <row r="34" spans="2:10" x14ac:dyDescent="0.25">
      <c r="B34" s="10">
        <v>46092</v>
      </c>
      <c r="C34" s="11">
        <v>188380</v>
      </c>
      <c r="D34" s="11">
        <f t="shared" si="0"/>
        <v>105350</v>
      </c>
      <c r="E34" s="11">
        <v>21300</v>
      </c>
      <c r="F34" s="11">
        <v>1048200</v>
      </c>
      <c r="G34" s="11">
        <v>-68670</v>
      </c>
      <c r="H34" s="11">
        <v>1032820</v>
      </c>
      <c r="I34" s="16"/>
      <c r="J34" s="2" t="s">
        <v>137</v>
      </c>
    </row>
    <row r="35" spans="2:10" x14ac:dyDescent="0.25">
      <c r="B35" s="10">
        <v>46094</v>
      </c>
      <c r="C35" s="11">
        <v>188380</v>
      </c>
      <c r="D35" s="11">
        <f t="shared" si="0"/>
        <v>105350</v>
      </c>
      <c r="E35" s="11">
        <v>21300</v>
      </c>
      <c r="F35" s="11">
        <v>1048200</v>
      </c>
      <c r="G35" s="11">
        <v>-55810</v>
      </c>
      <c r="H35" s="11">
        <v>1019960</v>
      </c>
      <c r="I35" s="16"/>
    </row>
    <row r="36" spans="2:10" x14ac:dyDescent="0.25">
      <c r="B36" s="10">
        <v>46094</v>
      </c>
      <c r="C36" s="11">
        <v>188380</v>
      </c>
      <c r="D36" s="11">
        <f t="shared" si="0"/>
        <v>105350</v>
      </c>
      <c r="E36" s="11">
        <v>21300</v>
      </c>
      <c r="F36" s="11">
        <v>1064400</v>
      </c>
      <c r="G36" s="11">
        <v>-140810</v>
      </c>
      <c r="H36" s="11">
        <v>1121160</v>
      </c>
      <c r="I36" s="16"/>
      <c r="J36" s="2" t="s">
        <v>143</v>
      </c>
    </row>
    <row r="37" spans="2:10" x14ac:dyDescent="0.25">
      <c r="B37" s="10">
        <v>46095</v>
      </c>
      <c r="C37" s="11">
        <v>188380</v>
      </c>
      <c r="D37" s="11">
        <f t="shared" si="0"/>
        <v>105350</v>
      </c>
      <c r="E37" s="11">
        <v>21300</v>
      </c>
      <c r="F37" s="11">
        <v>1064400</v>
      </c>
      <c r="G37" s="11">
        <v>-140400</v>
      </c>
      <c r="H37" s="11">
        <v>1120750</v>
      </c>
      <c r="I37" s="16"/>
    </row>
    <row r="38" spans="2:10" x14ac:dyDescent="0.25">
      <c r="B38" s="10">
        <v>46095</v>
      </c>
      <c r="C38" s="11">
        <v>188380</v>
      </c>
      <c r="D38" s="11">
        <f t="shared" si="0"/>
        <v>105350</v>
      </c>
      <c r="E38" s="11">
        <v>12000</v>
      </c>
      <c r="F38" s="11">
        <v>1064400</v>
      </c>
      <c r="G38" s="11">
        <v>-149700</v>
      </c>
      <c r="H38" s="11">
        <v>1120750</v>
      </c>
      <c r="I38" s="16"/>
      <c r="J38" s="2" t="s">
        <v>151</v>
      </c>
    </row>
    <row r="39" spans="2:10" x14ac:dyDescent="0.25">
      <c r="B39" s="10">
        <v>46095</v>
      </c>
      <c r="C39" s="11">
        <v>188380</v>
      </c>
      <c r="D39" s="11">
        <f t="shared" si="0"/>
        <v>105350</v>
      </c>
      <c r="E39" s="11">
        <f>130000+12000</f>
        <v>142000</v>
      </c>
      <c r="F39" s="11">
        <v>1064400</v>
      </c>
      <c r="G39" s="11">
        <v>-19700</v>
      </c>
      <c r="H39" s="11">
        <v>1120750</v>
      </c>
      <c r="I39" s="16"/>
    </row>
    <row r="40" spans="2:10" x14ac:dyDescent="0.25">
      <c r="B40" s="10">
        <v>46112</v>
      </c>
      <c r="C40" s="11">
        <v>188380</v>
      </c>
      <c r="D40" s="11">
        <f t="shared" si="0"/>
        <v>105350</v>
      </c>
      <c r="E40" s="11">
        <f>130000+12000</f>
        <v>142000</v>
      </c>
      <c r="F40" s="11">
        <v>1064400</v>
      </c>
      <c r="G40" s="11">
        <v>46300</v>
      </c>
      <c r="H40" s="11">
        <v>1054750</v>
      </c>
      <c r="I40" s="16"/>
      <c r="J40" s="2" t="s">
        <v>149</v>
      </c>
    </row>
    <row r="41" spans="2:10" x14ac:dyDescent="0.25">
      <c r="B41" s="10">
        <v>46112</v>
      </c>
      <c r="C41" s="11">
        <v>188380</v>
      </c>
      <c r="D41" s="11">
        <f t="shared" si="0"/>
        <v>105350</v>
      </c>
      <c r="E41" s="11">
        <f>130000+12000+10000</f>
        <v>152000</v>
      </c>
      <c r="F41" s="11">
        <v>1064400</v>
      </c>
      <c r="G41" s="11">
        <v>46300</v>
      </c>
      <c r="H41" s="11">
        <v>1064750</v>
      </c>
      <c r="I41" s="16"/>
      <c r="J41" s="2" t="s">
        <v>150</v>
      </c>
    </row>
    <row r="42" spans="2:10" x14ac:dyDescent="0.25">
      <c r="B42" s="10">
        <v>46112</v>
      </c>
      <c r="C42" s="11">
        <v>188380</v>
      </c>
      <c r="D42" s="11">
        <f t="shared" si="0"/>
        <v>105350</v>
      </c>
      <c r="E42" s="11">
        <f>130000+12000+10000+11500</f>
        <v>163500</v>
      </c>
      <c r="F42" s="11">
        <v>1052900</v>
      </c>
      <c r="G42" s="11">
        <v>46300</v>
      </c>
      <c r="H42" s="11">
        <v>1064750</v>
      </c>
      <c r="I42" s="16"/>
      <c r="J42" s="2" t="s">
        <v>152</v>
      </c>
    </row>
    <row r="43" spans="2:10" x14ac:dyDescent="0.25">
      <c r="B43" s="10">
        <v>46112</v>
      </c>
      <c r="C43" s="11">
        <v>188380</v>
      </c>
      <c r="D43" s="11">
        <f t="shared" si="0"/>
        <v>105350</v>
      </c>
      <c r="E43" s="11">
        <f>130000+12000+10000+11500</f>
        <v>163500</v>
      </c>
      <c r="F43" s="11">
        <v>1041900</v>
      </c>
      <c r="G43" s="11">
        <v>35300</v>
      </c>
      <c r="H43" s="11">
        <v>1064750</v>
      </c>
      <c r="I43" s="16"/>
      <c r="J43" s="2" t="s">
        <v>153</v>
      </c>
    </row>
    <row r="44" spans="2:10" x14ac:dyDescent="0.25">
      <c r="B44" s="10">
        <v>46112</v>
      </c>
      <c r="C44" s="11">
        <v>188380</v>
      </c>
      <c r="D44" s="11">
        <f t="shared" si="0"/>
        <v>105350</v>
      </c>
      <c r="E44" s="11">
        <f>130000+12000+10000+11500</f>
        <v>163500</v>
      </c>
      <c r="F44" s="11">
        <v>1041650</v>
      </c>
      <c r="G44" s="11">
        <v>35050</v>
      </c>
      <c r="H44" s="11">
        <v>1064750</v>
      </c>
      <c r="I44" s="16"/>
      <c r="J44" s="14" t="s">
        <v>154</v>
      </c>
    </row>
    <row r="45" spans="2:10" x14ac:dyDescent="0.25">
      <c r="B45" s="10">
        <v>46112</v>
      </c>
      <c r="C45" s="11">
        <v>188380</v>
      </c>
      <c r="D45" s="11">
        <f t="shared" si="0"/>
        <v>105350</v>
      </c>
      <c r="E45" s="11">
        <f>130000+12000+10000+11500-1300</f>
        <v>162200</v>
      </c>
      <c r="F45" s="11">
        <v>1041650</v>
      </c>
      <c r="G45" s="11">
        <v>33750</v>
      </c>
      <c r="H45" s="11">
        <v>1064750</v>
      </c>
      <c r="I45" s="16"/>
      <c r="J45" s="2" t="s">
        <v>155</v>
      </c>
    </row>
    <row r="46" spans="2:10" x14ac:dyDescent="0.25">
      <c r="B46" s="10"/>
      <c r="C46" s="11"/>
      <c r="D46" s="11"/>
      <c r="E46" s="11"/>
      <c r="F46" s="11"/>
      <c r="G46" s="11"/>
      <c r="H46" s="11"/>
      <c r="I46" s="16"/>
    </row>
    <row r="48" spans="2:10" x14ac:dyDescent="0.25">
      <c r="E48" s="3" t="s">
        <v>156</v>
      </c>
    </row>
    <row r="49" spans="5:5" x14ac:dyDescent="0.25">
      <c r="E49" s="3">
        <v>130000</v>
      </c>
    </row>
    <row r="50" spans="5:5" x14ac:dyDescent="0.25">
      <c r="E50" s="3">
        <v>10000</v>
      </c>
    </row>
    <row r="51" spans="5:5" x14ac:dyDescent="0.25">
      <c r="E51" s="3">
        <v>11500</v>
      </c>
    </row>
    <row r="52" spans="5:5" x14ac:dyDescent="0.25">
      <c r="E52" s="3">
        <f>E49+E50+E51</f>
        <v>151500</v>
      </c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26"/>
  <sheetViews>
    <sheetView topLeftCell="A7" workbookViewId="0">
      <selection activeCell="H18" sqref="H18"/>
    </sheetView>
  </sheetViews>
  <sheetFormatPr defaultRowHeight="15" x14ac:dyDescent="0.25"/>
  <sheetData>
    <row r="3" spans="1:9" x14ac:dyDescent="0.25">
      <c r="B3" t="s">
        <v>138</v>
      </c>
    </row>
    <row r="4" spans="1:9" x14ac:dyDescent="0.25">
      <c r="A4" s="18">
        <v>46090</v>
      </c>
      <c r="B4">
        <v>20000</v>
      </c>
      <c r="C4" t="s">
        <v>139</v>
      </c>
    </row>
    <row r="5" spans="1:9" x14ac:dyDescent="0.25">
      <c r="A5" s="18">
        <v>46092</v>
      </c>
      <c r="B5">
        <v>20000</v>
      </c>
      <c r="C5" t="s">
        <v>139</v>
      </c>
    </row>
    <row r="6" spans="1:9" x14ac:dyDescent="0.25">
      <c r="A6" s="18">
        <v>46092</v>
      </c>
      <c r="B6" s="19">
        <v>10000</v>
      </c>
      <c r="C6" s="19" t="s">
        <v>140</v>
      </c>
      <c r="D6" s="19"/>
      <c r="E6" s="19"/>
    </row>
    <row r="7" spans="1:9" x14ac:dyDescent="0.25">
      <c r="A7" s="18">
        <v>46092</v>
      </c>
      <c r="B7">
        <v>2500</v>
      </c>
      <c r="C7" t="s">
        <v>141</v>
      </c>
    </row>
    <row r="8" spans="1:9" x14ac:dyDescent="0.25">
      <c r="A8" s="18">
        <v>46093</v>
      </c>
      <c r="B8">
        <v>7500</v>
      </c>
      <c r="C8" t="s">
        <v>142</v>
      </c>
    </row>
    <row r="9" spans="1:9" x14ac:dyDescent="0.25">
      <c r="A9" s="18">
        <v>46094</v>
      </c>
      <c r="B9">
        <v>70000</v>
      </c>
      <c r="C9" t="s">
        <v>139</v>
      </c>
    </row>
    <row r="10" spans="1:9" x14ac:dyDescent="0.25">
      <c r="A10" s="18">
        <v>46096</v>
      </c>
      <c r="B10">
        <v>11500</v>
      </c>
      <c r="C10" t="s">
        <v>144</v>
      </c>
    </row>
    <row r="11" spans="1:9" x14ac:dyDescent="0.25">
      <c r="A11" s="18">
        <v>46099</v>
      </c>
      <c r="B11">
        <v>5000</v>
      </c>
      <c r="C11" t="s">
        <v>145</v>
      </c>
    </row>
    <row r="12" spans="1:9" x14ac:dyDescent="0.25">
      <c r="A12" s="18">
        <v>46103</v>
      </c>
      <c r="B12">
        <v>10000</v>
      </c>
      <c r="C12" t="s">
        <v>148</v>
      </c>
    </row>
    <row r="13" spans="1:9" x14ac:dyDescent="0.25">
      <c r="A13" s="18"/>
    </row>
    <row r="14" spans="1:9" x14ac:dyDescent="0.25">
      <c r="A14" s="18"/>
    </row>
    <row r="15" spans="1:9" x14ac:dyDescent="0.25">
      <c r="G15" s="18">
        <v>46099</v>
      </c>
      <c r="H15">
        <v>4000</v>
      </c>
      <c r="I15" t="s">
        <v>146</v>
      </c>
    </row>
    <row r="16" spans="1:9" x14ac:dyDescent="0.25">
      <c r="B16">
        <f>SUM(B4:B15)</f>
        <v>156500</v>
      </c>
      <c r="G16" s="18">
        <v>46103</v>
      </c>
      <c r="H16">
        <v>11000</v>
      </c>
      <c r="I16" t="s">
        <v>147</v>
      </c>
    </row>
    <row r="19" spans="2:2" x14ac:dyDescent="0.25">
      <c r="B19" s="19"/>
    </row>
    <row r="20" spans="2:2" x14ac:dyDescent="0.25">
      <c r="B20" s="19"/>
    </row>
    <row r="22" spans="2:2" x14ac:dyDescent="0.25">
      <c r="B22" s="19"/>
    </row>
    <row r="24" spans="2:2" x14ac:dyDescent="0.25">
      <c r="B24" s="19"/>
    </row>
    <row r="26" spans="2:2" x14ac:dyDescent="0.25">
      <c r="B26" s="1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2023TrendAnalysis</vt:lpstr>
      <vt:lpstr>2025TrendAnalysis</vt:lpstr>
      <vt:lpstr>2026TrendAnalysis</vt:lpstr>
      <vt:lpstr>trackingonline transaction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2026-03-31T07:00:22Z</dcterms:modified>
</cp:coreProperties>
</file>