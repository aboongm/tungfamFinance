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4800" windowWidth="20640" windowHeight="11760" activeTab="1"/>
  </bookViews>
  <sheets>
    <sheet name="CompleteList" sheetId="21" r:id="rId1"/>
    <sheet name="Ramabhati" sheetId="16" r:id="rId2"/>
    <sheet name="Sunanda" sheetId="24" r:id="rId3"/>
    <sheet name="Nanao" sheetId="17" r:id="rId4"/>
    <sheet name="priyadarsini" sheetId="18" r:id="rId5"/>
    <sheet name="anand" sheetId="23" r:id="rId6"/>
    <sheet name="naoton" sheetId="22" r:id="rId7"/>
  </sheets>
  <definedNames>
    <definedName name="_xlnm._FilterDatabase" localSheetId="0" hidden="1">CompleteList!$C$1:$D$2</definedName>
  </definedNames>
  <calcPr calcId="162913"/>
</workbook>
</file>

<file path=xl/calcChain.xml><?xml version="1.0" encoding="utf-8"?>
<calcChain xmlns="http://schemas.openxmlformats.org/spreadsheetml/2006/main">
  <c r="D14" i="24" l="1"/>
  <c r="D3" i="24" s="1"/>
  <c r="E8" i="21" l="1"/>
  <c r="C8" i="24" l="1"/>
  <c r="C5" i="24"/>
  <c r="C7" i="24"/>
  <c r="C6" i="24"/>
  <c r="D6" i="24" l="1"/>
  <c r="D7" i="24"/>
  <c r="D8" i="24"/>
  <c r="D9" i="24"/>
  <c r="D10" i="24"/>
  <c r="D11" i="24"/>
  <c r="D12" i="24"/>
  <c r="D13" i="24"/>
  <c r="D5" i="24"/>
  <c r="D2" i="24"/>
  <c r="D8" i="21" s="1"/>
  <c r="E12" i="21" l="1"/>
  <c r="D3" i="23"/>
  <c r="E11" i="21"/>
  <c r="D11" i="21"/>
  <c r="D3" i="22"/>
  <c r="D2" i="22"/>
  <c r="E10" i="21"/>
  <c r="D10" i="21"/>
  <c r="D2" i="18"/>
  <c r="D2" i="23"/>
  <c r="D12" i="21" s="1"/>
  <c r="F6" i="18"/>
  <c r="F7" i="18"/>
  <c r="F5" i="18"/>
  <c r="D3" i="18" s="1"/>
  <c r="D2" i="17"/>
  <c r="D9" i="21" s="1"/>
  <c r="D2" i="16"/>
  <c r="D7" i="21" s="1"/>
  <c r="D6" i="16"/>
  <c r="D7" i="16"/>
  <c r="D8" i="16"/>
  <c r="D9" i="16"/>
  <c r="D3" i="16" s="1"/>
  <c r="E7" i="21" s="1"/>
  <c r="D10" i="16"/>
  <c r="D11" i="16"/>
  <c r="D12" i="16"/>
  <c r="D13" i="16"/>
  <c r="D5" i="16"/>
  <c r="D3" i="21" l="1"/>
  <c r="D4" i="21"/>
</calcChain>
</file>

<file path=xl/sharedStrings.xml><?xml version="1.0" encoding="utf-8"?>
<sst xmlns="http://schemas.openxmlformats.org/spreadsheetml/2006/main" count="44" uniqueCount="19">
  <si>
    <t>Date</t>
  </si>
  <si>
    <t>Interest</t>
  </si>
  <si>
    <t>Details</t>
  </si>
  <si>
    <t>Outstanding Interest</t>
  </si>
  <si>
    <t>Total Interest Collected</t>
  </si>
  <si>
    <t>Total Outstanding Interest</t>
  </si>
  <si>
    <t>Benao</t>
  </si>
  <si>
    <t>Tungfam</t>
  </si>
  <si>
    <t>Rambhabati</t>
  </si>
  <si>
    <t>Nanao</t>
  </si>
  <si>
    <t>Priyadarshini</t>
  </si>
  <si>
    <t>Naoton</t>
  </si>
  <si>
    <t>Anand</t>
  </si>
  <si>
    <t>Loanee</t>
  </si>
  <si>
    <t xml:space="preserve">Interest Collected </t>
  </si>
  <si>
    <t>Outstg Interest</t>
  </si>
  <si>
    <t>Sunanda</t>
  </si>
  <si>
    <t>2.5% Interest for Rs 120000 = 3000</t>
  </si>
  <si>
    <t xml:space="preserve">2.5% Interest for Rs 300000 = 7500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</si>
</sst>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[$₹-4009]#,##0.00;[Red]\-[$₹-4009]#,##0.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rgb="FF003300"/>
      </patternFill>
    </fill>
  </fills>
  <borders count="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ck">
        <color theme="4" tint="0.39994506668294322"/>
      </left>
      <right style="thin">
        <color theme="0" tint="-0.499984740745262"/>
      </right>
      <top style="thick">
        <color theme="4" tint="0.39994506668294322"/>
      </top>
      <bottom style="thick">
        <color theme="4" tint="0.3999450666829432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4" tint="0.39994506668294322"/>
      </top>
      <bottom style="thick">
        <color theme="4" tint="0.39994506668294322"/>
      </bottom>
      <diagonal/>
    </border>
    <border>
      <left style="thin">
        <color theme="0" tint="-0.499984740745262"/>
      </left>
      <right style="thick">
        <color theme="4" tint="0.39994506668294322"/>
      </right>
      <top style="thick">
        <color theme="4" tint="0.39994506668294322"/>
      </top>
      <bottom style="thick">
        <color theme="4" tint="0.39994506668294322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65" fontId="1" fillId="3" borderId="1" xfId="0" applyNumberFormat="1" applyFont="1" applyFill="1" applyBorder="1"/>
    <xf numFmtId="0" fontId="1" fillId="2" borderId="0" xfId="0" applyFont="1" applyFill="1"/>
    <xf numFmtId="165" fontId="1" fillId="2" borderId="0" xfId="0" applyNumberFormat="1" applyFont="1" applyFill="1"/>
    <xf numFmtId="164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165" fontId="1" fillId="3" borderId="3" xfId="0" applyNumberFormat="1" applyFont="1" applyFill="1" applyBorder="1"/>
    <xf numFmtId="0" fontId="1" fillId="3" borderId="4" xfId="0" applyFont="1" applyFill="1" applyBorder="1" applyAlignment="1">
      <alignment horizontal="left" vertical="center"/>
    </xf>
    <xf numFmtId="165" fontId="1" fillId="3" borderId="4" xfId="0" applyNumberFormat="1" applyFont="1" applyFill="1" applyBorder="1"/>
    <xf numFmtId="0" fontId="2" fillId="3" borderId="5" xfId="0" applyFont="1" applyFill="1" applyBorder="1" applyAlignment="1">
      <alignment horizontal="center" vertical="center"/>
    </xf>
    <xf numFmtId="165" fontId="2" fillId="3" borderId="6" xfId="0" applyNumberFormat="1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0" fontId="1" fillId="2" borderId="0" xfId="0" applyNumberFormat="1" applyFont="1" applyFill="1"/>
    <xf numFmtId="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99"/>
      <color rgb="FF33CCCC"/>
      <color rgb="FF00CC99"/>
      <color rgb="FF008080"/>
      <color rgb="FF006666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8"/>
  <sheetViews>
    <sheetView workbookViewId="0">
      <selection activeCell="E8" sqref="E8"/>
    </sheetView>
  </sheetViews>
  <sheetFormatPr defaultRowHeight="16.5" x14ac:dyDescent="0.3"/>
  <cols>
    <col min="1" max="1" width="9.140625" style="4"/>
    <col min="2" max="2" width="12.7109375" style="4" customWidth="1"/>
    <col min="3" max="3" width="41.42578125" style="4" customWidth="1"/>
    <col min="4" max="4" width="18.85546875" style="4" customWidth="1"/>
    <col min="5" max="5" width="22" style="4" customWidth="1"/>
    <col min="6" max="16384" width="9.140625" style="4"/>
  </cols>
  <sheetData>
    <row r="1" spans="2:5" x14ac:dyDescent="0.3">
      <c r="B1" s="1"/>
      <c r="C1" s="2"/>
      <c r="D1" s="3"/>
      <c r="E1" s="3"/>
    </row>
    <row r="2" spans="2:5" x14ac:dyDescent="0.3">
      <c r="B2" s="1"/>
      <c r="C2" s="2"/>
      <c r="D2" s="3"/>
      <c r="E2" s="3"/>
    </row>
    <row r="3" spans="2:5" x14ac:dyDescent="0.3">
      <c r="B3" s="1"/>
      <c r="C3" s="2" t="s">
        <v>4</v>
      </c>
      <c r="D3" s="3">
        <f>SUM(D7:D18)</f>
        <v>59750</v>
      </c>
      <c r="E3" s="3"/>
    </row>
    <row r="4" spans="2:5" x14ac:dyDescent="0.3">
      <c r="B4" s="1"/>
      <c r="C4" s="2" t="s">
        <v>5</v>
      </c>
      <c r="D4" s="3">
        <f>SUM(E7:E18)</f>
        <v>-51550</v>
      </c>
      <c r="E4" s="3"/>
    </row>
    <row r="5" spans="2:5" ht="17.25" thickBot="1" x14ac:dyDescent="0.35">
      <c r="B5" s="1"/>
      <c r="C5" s="7"/>
      <c r="D5" s="8"/>
      <c r="E5" s="8"/>
    </row>
    <row r="6" spans="2:5" ht="24" customHeight="1" thickTop="1" thickBot="1" x14ac:dyDescent="0.35">
      <c r="B6" s="6"/>
      <c r="C6" s="11" t="s">
        <v>13</v>
      </c>
      <c r="D6" s="12" t="s">
        <v>14</v>
      </c>
      <c r="E6" s="13" t="s">
        <v>3</v>
      </c>
    </row>
    <row r="7" spans="2:5" ht="17.25" thickTop="1" x14ac:dyDescent="0.3">
      <c r="B7" s="14">
        <v>1</v>
      </c>
      <c r="C7" s="9" t="s">
        <v>8</v>
      </c>
      <c r="D7" s="10">
        <f>Ramabhati!D2</f>
        <v>37450</v>
      </c>
      <c r="E7" s="10">
        <f>Ramabhati!D3</f>
        <v>-30050</v>
      </c>
    </row>
    <row r="8" spans="2:5" x14ac:dyDescent="0.3">
      <c r="B8" s="14">
        <v>2</v>
      </c>
      <c r="C8" s="9" t="s">
        <v>16</v>
      </c>
      <c r="D8" s="10">
        <f>Sunanda!D2</f>
        <v>9500</v>
      </c>
      <c r="E8" s="10">
        <f>Sunanda!D3</f>
        <v>-20500</v>
      </c>
    </row>
    <row r="9" spans="2:5" x14ac:dyDescent="0.3">
      <c r="B9" s="14">
        <v>3</v>
      </c>
      <c r="C9" s="2" t="s">
        <v>9</v>
      </c>
      <c r="D9" s="3">
        <f>Nanao!D2</f>
        <v>800</v>
      </c>
      <c r="E9" s="3"/>
    </row>
    <row r="10" spans="2:5" x14ac:dyDescent="0.3">
      <c r="B10" s="14">
        <v>4</v>
      </c>
      <c r="C10" s="2" t="s">
        <v>10</v>
      </c>
      <c r="D10" s="3">
        <f>priyadarsini!D2</f>
        <v>8000</v>
      </c>
      <c r="E10" s="3">
        <f>priyadarsini!F7</f>
        <v>-1000</v>
      </c>
    </row>
    <row r="11" spans="2:5" x14ac:dyDescent="0.3">
      <c r="B11" s="14">
        <v>5</v>
      </c>
      <c r="C11" s="2" t="s">
        <v>11</v>
      </c>
      <c r="D11" s="3">
        <f>naoton!D2</f>
        <v>0</v>
      </c>
      <c r="E11" s="3">
        <f>naoton!D3</f>
        <v>0</v>
      </c>
    </row>
    <row r="12" spans="2:5" x14ac:dyDescent="0.3">
      <c r="B12" s="1"/>
      <c r="C12" s="2" t="s">
        <v>12</v>
      </c>
      <c r="D12" s="3">
        <f>anand!D2</f>
        <v>4000</v>
      </c>
      <c r="E12" s="3">
        <f>anand!D3</f>
        <v>0</v>
      </c>
    </row>
    <row r="13" spans="2:5" x14ac:dyDescent="0.3">
      <c r="B13" s="1"/>
      <c r="C13" s="2"/>
      <c r="D13" s="3"/>
      <c r="E13" s="3"/>
    </row>
    <row r="14" spans="2:5" x14ac:dyDescent="0.3">
      <c r="B14" s="1"/>
      <c r="C14" s="2"/>
      <c r="D14" s="3"/>
      <c r="E14" s="3"/>
    </row>
    <row r="15" spans="2:5" x14ac:dyDescent="0.3">
      <c r="B15" s="1"/>
      <c r="C15" s="2"/>
      <c r="D15" s="3"/>
      <c r="E15" s="3"/>
    </row>
    <row r="16" spans="2:5" x14ac:dyDescent="0.3">
      <c r="B16" s="1"/>
      <c r="C16" s="2"/>
      <c r="D16" s="3"/>
      <c r="E16" s="3"/>
    </row>
    <row r="17" spans="2:5" x14ac:dyDescent="0.3">
      <c r="B17" s="1"/>
      <c r="C17" s="2"/>
      <c r="D17" s="3"/>
      <c r="E17" s="3"/>
    </row>
    <row r="18" spans="2:5" x14ac:dyDescent="0.3">
      <c r="C18" s="2"/>
      <c r="D18" s="3"/>
      <c r="E1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2"/>
  <sheetViews>
    <sheetView tabSelected="1" workbookViewId="0">
      <pane xSplit="2" ySplit="4" topLeftCell="C5" activePane="bottomRight" state="frozen"/>
      <selection pane="topRight" activeCell="C1" sqref="C1"/>
      <selection pane="bottomLeft" activeCell="A3" sqref="A3"/>
      <selection pane="bottomRight" activeCell="C14" sqref="C14"/>
    </sheetView>
  </sheetViews>
  <sheetFormatPr defaultRowHeight="16.5" x14ac:dyDescent="0.3"/>
  <cols>
    <col min="1" max="1" width="9.140625" style="4"/>
    <col min="2" max="2" width="12.7109375" style="4" customWidth="1"/>
    <col min="3" max="3" width="41.42578125" style="4" customWidth="1"/>
    <col min="4" max="4" width="21.85546875" style="4" customWidth="1"/>
    <col min="5" max="16384" width="9.140625" style="4"/>
  </cols>
  <sheetData>
    <row r="2" spans="2:7" x14ac:dyDescent="0.3">
      <c r="C2" s="4" t="s">
        <v>4</v>
      </c>
      <c r="D2" s="5">
        <f>SUM(C5:C22)</f>
        <v>37450</v>
      </c>
    </row>
    <row r="3" spans="2:7" ht="17.25" thickBot="1" x14ac:dyDescent="0.35">
      <c r="C3" s="4" t="s">
        <v>5</v>
      </c>
      <c r="D3" s="5">
        <f>SUM(D5:D13)</f>
        <v>-30050</v>
      </c>
    </row>
    <row r="4" spans="2:7" ht="25.5" customHeight="1" thickTop="1" thickBot="1" x14ac:dyDescent="0.35">
      <c r="B4" s="11" t="s">
        <v>0</v>
      </c>
      <c r="C4" s="12" t="s">
        <v>18</v>
      </c>
      <c r="D4" s="13" t="s">
        <v>3</v>
      </c>
    </row>
    <row r="5" spans="2:7" ht="17.25" thickTop="1" x14ac:dyDescent="0.3">
      <c r="B5" s="1">
        <v>45915</v>
      </c>
      <c r="C5" s="10">
        <v>7500</v>
      </c>
      <c r="D5" s="3">
        <f>C5-7500</f>
        <v>0</v>
      </c>
    </row>
    <row r="6" spans="2:7" x14ac:dyDescent="0.3">
      <c r="B6" s="1">
        <v>45945</v>
      </c>
      <c r="C6" s="10">
        <v>7500</v>
      </c>
      <c r="D6" s="3">
        <f t="shared" ref="D6:D13" si="0">C6-7500</f>
        <v>0</v>
      </c>
    </row>
    <row r="7" spans="2:7" x14ac:dyDescent="0.3">
      <c r="B7" s="1">
        <v>45976</v>
      </c>
      <c r="C7" s="10">
        <v>7500</v>
      </c>
      <c r="D7" s="3">
        <f t="shared" si="0"/>
        <v>0</v>
      </c>
      <c r="G7" s="16"/>
    </row>
    <row r="8" spans="2:7" x14ac:dyDescent="0.3">
      <c r="B8" s="1">
        <v>46006</v>
      </c>
      <c r="C8" s="10">
        <v>0</v>
      </c>
      <c r="D8" s="3">
        <f t="shared" si="0"/>
        <v>-7500</v>
      </c>
    </row>
    <row r="9" spans="2:7" x14ac:dyDescent="0.3">
      <c r="B9" s="1">
        <v>46037</v>
      </c>
      <c r="C9" s="10">
        <v>0</v>
      </c>
      <c r="D9" s="3">
        <f t="shared" si="0"/>
        <v>-7500</v>
      </c>
    </row>
    <row r="10" spans="2:7" x14ac:dyDescent="0.3">
      <c r="B10" s="1">
        <v>46068</v>
      </c>
      <c r="C10" s="10">
        <v>7500</v>
      </c>
      <c r="D10" s="3">
        <f t="shared" si="0"/>
        <v>0</v>
      </c>
    </row>
    <row r="11" spans="2:7" x14ac:dyDescent="0.3">
      <c r="B11" s="1">
        <v>46096</v>
      </c>
      <c r="C11" s="10">
        <v>3550</v>
      </c>
      <c r="D11" s="3">
        <f t="shared" si="0"/>
        <v>-3950</v>
      </c>
    </row>
    <row r="12" spans="2:7" x14ac:dyDescent="0.3">
      <c r="B12" s="1">
        <v>46127</v>
      </c>
      <c r="C12" s="10">
        <v>0</v>
      </c>
      <c r="D12" s="3">
        <f t="shared" si="0"/>
        <v>-7500</v>
      </c>
    </row>
    <row r="13" spans="2:7" x14ac:dyDescent="0.3">
      <c r="B13" s="1">
        <v>46157</v>
      </c>
      <c r="C13" s="10">
        <v>3900</v>
      </c>
      <c r="D13" s="3">
        <f t="shared" si="0"/>
        <v>-3600</v>
      </c>
    </row>
    <row r="14" spans="2:7" x14ac:dyDescent="0.3">
      <c r="B14" s="1">
        <v>46188</v>
      </c>
      <c r="C14" s="2"/>
      <c r="D14" s="3"/>
    </row>
    <row r="15" spans="2:7" x14ac:dyDescent="0.3">
      <c r="B15" s="1">
        <v>46218</v>
      </c>
      <c r="C15" s="2"/>
      <c r="D15" s="3"/>
    </row>
    <row r="16" spans="2:7" x14ac:dyDescent="0.3">
      <c r="B16" s="1">
        <v>46249</v>
      </c>
      <c r="C16" s="2"/>
      <c r="D16" s="3"/>
    </row>
    <row r="17" spans="2:4" x14ac:dyDescent="0.3">
      <c r="B17" s="1">
        <v>46280</v>
      </c>
      <c r="C17" s="2"/>
      <c r="D17" s="3"/>
    </row>
    <row r="18" spans="2:4" x14ac:dyDescent="0.3">
      <c r="B18" s="1">
        <v>46310</v>
      </c>
      <c r="C18" s="2"/>
      <c r="D18" s="3"/>
    </row>
    <row r="19" spans="2:4" x14ac:dyDescent="0.3">
      <c r="B19" s="1">
        <v>46341</v>
      </c>
      <c r="C19" s="2"/>
      <c r="D19" s="3"/>
    </row>
    <row r="20" spans="2:4" x14ac:dyDescent="0.3">
      <c r="B20" s="1">
        <v>46371</v>
      </c>
      <c r="C20" s="2"/>
      <c r="D20" s="3"/>
    </row>
    <row r="21" spans="2:4" x14ac:dyDescent="0.3">
      <c r="B21" s="1">
        <v>46402</v>
      </c>
      <c r="C21" s="2"/>
      <c r="D21" s="3"/>
    </row>
    <row r="22" spans="2:4" x14ac:dyDescent="0.3">
      <c r="B22" s="1">
        <v>46433</v>
      </c>
      <c r="C22" s="2"/>
      <c r="D22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2"/>
  <sheetViews>
    <sheetView workbookViewId="0">
      <pane xSplit="2" ySplit="4" topLeftCell="C5" activePane="bottomRight" state="frozen"/>
      <selection pane="topRight" activeCell="C1" sqref="C1"/>
      <selection pane="bottomLeft" activeCell="A3" sqref="A3"/>
      <selection pane="bottomRight" activeCell="C13" sqref="C13:C14"/>
    </sheetView>
  </sheetViews>
  <sheetFormatPr defaultRowHeight="16.5" x14ac:dyDescent="0.3"/>
  <cols>
    <col min="1" max="1" width="9.140625" style="4"/>
    <col min="2" max="2" width="12.7109375" style="4" customWidth="1"/>
    <col min="3" max="3" width="41.42578125" style="4" customWidth="1"/>
    <col min="4" max="4" width="21.85546875" style="4" customWidth="1"/>
    <col min="5" max="16384" width="9.140625" style="4"/>
  </cols>
  <sheetData>
    <row r="2" spans="2:8" x14ac:dyDescent="0.3">
      <c r="C2" s="4" t="s">
        <v>4</v>
      </c>
      <c r="D2" s="5">
        <f>SUM(C5:C22)</f>
        <v>9500</v>
      </c>
    </row>
    <row r="3" spans="2:8" ht="17.25" thickBot="1" x14ac:dyDescent="0.35">
      <c r="C3" s="4" t="s">
        <v>5</v>
      </c>
      <c r="D3" s="5">
        <f>SUM(D5:D24)</f>
        <v>-20500</v>
      </c>
    </row>
    <row r="4" spans="2:8" ht="25.5" customHeight="1" thickTop="1" thickBot="1" x14ac:dyDescent="0.35">
      <c r="B4" s="11" t="s">
        <v>0</v>
      </c>
      <c r="C4" s="12" t="s">
        <v>17</v>
      </c>
      <c r="D4" s="13" t="s">
        <v>3</v>
      </c>
    </row>
    <row r="5" spans="2:8" ht="17.25" thickTop="1" x14ac:dyDescent="0.3">
      <c r="B5" s="1">
        <v>45915</v>
      </c>
      <c r="C5" s="10">
        <f>500*2</f>
        <v>1000</v>
      </c>
      <c r="D5" s="3">
        <f>C5-3000</f>
        <v>-2000</v>
      </c>
    </row>
    <row r="6" spans="2:8" x14ac:dyDescent="0.3">
      <c r="B6" s="1">
        <v>45945</v>
      </c>
      <c r="C6" s="10">
        <f>500*9</f>
        <v>4500</v>
      </c>
      <c r="D6" s="3">
        <f t="shared" ref="D6:D14" si="0">C6-3000</f>
        <v>1500</v>
      </c>
    </row>
    <row r="7" spans="2:8" x14ac:dyDescent="0.3">
      <c r="B7" s="1">
        <v>45976</v>
      </c>
      <c r="C7" s="10">
        <f>500*3</f>
        <v>1500</v>
      </c>
      <c r="D7" s="3">
        <f t="shared" si="0"/>
        <v>-1500</v>
      </c>
      <c r="H7" s="15"/>
    </row>
    <row r="8" spans="2:8" x14ac:dyDescent="0.3">
      <c r="B8" s="1">
        <v>46006</v>
      </c>
      <c r="C8" s="10">
        <f>500*2</f>
        <v>1000</v>
      </c>
      <c r="D8" s="3">
        <f t="shared" si="0"/>
        <v>-2000</v>
      </c>
    </row>
    <row r="9" spans="2:8" x14ac:dyDescent="0.3">
      <c r="B9" s="1">
        <v>46037</v>
      </c>
      <c r="C9" s="10">
        <v>0</v>
      </c>
      <c r="D9" s="3">
        <f t="shared" si="0"/>
        <v>-3000</v>
      </c>
    </row>
    <row r="10" spans="2:8" x14ac:dyDescent="0.3">
      <c r="B10" s="1">
        <v>46068</v>
      </c>
      <c r="C10" s="10">
        <v>0</v>
      </c>
      <c r="D10" s="3">
        <f t="shared" si="0"/>
        <v>-3000</v>
      </c>
    </row>
    <row r="11" spans="2:8" x14ac:dyDescent="0.3">
      <c r="B11" s="1">
        <v>46096</v>
      </c>
      <c r="C11" s="10">
        <v>0</v>
      </c>
      <c r="D11" s="3">
        <f t="shared" si="0"/>
        <v>-3000</v>
      </c>
    </row>
    <row r="12" spans="2:8" x14ac:dyDescent="0.3">
      <c r="B12" s="1">
        <v>46127</v>
      </c>
      <c r="C12" s="10">
        <v>500</v>
      </c>
      <c r="D12" s="3">
        <f t="shared" si="0"/>
        <v>-2500</v>
      </c>
    </row>
    <row r="13" spans="2:8" x14ac:dyDescent="0.3">
      <c r="B13" s="1">
        <v>46157</v>
      </c>
      <c r="C13" s="10">
        <v>500</v>
      </c>
      <c r="D13" s="3">
        <f t="shared" si="0"/>
        <v>-2500</v>
      </c>
    </row>
    <row r="14" spans="2:8" x14ac:dyDescent="0.3">
      <c r="B14" s="1">
        <v>46188</v>
      </c>
      <c r="C14" s="10">
        <v>500</v>
      </c>
      <c r="D14" s="3">
        <f t="shared" si="0"/>
        <v>-2500</v>
      </c>
    </row>
    <row r="15" spans="2:8" x14ac:dyDescent="0.3">
      <c r="B15" s="1">
        <v>46218</v>
      </c>
      <c r="C15" s="2"/>
      <c r="D15" s="3"/>
    </row>
    <row r="16" spans="2:8" x14ac:dyDescent="0.3">
      <c r="B16" s="1">
        <v>46249</v>
      </c>
      <c r="C16" s="2"/>
      <c r="D16" s="3"/>
    </row>
    <row r="17" spans="2:4" x14ac:dyDescent="0.3">
      <c r="B17" s="1">
        <v>46280</v>
      </c>
      <c r="C17" s="2"/>
      <c r="D17" s="3"/>
    </row>
    <row r="18" spans="2:4" x14ac:dyDescent="0.3">
      <c r="B18" s="1">
        <v>46310</v>
      </c>
      <c r="C18" s="2"/>
      <c r="D18" s="3"/>
    </row>
    <row r="19" spans="2:4" x14ac:dyDescent="0.3">
      <c r="B19" s="1">
        <v>46341</v>
      </c>
      <c r="C19" s="2"/>
      <c r="D19" s="3"/>
    </row>
    <row r="20" spans="2:4" x14ac:dyDescent="0.3">
      <c r="B20" s="1">
        <v>46371</v>
      </c>
      <c r="C20" s="2"/>
      <c r="D20" s="3"/>
    </row>
    <row r="21" spans="2:4" x14ac:dyDescent="0.3">
      <c r="B21" s="1">
        <v>46402</v>
      </c>
      <c r="C21" s="2"/>
      <c r="D21" s="3"/>
    </row>
    <row r="22" spans="2:4" x14ac:dyDescent="0.3">
      <c r="B22" s="1">
        <v>46433</v>
      </c>
      <c r="C22" s="2"/>
      <c r="D22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8"/>
  <sheetViews>
    <sheetView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D2" sqref="D2"/>
    </sheetView>
  </sheetViews>
  <sheetFormatPr defaultRowHeight="16.5" x14ac:dyDescent="0.3"/>
  <cols>
    <col min="1" max="1" width="9.140625" style="4"/>
    <col min="2" max="2" width="12.7109375" style="4" customWidth="1"/>
    <col min="3" max="3" width="41.42578125" style="4" customWidth="1"/>
    <col min="4" max="4" width="16.5703125" style="4" customWidth="1"/>
    <col min="5" max="16384" width="9.140625" style="4"/>
  </cols>
  <sheetData>
    <row r="2" spans="2:4" ht="17.25" thickBot="1" x14ac:dyDescent="0.35">
      <c r="C2" s="4" t="s">
        <v>4</v>
      </c>
      <c r="D2" s="5">
        <f>SUM(C4:C21)</f>
        <v>800</v>
      </c>
    </row>
    <row r="3" spans="2:4" ht="18" thickTop="1" thickBot="1" x14ac:dyDescent="0.35">
      <c r="B3" s="11" t="s">
        <v>0</v>
      </c>
      <c r="C3" s="12" t="s">
        <v>1</v>
      </c>
      <c r="D3" s="13" t="s">
        <v>2</v>
      </c>
    </row>
    <row r="4" spans="2:4" ht="17.25" thickTop="1" x14ac:dyDescent="0.3">
      <c r="B4" s="1">
        <v>46127</v>
      </c>
      <c r="C4" s="10">
        <v>400</v>
      </c>
      <c r="D4" s="3"/>
    </row>
    <row r="5" spans="2:4" x14ac:dyDescent="0.3">
      <c r="B5" s="1">
        <v>46157</v>
      </c>
      <c r="C5" s="10">
        <v>400</v>
      </c>
      <c r="D5" s="3"/>
    </row>
    <row r="6" spans="2:4" x14ac:dyDescent="0.3">
      <c r="B6" s="1"/>
      <c r="C6" s="2"/>
      <c r="D6" s="3"/>
    </row>
    <row r="7" spans="2:4" x14ac:dyDescent="0.3">
      <c r="B7" s="1"/>
      <c r="C7" s="2"/>
      <c r="D7" s="3"/>
    </row>
    <row r="8" spans="2:4" x14ac:dyDescent="0.3">
      <c r="B8" s="1"/>
      <c r="C8" s="2"/>
      <c r="D8" s="3"/>
    </row>
    <row r="9" spans="2:4" x14ac:dyDescent="0.3">
      <c r="B9" s="1"/>
      <c r="C9" s="2"/>
      <c r="D9" s="3"/>
    </row>
    <row r="10" spans="2:4" x14ac:dyDescent="0.3">
      <c r="B10" s="1"/>
      <c r="C10" s="2"/>
      <c r="D10" s="3"/>
    </row>
    <row r="11" spans="2:4" x14ac:dyDescent="0.3">
      <c r="B11" s="1"/>
      <c r="C11" s="2"/>
      <c r="D11" s="3"/>
    </row>
    <row r="12" spans="2:4" x14ac:dyDescent="0.3">
      <c r="B12" s="1"/>
      <c r="C12" s="2"/>
      <c r="D12" s="3"/>
    </row>
    <row r="13" spans="2:4" x14ac:dyDescent="0.3">
      <c r="B13" s="1"/>
      <c r="C13" s="2"/>
      <c r="D13" s="3"/>
    </row>
    <row r="14" spans="2:4" x14ac:dyDescent="0.3">
      <c r="B14" s="1"/>
      <c r="C14" s="2"/>
      <c r="D14" s="3"/>
    </row>
    <row r="15" spans="2:4" x14ac:dyDescent="0.3">
      <c r="B15" s="1"/>
      <c r="C15" s="2"/>
      <c r="D15" s="3"/>
    </row>
    <row r="16" spans="2:4" x14ac:dyDescent="0.3">
      <c r="B16" s="1"/>
      <c r="C16" s="2"/>
      <c r="D16" s="3"/>
    </row>
    <row r="17" spans="2:4" x14ac:dyDescent="0.3">
      <c r="B17" s="1"/>
      <c r="C17" s="2"/>
      <c r="D17" s="3"/>
    </row>
    <row r="18" spans="2:4" x14ac:dyDescent="0.3">
      <c r="B18" s="1"/>
      <c r="C18" s="2"/>
      <c r="D18" s="3"/>
    </row>
    <row r="19" spans="2:4" x14ac:dyDescent="0.3">
      <c r="B19" s="1"/>
      <c r="C19" s="2"/>
      <c r="D19" s="3"/>
    </row>
    <row r="20" spans="2:4" x14ac:dyDescent="0.3">
      <c r="B20" s="1"/>
      <c r="C20" s="2"/>
      <c r="D20" s="3"/>
    </row>
    <row r="21" spans="2:4" x14ac:dyDescent="0.3">
      <c r="B21" s="1"/>
      <c r="C21" s="2"/>
      <c r="D21" s="3"/>
    </row>
    <row r="22" spans="2:4" x14ac:dyDescent="0.3">
      <c r="B22" s="1"/>
      <c r="C22" s="2"/>
      <c r="D22" s="3"/>
    </row>
    <row r="23" spans="2:4" x14ac:dyDescent="0.3">
      <c r="B23" s="1"/>
      <c r="C23" s="2"/>
      <c r="D23" s="3"/>
    </row>
    <row r="24" spans="2:4" x14ac:dyDescent="0.3">
      <c r="B24" s="1"/>
      <c r="C24" s="2"/>
      <c r="D24" s="3"/>
    </row>
    <row r="25" spans="2:4" x14ac:dyDescent="0.3">
      <c r="B25" s="1"/>
      <c r="C25" s="2"/>
      <c r="D25" s="3"/>
    </row>
    <row r="26" spans="2:4" x14ac:dyDescent="0.3">
      <c r="B26" s="1"/>
      <c r="C26" s="2"/>
      <c r="D26" s="3"/>
    </row>
    <row r="27" spans="2:4" x14ac:dyDescent="0.3">
      <c r="B27" s="1"/>
      <c r="C27" s="2"/>
      <c r="D27" s="3"/>
    </row>
    <row r="28" spans="2:4" x14ac:dyDescent="0.3">
      <c r="B28" s="1"/>
      <c r="C28" s="2"/>
      <c r="D28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3"/>
  <sheetViews>
    <sheetView workbookViewId="0">
      <pane xSplit="2" ySplit="4" topLeftCell="C5" activePane="bottomRight" state="frozen"/>
      <selection pane="topRight" activeCell="C1" sqref="C1"/>
      <selection pane="bottomLeft" activeCell="A3" sqref="A3"/>
      <selection pane="bottomRight" activeCell="B4" sqref="B4:F4"/>
    </sheetView>
  </sheetViews>
  <sheetFormatPr defaultRowHeight="16.5" x14ac:dyDescent="0.3"/>
  <cols>
    <col min="1" max="1" width="9.140625" style="4"/>
    <col min="2" max="2" width="12.7109375" style="4" customWidth="1"/>
    <col min="3" max="3" width="19.85546875" style="4" customWidth="1"/>
    <col min="4" max="5" width="16.5703125" style="4" customWidth="1"/>
    <col min="6" max="6" width="24.28515625" style="4" customWidth="1"/>
    <col min="7" max="16384" width="9.140625" style="4"/>
  </cols>
  <sheetData>
    <row r="2" spans="2:6" x14ac:dyDescent="0.3">
      <c r="C2" s="4" t="s">
        <v>4</v>
      </c>
      <c r="D2" s="5">
        <f>SUM(E5:E13)</f>
        <v>8000</v>
      </c>
    </row>
    <row r="3" spans="2:6" ht="17.25" thickBot="1" x14ac:dyDescent="0.35">
      <c r="C3" s="4" t="s">
        <v>5</v>
      </c>
      <c r="D3" s="5">
        <f>SUM(F5:F13)</f>
        <v>-1000</v>
      </c>
    </row>
    <row r="4" spans="2:6" ht="23.25" customHeight="1" thickTop="1" thickBot="1" x14ac:dyDescent="0.35">
      <c r="B4" s="11" t="s">
        <v>0</v>
      </c>
      <c r="C4" s="12" t="s">
        <v>1</v>
      </c>
      <c r="D4" s="12" t="s">
        <v>6</v>
      </c>
      <c r="E4" s="12" t="s">
        <v>7</v>
      </c>
      <c r="F4" s="13" t="s">
        <v>3</v>
      </c>
    </row>
    <row r="5" spans="2:6" ht="17.25" thickTop="1" x14ac:dyDescent="0.3">
      <c r="B5" s="1">
        <v>46096</v>
      </c>
      <c r="C5" s="10">
        <v>6000</v>
      </c>
      <c r="D5" s="3">
        <v>3000</v>
      </c>
      <c r="E5" s="3">
        <v>3000</v>
      </c>
      <c r="F5" s="3">
        <f>C5-6000</f>
        <v>0</v>
      </c>
    </row>
    <row r="6" spans="2:6" x14ac:dyDescent="0.3">
      <c r="B6" s="1">
        <v>46127</v>
      </c>
      <c r="C6" s="10">
        <v>6000</v>
      </c>
      <c r="D6" s="3">
        <v>3000</v>
      </c>
      <c r="E6" s="3">
        <v>3000</v>
      </c>
      <c r="F6" s="3">
        <f t="shared" ref="F6:F7" si="0">C6-6000</f>
        <v>0</v>
      </c>
    </row>
    <row r="7" spans="2:6" x14ac:dyDescent="0.3">
      <c r="B7" s="1">
        <v>46157</v>
      </c>
      <c r="C7" s="10">
        <v>5000</v>
      </c>
      <c r="D7" s="3">
        <v>3000</v>
      </c>
      <c r="E7" s="3">
        <v>2000</v>
      </c>
      <c r="F7" s="3">
        <f t="shared" si="0"/>
        <v>-1000</v>
      </c>
    </row>
    <row r="8" spans="2:6" x14ac:dyDescent="0.3">
      <c r="B8" s="1">
        <v>46188</v>
      </c>
      <c r="C8" s="2"/>
      <c r="D8" s="3"/>
      <c r="E8" s="3"/>
      <c r="F8" s="3"/>
    </row>
    <row r="9" spans="2:6" x14ac:dyDescent="0.3">
      <c r="B9" s="1">
        <v>46218</v>
      </c>
      <c r="C9" s="2"/>
      <c r="D9" s="3"/>
      <c r="E9" s="3"/>
      <c r="F9" s="3"/>
    </row>
    <row r="10" spans="2:6" x14ac:dyDescent="0.3">
      <c r="B10" s="1">
        <v>46249</v>
      </c>
      <c r="C10" s="2"/>
      <c r="D10" s="3"/>
      <c r="E10" s="3"/>
      <c r="F10" s="3"/>
    </row>
    <row r="11" spans="2:6" x14ac:dyDescent="0.3">
      <c r="B11" s="1"/>
      <c r="C11" s="2"/>
      <c r="D11" s="3"/>
      <c r="E11" s="3"/>
      <c r="F11" s="3"/>
    </row>
    <row r="12" spans="2:6" x14ac:dyDescent="0.3">
      <c r="B12" s="1"/>
      <c r="C12" s="2"/>
      <c r="D12" s="3"/>
      <c r="E12" s="3"/>
      <c r="F12" s="3"/>
    </row>
    <row r="13" spans="2:6" x14ac:dyDescent="0.3">
      <c r="B13" s="1"/>
      <c r="C13" s="2"/>
      <c r="D13" s="3"/>
      <c r="E13" s="3"/>
      <c r="F13" s="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9"/>
  <sheetViews>
    <sheetView workbookViewId="0">
      <pane xSplit="2" ySplit="4" topLeftCell="C5" activePane="bottomRight" state="frozen"/>
      <selection pane="topRight" activeCell="C1" sqref="C1"/>
      <selection pane="bottomLeft" activeCell="A3" sqref="A3"/>
      <selection pane="bottomRight" activeCell="D11" sqref="D11"/>
    </sheetView>
  </sheetViews>
  <sheetFormatPr defaultRowHeight="16.5" x14ac:dyDescent="0.3"/>
  <cols>
    <col min="1" max="1" width="9.140625" style="4"/>
    <col min="2" max="2" width="12.7109375" style="4" customWidth="1"/>
    <col min="3" max="3" width="25.7109375" style="4" customWidth="1"/>
    <col min="4" max="5" width="16.5703125" style="4" customWidth="1"/>
    <col min="6" max="6" width="18.5703125" style="4" customWidth="1"/>
    <col min="7" max="16384" width="9.140625" style="4"/>
  </cols>
  <sheetData>
    <row r="2" spans="2:6" x14ac:dyDescent="0.3">
      <c r="C2" s="4" t="s">
        <v>4</v>
      </c>
      <c r="D2" s="5">
        <f>SUM(E5:E29)</f>
        <v>4000</v>
      </c>
    </row>
    <row r="3" spans="2:6" ht="17.25" thickBot="1" x14ac:dyDescent="0.35">
      <c r="C3" s="4" t="s">
        <v>5</v>
      </c>
      <c r="D3" s="5">
        <f>SUM(F5:F29)</f>
        <v>0</v>
      </c>
    </row>
    <row r="4" spans="2:6" ht="25.5" customHeight="1" thickTop="1" thickBot="1" x14ac:dyDescent="0.35">
      <c r="B4" s="11" t="s">
        <v>0</v>
      </c>
      <c r="C4" s="12" t="s">
        <v>1</v>
      </c>
      <c r="D4" s="12" t="s">
        <v>6</v>
      </c>
      <c r="E4" s="12" t="s">
        <v>7</v>
      </c>
      <c r="F4" s="13" t="s">
        <v>15</v>
      </c>
    </row>
    <row r="5" spans="2:6" ht="17.25" thickTop="1" x14ac:dyDescent="0.3">
      <c r="B5" s="1">
        <v>46096</v>
      </c>
      <c r="C5" s="3">
        <v>7000</v>
      </c>
      <c r="D5" s="3">
        <v>6000</v>
      </c>
      <c r="E5" s="3">
        <v>1000</v>
      </c>
      <c r="F5" s="3"/>
    </row>
    <row r="6" spans="2:6" x14ac:dyDescent="0.3">
      <c r="B6" s="1">
        <v>46127</v>
      </c>
      <c r="C6" s="3">
        <v>7000</v>
      </c>
      <c r="D6" s="3">
        <v>6000</v>
      </c>
      <c r="E6" s="3">
        <v>1000</v>
      </c>
      <c r="F6" s="3"/>
    </row>
    <row r="7" spans="2:6" x14ac:dyDescent="0.3">
      <c r="B7" s="1">
        <v>46157</v>
      </c>
      <c r="C7" s="3">
        <v>7000</v>
      </c>
      <c r="D7" s="3">
        <v>6000</v>
      </c>
      <c r="E7" s="3">
        <v>1000</v>
      </c>
      <c r="F7" s="3"/>
    </row>
    <row r="8" spans="2:6" x14ac:dyDescent="0.3">
      <c r="B8" s="1">
        <v>46191</v>
      </c>
      <c r="C8" s="3">
        <v>7000</v>
      </c>
      <c r="D8" s="3">
        <v>6000</v>
      </c>
      <c r="E8" s="3">
        <v>1000</v>
      </c>
      <c r="F8" s="3"/>
    </row>
    <row r="9" spans="2:6" x14ac:dyDescent="0.3">
      <c r="B9" s="1">
        <v>46218</v>
      </c>
      <c r="C9" s="2"/>
      <c r="D9" s="3"/>
      <c r="E9" s="3"/>
      <c r="F9" s="3"/>
    </row>
    <row r="10" spans="2:6" x14ac:dyDescent="0.3">
      <c r="B10" s="1">
        <v>46249</v>
      </c>
      <c r="C10" s="2"/>
      <c r="D10" s="3"/>
      <c r="E10" s="3"/>
      <c r="F10" s="3"/>
    </row>
    <row r="11" spans="2:6" x14ac:dyDescent="0.3">
      <c r="B11" s="1"/>
      <c r="C11" s="2"/>
      <c r="D11" s="3"/>
      <c r="E11" s="3"/>
      <c r="F11" s="3"/>
    </row>
    <row r="12" spans="2:6" x14ac:dyDescent="0.3">
      <c r="B12" s="1"/>
      <c r="C12" s="2"/>
      <c r="D12" s="3"/>
      <c r="E12" s="3"/>
      <c r="F12" s="3"/>
    </row>
    <row r="13" spans="2:6" x14ac:dyDescent="0.3">
      <c r="B13" s="1"/>
      <c r="C13" s="2"/>
      <c r="D13" s="3"/>
      <c r="E13" s="3"/>
      <c r="F13" s="3"/>
    </row>
    <row r="14" spans="2:6" x14ac:dyDescent="0.3">
      <c r="B14" s="1"/>
      <c r="C14" s="2"/>
      <c r="D14" s="3"/>
      <c r="E14" s="3"/>
      <c r="F14" s="3"/>
    </row>
    <row r="15" spans="2:6" x14ac:dyDescent="0.3">
      <c r="B15" s="1"/>
      <c r="C15" s="2"/>
      <c r="D15" s="3"/>
      <c r="E15" s="3"/>
      <c r="F15" s="3"/>
    </row>
    <row r="16" spans="2:6" x14ac:dyDescent="0.3">
      <c r="B16" s="1"/>
      <c r="C16" s="2"/>
      <c r="D16" s="3"/>
      <c r="E16" s="3"/>
      <c r="F16" s="3"/>
    </row>
    <row r="17" spans="2:6" x14ac:dyDescent="0.3">
      <c r="B17" s="1"/>
      <c r="C17" s="2"/>
      <c r="D17" s="3"/>
      <c r="E17" s="3"/>
      <c r="F17" s="3"/>
    </row>
    <row r="18" spans="2:6" x14ac:dyDescent="0.3">
      <c r="B18" s="1"/>
      <c r="C18" s="2"/>
      <c r="D18" s="3"/>
      <c r="E18" s="3"/>
      <c r="F18" s="3"/>
    </row>
    <row r="19" spans="2:6" x14ac:dyDescent="0.3">
      <c r="B19" s="1"/>
      <c r="C19" s="2"/>
      <c r="D19" s="3"/>
      <c r="E19" s="3"/>
      <c r="F19" s="3"/>
    </row>
    <row r="20" spans="2:6" x14ac:dyDescent="0.3">
      <c r="B20" s="1"/>
      <c r="C20" s="2"/>
      <c r="D20" s="3"/>
      <c r="E20" s="3"/>
      <c r="F20" s="3"/>
    </row>
    <row r="21" spans="2:6" x14ac:dyDescent="0.3">
      <c r="B21" s="1"/>
      <c r="C21" s="2"/>
      <c r="D21" s="3"/>
      <c r="E21" s="3"/>
      <c r="F21" s="3"/>
    </row>
    <row r="22" spans="2:6" x14ac:dyDescent="0.3">
      <c r="B22" s="1"/>
      <c r="C22" s="2"/>
      <c r="D22" s="3"/>
      <c r="E22" s="3"/>
      <c r="F22" s="3"/>
    </row>
    <row r="23" spans="2:6" x14ac:dyDescent="0.3">
      <c r="B23" s="1"/>
      <c r="C23" s="2"/>
      <c r="D23" s="3"/>
      <c r="E23" s="3"/>
      <c r="F23" s="3"/>
    </row>
    <row r="24" spans="2:6" x14ac:dyDescent="0.3">
      <c r="B24" s="1"/>
      <c r="C24" s="2"/>
      <c r="D24" s="3"/>
      <c r="E24" s="3"/>
      <c r="F24" s="3"/>
    </row>
    <row r="25" spans="2:6" x14ac:dyDescent="0.3">
      <c r="B25" s="1"/>
      <c r="C25" s="2"/>
      <c r="D25" s="3"/>
      <c r="E25" s="3"/>
      <c r="F25" s="3"/>
    </row>
    <row r="26" spans="2:6" x14ac:dyDescent="0.3">
      <c r="B26" s="1"/>
      <c r="C26" s="2"/>
      <c r="D26" s="3"/>
      <c r="E26" s="3"/>
      <c r="F26" s="3"/>
    </row>
    <row r="27" spans="2:6" x14ac:dyDescent="0.3">
      <c r="B27" s="1"/>
      <c r="C27" s="2"/>
      <c r="D27" s="3"/>
      <c r="E27" s="3"/>
      <c r="F27" s="3"/>
    </row>
    <row r="28" spans="2:6" x14ac:dyDescent="0.3">
      <c r="B28" s="1"/>
      <c r="C28" s="2"/>
      <c r="D28" s="3"/>
      <c r="E28" s="3"/>
      <c r="F28" s="3"/>
    </row>
    <row r="29" spans="2:6" x14ac:dyDescent="0.3">
      <c r="B29" s="1"/>
      <c r="C29" s="2"/>
      <c r="D29" s="3"/>
      <c r="E29" s="3"/>
      <c r="F29" s="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workbookViewId="0">
      <pane xSplit="2" ySplit="4" topLeftCell="C5" activePane="bottomRight" state="frozen"/>
      <selection pane="topRight" activeCell="C1" sqref="C1"/>
      <selection pane="bottomLeft" activeCell="A3" sqref="A3"/>
      <selection pane="bottomRight" activeCell="C16" sqref="C16"/>
    </sheetView>
  </sheetViews>
  <sheetFormatPr defaultRowHeight="16.5" x14ac:dyDescent="0.3"/>
  <cols>
    <col min="1" max="1" width="9.140625" style="4"/>
    <col min="2" max="2" width="12.7109375" style="4" customWidth="1"/>
    <col min="3" max="3" width="26.7109375" style="4" customWidth="1"/>
    <col min="4" max="4" width="22.85546875" style="4" customWidth="1"/>
    <col min="5" max="16384" width="9.140625" style="4"/>
  </cols>
  <sheetData>
    <row r="2" spans="2:4" x14ac:dyDescent="0.3">
      <c r="C2" s="4" t="s">
        <v>4</v>
      </c>
      <c r="D2" s="5">
        <f>SUM(C5:C20)</f>
        <v>0</v>
      </c>
    </row>
    <row r="3" spans="2:4" ht="17.25" thickBot="1" x14ac:dyDescent="0.35">
      <c r="C3" s="4" t="s">
        <v>5</v>
      </c>
      <c r="D3" s="5">
        <f>SUM(D5:D20)</f>
        <v>0</v>
      </c>
    </row>
    <row r="4" spans="2:4" ht="18" thickTop="1" thickBot="1" x14ac:dyDescent="0.35">
      <c r="B4" s="11" t="s">
        <v>0</v>
      </c>
      <c r="C4" s="12" t="s">
        <v>1</v>
      </c>
      <c r="D4" s="13" t="s">
        <v>3</v>
      </c>
    </row>
    <row r="5" spans="2:4" ht="17.25" thickTop="1" x14ac:dyDescent="0.3">
      <c r="B5" s="1">
        <v>46188</v>
      </c>
      <c r="C5" s="2"/>
      <c r="D5" s="3"/>
    </row>
    <row r="6" spans="2:4" x14ac:dyDescent="0.3">
      <c r="B6" s="1">
        <v>46218</v>
      </c>
      <c r="C6" s="2"/>
      <c r="D6" s="3"/>
    </row>
    <row r="7" spans="2:4" x14ac:dyDescent="0.3">
      <c r="B7" s="1">
        <v>46249</v>
      </c>
      <c r="C7" s="2"/>
      <c r="D7" s="3"/>
    </row>
    <row r="8" spans="2:4" x14ac:dyDescent="0.3">
      <c r="B8" s="1"/>
      <c r="C8" s="2"/>
      <c r="D8" s="3"/>
    </row>
    <row r="9" spans="2:4" x14ac:dyDescent="0.3">
      <c r="B9" s="1"/>
      <c r="C9" s="2"/>
      <c r="D9" s="3"/>
    </row>
    <row r="10" spans="2:4" x14ac:dyDescent="0.3">
      <c r="B10" s="1"/>
      <c r="C10" s="2"/>
      <c r="D10" s="3"/>
    </row>
    <row r="11" spans="2:4" x14ac:dyDescent="0.3">
      <c r="B11" s="1"/>
      <c r="C11" s="2"/>
      <c r="D11" s="3"/>
    </row>
    <row r="12" spans="2:4" x14ac:dyDescent="0.3">
      <c r="B12" s="1"/>
      <c r="C12" s="2"/>
      <c r="D12" s="3"/>
    </row>
    <row r="13" spans="2:4" x14ac:dyDescent="0.3">
      <c r="B13" s="1"/>
      <c r="C13" s="2"/>
      <c r="D13" s="3"/>
    </row>
    <row r="14" spans="2:4" x14ac:dyDescent="0.3">
      <c r="B14" s="1"/>
      <c r="C14" s="2"/>
      <c r="D14" s="3"/>
    </row>
    <row r="15" spans="2:4" x14ac:dyDescent="0.3">
      <c r="B15" s="1"/>
      <c r="C15" s="2"/>
      <c r="D15" s="3"/>
    </row>
    <row r="16" spans="2:4" x14ac:dyDescent="0.3">
      <c r="B16" s="1"/>
      <c r="C16" s="2"/>
      <c r="D16" s="3"/>
    </row>
    <row r="17" spans="2:4" x14ac:dyDescent="0.3">
      <c r="B17" s="1"/>
      <c r="C17" s="2"/>
      <c r="D17" s="3"/>
    </row>
    <row r="18" spans="2:4" x14ac:dyDescent="0.3">
      <c r="B18" s="1"/>
      <c r="C18" s="2"/>
      <c r="D18" s="3"/>
    </row>
    <row r="19" spans="2:4" x14ac:dyDescent="0.3">
      <c r="B19" s="1"/>
      <c r="C19" s="2"/>
      <c r="D19" s="3"/>
    </row>
    <row r="20" spans="2:4" x14ac:dyDescent="0.3">
      <c r="B20" s="1"/>
      <c r="C20" s="2"/>
      <c r="D2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CompleteList</vt:lpstr>
      <vt:lpstr>Ramabhati</vt:lpstr>
      <vt:lpstr>Sunanda</vt:lpstr>
      <vt:lpstr>Nanao</vt:lpstr>
      <vt:lpstr>priyadarsini</vt:lpstr>
      <vt:lpstr>anand</vt:lpstr>
      <vt:lpstr>naoton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2026-06-21T09:12:25Z</dcterms:modified>
</cp:coreProperties>
</file>