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" sheetId="6" r:id="rId1"/>
    <sheet name="Lists" sheetId="8" r:id="rId2"/>
  </sheets>
  <definedNames>
    <definedName name="Financing">Lists!$B$20:$B$22</definedName>
    <definedName name="Investing">Lists!$B$17:$B$19</definedName>
    <definedName name="Operating">Lists!$B$2:$B$16</definedName>
    <definedName name="Summary">Lists!$B$23:$B$25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1" i="6" l="1"/>
  <c r="E160" i="6" l="1"/>
  <c r="E158" i="6" l="1"/>
  <c r="E155" i="6" l="1"/>
  <c r="E149" i="6" l="1"/>
  <c r="F146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s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l="1"/>
  <c r="G76" i="6" s="1"/>
  <c r="G77" i="6" l="1"/>
  <c r="G78" i="6" s="1"/>
  <c r="G79" i="6" s="1"/>
  <c r="G80" i="6" s="1"/>
  <c r="G81" i="6" s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s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4" i="6" s="1"/>
  <c r="G195" i="6" s="1"/>
  <c r="G196" i="6" s="1"/>
  <c r="G197" i="6" s="1"/>
  <c r="G198" i="6" s="1"/>
  <c r="F202" i="6" l="1"/>
  <c r="F203" i="6" s="1"/>
  <c r="G199" i="6"/>
</calcChain>
</file>

<file path=xl/sharedStrings.xml><?xml version="1.0" encoding="utf-8"?>
<sst xmlns="http://schemas.openxmlformats.org/spreadsheetml/2006/main" count="565" uniqueCount="116">
  <si>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</si>
  <si>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</si>
  <si>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</si>
  <si>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</si>
  <si>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</si>
  <si>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</si>
  <si>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</si>
  <si>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</si>
  <si>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</si>
  <si>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</si>
  <si>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</si>
  <si>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</si>
  <si>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</si>
  <si>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</si>
  <si>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</si>
  <si>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</si>
  <si>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</si>
  <si>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</si>
  <si>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</si>
  <si>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</si>
  <si>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</si>
  <si>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</si>
  <si>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</si>
  <si>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</si>
  <si>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</si>
  <si>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</si>
  <si>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</si>
  <si>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</si>
  <si>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</si>
  <si>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</si>
  <si>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</si>
  <si>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</si>
  <si>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</si>
  <si>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</si>
  <si>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</si>
  <si>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</si>
  <si>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</si>
  <si>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</si>
  <si>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</si>
  <si>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</si>
  <si>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</si>
  <si>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</si>
  <si>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</si>
  <si>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</si>
  <si>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</si>
  <si>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</si>
  <si>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</si>
  <si>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</si>
  <si>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</si>
  <si>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</si>
  <si>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</si>
  <si>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</si>
  <si>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</si>
  <si>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</si>
  <si>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</si>
  <si>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</si>
  <si>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</si>
  <si>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</si>
  <si>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</si>
  <si>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</si>
  <si>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</si>
  <si>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</si>
  <si>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</si>
  <si>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</si>
  <si>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Previous balance</t>
  </si>
  <si>
    <t>Closing balance</t>
  </si>
  <si>
    <t>Issued Loan</t>
  </si>
  <si>
    <t>Kamala - 188</t>
  </si>
  <si>
    <t>Minarani - 189</t>
  </si>
  <si>
    <t>Check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</si>
  <si>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</si>
  <si>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</si>
  <si>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</si>
  <si>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</si>
  <si>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</si>
  <si>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</si>
  <si>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</si>
  <si>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</si>
  <si>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</si>
  <si>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</si>
  <si>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</si>
  <si>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</si>
  <si>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</si>
  <si>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</si>
  <si>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</si>
  <si>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</si>
  <si>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</si>
  <si>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</si>
  <si>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</si>
  <si>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</si>
  <si>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</si>
  <si>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</si>
  <si>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</si>
  <si>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</si>
  <si>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</si>
  <si>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</si>
  <si>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</si>
  <si>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</si>
  <si>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</si>
  <si>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</si>
  <si>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</si>
  <si>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</si>
  <si>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</si>
  <si>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</si>
  <si>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</si>
  <si>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</si>
  <si>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</si>
  <si>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</si>
  <si>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</si>
  <si>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</si>
  <si>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Entry for Aboong/Chaoba previous borrowing</t>
  </si>
  <si>
    <t>a bijenti</t>
  </si>
  <si>
    <t>lanchenbi samila</t>
  </si>
  <si>
    <t>seema</t>
  </si>
  <si>
    <t>samila-197</t>
  </si>
  <si>
    <t>sandhyarani-198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</si>
</sst>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3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  <xf numFmtId="0" fontId="3" fillId="4" borderId="0" xfId="0" applyFont="1" applyFill="1" applyAlignment="1" applyProtection="1">
      <alignment horizontal="right"/>
      <protection locked="0"/>
    </xf>
    <xf numFmtId="165" fontId="3" fillId="4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3"/>
  <sheetViews>
    <sheetView tabSelected="1" zoomScale="85" zoomScaleNormal="85" workbookViewId="0">
      <pane ySplit="1" topLeftCell="A155" activePane="bottomLeft" state="frozen"/>
      <selection pane="bottomLeft" activeCell="G165" sqref="G165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6384" width="9.140625" style="20"/>
  </cols>
  <sheetData>
    <row r="1" spans="1:7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7" x14ac:dyDescent="0.3">
      <c r="A2" s="16">
        <v>46193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7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7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7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7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</row>
    <row r="7" spans="1:7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7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7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7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7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7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7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7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7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7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67</v>
      </c>
      <c r="C21" s="14" t="s">
        <v>66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68</v>
      </c>
      <c r="C22" s="13" t="s">
        <v>66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70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71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72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73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74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7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7" x14ac:dyDescent="0.3">
      <c r="A50" s="16">
        <v>46191</v>
      </c>
      <c r="B50" s="13" t="s">
        <v>75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7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7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7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7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7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7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7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 t="shared" si="2"/>
        <v>33660</v>
      </c>
    </row>
    <row r="58" spans="1:7" x14ac:dyDescent="0.3">
      <c r="A58" s="16">
        <v>46192</v>
      </c>
      <c r="B58" s="13" t="s">
        <v>76</v>
      </c>
      <c r="C58" s="13" t="s">
        <v>66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7" x14ac:dyDescent="0.3">
      <c r="A59" s="17">
        <v>46193</v>
      </c>
      <c r="B59" s="14" t="s">
        <v>78</v>
      </c>
      <c r="C59" s="14" t="s">
        <v>77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7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7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</row>
    <row r="62" spans="1:7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7" x14ac:dyDescent="0.3">
      <c r="A63" s="17">
        <v>46193</v>
      </c>
      <c r="B63" s="14" t="s">
        <v>79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7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7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7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7" x14ac:dyDescent="0.3">
      <c r="A67" s="17">
        <v>46193</v>
      </c>
      <c r="B67" s="14" t="s">
        <v>80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7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7" x14ac:dyDescent="0.3">
      <c r="A69" s="17">
        <v>46193</v>
      </c>
      <c r="B69" s="14" t="s">
        <v>81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7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7" x14ac:dyDescent="0.3">
      <c r="A71" s="17">
        <v>46194</v>
      </c>
      <c r="B71" s="14" t="s">
        <v>82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7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7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7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</row>
    <row r="75" spans="1:7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7" x14ac:dyDescent="0.3">
      <c r="A76" s="16">
        <v>46194</v>
      </c>
      <c r="B76" s="13" t="s">
        <v>83</v>
      </c>
      <c r="C76" s="13" t="s">
        <v>66</v>
      </c>
      <c r="D76" s="13" t="s">
        <v>7</v>
      </c>
      <c r="E76" s="13"/>
      <c r="F76" s="13">
        <v>30000</v>
      </c>
      <c r="G76" s="13">
        <f t="shared" si="2"/>
        <v>-7540</v>
      </c>
    </row>
    <row r="77" spans="1:7" x14ac:dyDescent="0.3">
      <c r="A77" s="17">
        <v>46194</v>
      </c>
      <c r="B77" s="14"/>
      <c r="C77" s="14" t="s">
        <v>46</v>
      </c>
      <c r="D77" s="14" t="s">
        <v>19</v>
      </c>
      <c r="E77" s="14"/>
      <c r="F77" s="14"/>
      <c r="G77" s="14">
        <f t="shared" si="2"/>
        <v>-7540</v>
      </c>
    </row>
    <row r="78" spans="1:7" x14ac:dyDescent="0.3">
      <c r="A78" s="16">
        <v>46195</v>
      </c>
      <c r="B78" s="13" t="s">
        <v>88</v>
      </c>
      <c r="C78" s="13" t="s">
        <v>15</v>
      </c>
      <c r="D78" s="13" t="s">
        <v>8</v>
      </c>
      <c r="E78" s="13">
        <v>30000</v>
      </c>
      <c r="F78" s="13"/>
      <c r="G78" s="13">
        <f t="shared" si="2"/>
        <v>22460</v>
      </c>
    </row>
    <row r="79" spans="1:7" x14ac:dyDescent="0.3">
      <c r="A79" s="17">
        <v>46194</v>
      </c>
      <c r="B79" s="14" t="s">
        <v>89</v>
      </c>
      <c r="C79" s="14" t="s">
        <v>15</v>
      </c>
      <c r="D79" s="14" t="s">
        <v>8</v>
      </c>
      <c r="E79" s="14">
        <v>8000</v>
      </c>
      <c r="F79" s="14"/>
      <c r="G79" s="14">
        <f>G78+E79-F79</f>
        <v>30460</v>
      </c>
    </row>
    <row r="80" spans="1:7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7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7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7" x14ac:dyDescent="0.3">
      <c r="A83" s="17">
        <v>46195</v>
      </c>
      <c r="B83" s="14" t="s">
        <v>71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7" x14ac:dyDescent="0.3">
      <c r="A84" s="16">
        <v>46195</v>
      </c>
      <c r="B84" s="13" t="s">
        <v>84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7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7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199" si="4">G85+E86-F86</f>
        <v>33760</v>
      </c>
    </row>
    <row r="87" spans="1:7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7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7" ht="33" x14ac:dyDescent="0.3">
      <c r="A89" s="17">
        <v>46196</v>
      </c>
      <c r="B89" s="14" t="s">
        <v>85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7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7" ht="33" x14ac:dyDescent="0.3">
      <c r="A91" s="17">
        <v>46196</v>
      </c>
      <c r="B91" s="14" t="s">
        <v>86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7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7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7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</row>
    <row r="95" spans="1:7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7" x14ac:dyDescent="0.3">
      <c r="A96" s="16">
        <v>46197</v>
      </c>
      <c r="B96" s="13" t="s">
        <v>87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7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7" ht="33" x14ac:dyDescent="0.3">
      <c r="A98" s="16">
        <v>46197</v>
      </c>
      <c r="B98" s="13" t="s">
        <v>90</v>
      </c>
      <c r="C98" s="13" t="s">
        <v>66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7" x14ac:dyDescent="0.3">
      <c r="A99" s="17">
        <v>46197</v>
      </c>
      <c r="B99" s="14" t="s">
        <v>91</v>
      </c>
      <c r="C99" s="14" t="s">
        <v>66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7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7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7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7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7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7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</row>
    <row r="106" spans="1:7" x14ac:dyDescent="0.3">
      <c r="A106" s="16">
        <v>46199</v>
      </c>
      <c r="B106" s="13" t="s">
        <v>109</v>
      </c>
      <c r="C106" s="13" t="s">
        <v>66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7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7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7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7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7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7" ht="33" x14ac:dyDescent="0.3">
      <c r="A112" s="16">
        <v>46199</v>
      </c>
      <c r="B112" s="13" t="s">
        <v>86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7" x14ac:dyDescent="0.3">
      <c r="A113" s="17">
        <v>46199</v>
      </c>
      <c r="B113" s="14" t="s">
        <v>80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7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7" x14ac:dyDescent="0.3">
      <c r="A115" s="17">
        <v>46199</v>
      </c>
      <c r="B115" s="14" t="s">
        <v>82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</row>
    <row r="116" spans="1:7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7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7" x14ac:dyDescent="0.3">
      <c r="A118" s="16">
        <v>46200</v>
      </c>
      <c r="B118" s="13" t="s">
        <v>92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7" x14ac:dyDescent="0.3">
      <c r="A119" s="17">
        <v>46200</v>
      </c>
      <c r="B119" s="14" t="s">
        <v>93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7" x14ac:dyDescent="0.3">
      <c r="A120" s="16">
        <v>46200</v>
      </c>
      <c r="B120" s="13" t="s">
        <v>75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7" x14ac:dyDescent="0.3">
      <c r="A121" s="17">
        <v>46200</v>
      </c>
      <c r="B121" s="14" t="s">
        <v>94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7" x14ac:dyDescent="0.3">
      <c r="A122" s="16">
        <v>46200</v>
      </c>
      <c r="B122" s="13" t="s">
        <v>95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7" x14ac:dyDescent="0.3">
      <c r="A123" s="17">
        <v>46200</v>
      </c>
      <c r="B123" s="14" t="s">
        <v>96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7" x14ac:dyDescent="0.3">
      <c r="A124" s="16">
        <v>46201</v>
      </c>
      <c r="B124" s="13" t="s">
        <v>92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7" x14ac:dyDescent="0.3">
      <c r="A125" s="17">
        <v>46201</v>
      </c>
      <c r="B125" s="14" t="s">
        <v>97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7" x14ac:dyDescent="0.3">
      <c r="A126" s="16">
        <v>46201</v>
      </c>
      <c r="B126" s="13" t="s">
        <v>84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7" x14ac:dyDescent="0.3">
      <c r="A127" s="17">
        <v>46201</v>
      </c>
      <c r="B127" s="14" t="s">
        <v>98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7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7" x14ac:dyDescent="0.3">
      <c r="A129" s="17">
        <v>46201</v>
      </c>
      <c r="B129" s="14" t="s">
        <v>99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7" x14ac:dyDescent="0.3">
      <c r="A130" s="16">
        <v>46201</v>
      </c>
      <c r="B130" s="13" t="s">
        <v>95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7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7" x14ac:dyDescent="0.3">
      <c r="A132" s="16">
        <v>46202</v>
      </c>
      <c r="B132" s="13" t="s">
        <v>95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7" x14ac:dyDescent="0.3">
      <c r="A133" s="17">
        <v>46202</v>
      </c>
      <c r="B133" s="14" t="s">
        <v>92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7" x14ac:dyDescent="0.3">
      <c r="A134" s="16">
        <v>46202</v>
      </c>
      <c r="B134" s="13" t="s">
        <v>100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7" x14ac:dyDescent="0.3">
      <c r="A135" s="17">
        <v>46202</v>
      </c>
      <c r="B135" s="14" t="s">
        <v>72</v>
      </c>
      <c r="C135" s="14" t="s">
        <v>49</v>
      </c>
      <c r="D135" s="14" t="s">
        <v>7</v>
      </c>
      <c r="E135" s="14">
        <v>3780</v>
      </c>
      <c r="F135" s="14"/>
      <c r="G135" s="14">
        <f t="shared" si="4"/>
        <v>48740</v>
      </c>
    </row>
    <row r="136" spans="1:7" x14ac:dyDescent="0.3">
      <c r="A136" s="16">
        <v>46202</v>
      </c>
      <c r="B136" s="13" t="s">
        <v>101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7" x14ac:dyDescent="0.3">
      <c r="A137" s="17">
        <v>46202</v>
      </c>
      <c r="B137" s="14" t="s">
        <v>102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7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7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</row>
    <row r="140" spans="1:7" x14ac:dyDescent="0.3">
      <c r="A140" s="16">
        <v>46202</v>
      </c>
      <c r="B140" s="13" t="s">
        <v>103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7" x14ac:dyDescent="0.3">
      <c r="A141" s="17">
        <v>46202</v>
      </c>
      <c r="B141" s="14" t="s">
        <v>71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7" x14ac:dyDescent="0.3">
      <c r="A142" s="16">
        <v>46202</v>
      </c>
      <c r="B142" s="13" t="s">
        <v>104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</row>
    <row r="143" spans="1:7" ht="33" x14ac:dyDescent="0.3">
      <c r="A143" s="17">
        <v>46202</v>
      </c>
      <c r="B143" s="14" t="s">
        <v>106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7" x14ac:dyDescent="0.3">
      <c r="A144" s="16">
        <v>46202</v>
      </c>
      <c r="B144" s="13" t="s">
        <v>105</v>
      </c>
      <c r="C144" s="13" t="s">
        <v>66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7" ht="33" x14ac:dyDescent="0.3">
      <c r="A145" s="17">
        <v>46202</v>
      </c>
      <c r="B145" s="14" t="s">
        <v>107</v>
      </c>
      <c r="C145" s="14" t="s">
        <v>108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7" ht="66" x14ac:dyDescent="0.3">
      <c r="A146" s="16">
        <v>46202</v>
      </c>
      <c r="B146" s="13" t="s">
        <v>110</v>
      </c>
      <c r="C146" s="13" t="s">
        <v>15</v>
      </c>
      <c r="D146" s="13" t="s">
        <v>8</v>
      </c>
      <c r="E146" s="13"/>
      <c r="F146" s="13">
        <f>30000+8000</f>
        <v>38000</v>
      </c>
      <c r="G146" s="13">
        <f t="shared" si="4"/>
        <v>2670</v>
      </c>
    </row>
    <row r="147" spans="1:7" x14ac:dyDescent="0.3">
      <c r="A147" s="17">
        <v>46202</v>
      </c>
      <c r="B147" s="14"/>
      <c r="C147" s="14" t="s">
        <v>46</v>
      </c>
      <c r="D147" s="14" t="s">
        <v>19</v>
      </c>
      <c r="E147" s="14"/>
      <c r="F147" s="14"/>
      <c r="G147" s="14">
        <f t="shared" si="4"/>
        <v>2670</v>
      </c>
    </row>
    <row r="148" spans="1:7" x14ac:dyDescent="0.3">
      <c r="A148" s="16">
        <v>46203</v>
      </c>
      <c r="B148" s="13" t="s">
        <v>50</v>
      </c>
      <c r="C148" s="13" t="s">
        <v>49</v>
      </c>
      <c r="D148" s="13" t="s">
        <v>7</v>
      </c>
      <c r="E148" s="13">
        <v>100</v>
      </c>
      <c r="F148" s="13"/>
      <c r="G148" s="13">
        <f t="shared" si="4"/>
        <v>2770</v>
      </c>
    </row>
    <row r="149" spans="1:7" x14ac:dyDescent="0.3">
      <c r="A149" s="17">
        <v>46203</v>
      </c>
      <c r="B149" s="14" t="s">
        <v>92</v>
      </c>
      <c r="C149" s="14" t="s">
        <v>49</v>
      </c>
      <c r="D149" s="14" t="s">
        <v>7</v>
      </c>
      <c r="E149" s="14">
        <f>100*2</f>
        <v>200</v>
      </c>
      <c r="F149" s="14"/>
      <c r="G149" s="14">
        <f t="shared" si="4"/>
        <v>2970</v>
      </c>
    </row>
    <row r="150" spans="1:7" x14ac:dyDescent="0.3">
      <c r="A150" s="16">
        <v>46203</v>
      </c>
      <c r="B150" s="13" t="s">
        <v>72</v>
      </c>
      <c r="C150" s="13" t="s">
        <v>49</v>
      </c>
      <c r="D150" s="13" t="s">
        <v>7</v>
      </c>
      <c r="E150" s="13">
        <v>180</v>
      </c>
      <c r="F150" s="13"/>
      <c r="G150" s="13">
        <f t="shared" si="4"/>
        <v>3150</v>
      </c>
    </row>
    <row r="151" spans="1:7" x14ac:dyDescent="0.3">
      <c r="A151" s="17">
        <v>46203</v>
      </c>
      <c r="B151" s="14" t="s">
        <v>101</v>
      </c>
      <c r="C151" s="14" t="s">
        <v>49</v>
      </c>
      <c r="D151" s="14" t="s">
        <v>7</v>
      </c>
      <c r="E151" s="14">
        <v>180</v>
      </c>
      <c r="F151" s="14"/>
      <c r="G151" s="14">
        <f t="shared" si="4"/>
        <v>3330</v>
      </c>
    </row>
    <row r="152" spans="1:7" x14ac:dyDescent="0.3">
      <c r="A152" s="16">
        <v>46203</v>
      </c>
      <c r="B152" s="13" t="s">
        <v>111</v>
      </c>
      <c r="C152" s="13" t="s">
        <v>49</v>
      </c>
      <c r="D152" s="13" t="s">
        <v>7</v>
      </c>
      <c r="E152" s="13">
        <v>500</v>
      </c>
      <c r="F152" s="13"/>
      <c r="G152" s="13">
        <f t="shared" si="4"/>
        <v>3830</v>
      </c>
    </row>
    <row r="153" spans="1:7" x14ac:dyDescent="0.3">
      <c r="A153" s="17">
        <v>46204</v>
      </c>
      <c r="B153" s="14" t="s">
        <v>92</v>
      </c>
      <c r="C153" s="14" t="s">
        <v>49</v>
      </c>
      <c r="D153" s="14" t="s">
        <v>7</v>
      </c>
      <c r="E153" s="14">
        <v>200</v>
      </c>
      <c r="F153" s="14"/>
      <c r="G153" s="14">
        <f t="shared" si="4"/>
        <v>4030</v>
      </c>
    </row>
    <row r="154" spans="1:7" x14ac:dyDescent="0.3">
      <c r="A154" s="16">
        <v>46204</v>
      </c>
      <c r="B154" s="13" t="s">
        <v>73</v>
      </c>
      <c r="C154" s="13" t="s">
        <v>48</v>
      </c>
      <c r="D154" s="13" t="s">
        <v>7</v>
      </c>
      <c r="E154" s="13">
        <v>700</v>
      </c>
      <c r="F154" s="13"/>
      <c r="G154" s="13">
        <f t="shared" si="4"/>
        <v>4730</v>
      </c>
    </row>
    <row r="155" spans="1:7" ht="33" x14ac:dyDescent="0.3">
      <c r="A155" s="17">
        <v>46204</v>
      </c>
      <c r="B155" s="14" t="s">
        <v>112</v>
      </c>
      <c r="C155" s="14" t="s">
        <v>48</v>
      </c>
      <c r="D155" s="14" t="s">
        <v>7</v>
      </c>
      <c r="E155" s="14">
        <f>1400*2</f>
        <v>2800</v>
      </c>
      <c r="F155" s="14"/>
      <c r="G155" s="14">
        <f t="shared" si="4"/>
        <v>7530</v>
      </c>
    </row>
    <row r="156" spans="1:7" x14ac:dyDescent="0.3">
      <c r="A156" s="16">
        <v>46204</v>
      </c>
      <c r="B156" s="13" t="s">
        <v>95</v>
      </c>
      <c r="C156" s="13" t="s">
        <v>49</v>
      </c>
      <c r="D156" s="13" t="s">
        <v>7</v>
      </c>
      <c r="E156" s="13">
        <v>100</v>
      </c>
      <c r="F156" s="13"/>
      <c r="G156" s="13">
        <f t="shared" si="4"/>
        <v>7630</v>
      </c>
    </row>
    <row r="157" spans="1:7" x14ac:dyDescent="0.3">
      <c r="A157" s="17">
        <v>46204</v>
      </c>
      <c r="B157" s="14" t="s">
        <v>72</v>
      </c>
      <c r="C157" s="14" t="s">
        <v>49</v>
      </c>
      <c r="D157" s="14" t="s">
        <v>7</v>
      </c>
      <c r="E157" s="14">
        <v>180</v>
      </c>
      <c r="F157" s="14"/>
      <c r="G157" s="14">
        <f t="shared" si="4"/>
        <v>7810</v>
      </c>
    </row>
    <row r="158" spans="1:7" x14ac:dyDescent="0.3">
      <c r="A158" s="16">
        <v>46204</v>
      </c>
      <c r="B158" s="13" t="s">
        <v>75</v>
      </c>
      <c r="C158" s="13" t="s">
        <v>48</v>
      </c>
      <c r="D158" s="13" t="s">
        <v>7</v>
      </c>
      <c r="E158" s="13">
        <f>5*2000</f>
        <v>10000</v>
      </c>
      <c r="F158" s="13"/>
      <c r="G158" s="13">
        <f t="shared" si="4"/>
        <v>17810</v>
      </c>
    </row>
    <row r="159" spans="1:7" x14ac:dyDescent="0.3">
      <c r="A159" s="17">
        <v>46204</v>
      </c>
      <c r="B159" s="14" t="s">
        <v>113</v>
      </c>
      <c r="C159" s="14" t="s">
        <v>48</v>
      </c>
      <c r="D159" s="14" t="s">
        <v>7</v>
      </c>
      <c r="E159" s="14">
        <v>1400</v>
      </c>
      <c r="F159" s="14"/>
      <c r="G159" s="14">
        <f t="shared" si="4"/>
        <v>19210</v>
      </c>
    </row>
    <row r="160" spans="1:7" x14ac:dyDescent="0.3">
      <c r="A160" s="16">
        <v>46204</v>
      </c>
      <c r="B160" s="13" t="s">
        <v>97</v>
      </c>
      <c r="C160" s="13" t="s">
        <v>48</v>
      </c>
      <c r="D160" s="13" t="s">
        <v>7</v>
      </c>
      <c r="E160" s="13">
        <f>700*5</f>
        <v>3500</v>
      </c>
      <c r="F160" s="13"/>
      <c r="G160" s="13">
        <f t="shared" si="4"/>
        <v>22710</v>
      </c>
    </row>
    <row r="161" spans="1:7" x14ac:dyDescent="0.3">
      <c r="A161" s="17">
        <v>46204</v>
      </c>
      <c r="B161" s="14" t="s">
        <v>84</v>
      </c>
      <c r="C161" s="14" t="s">
        <v>48</v>
      </c>
      <c r="D161" s="14" t="s">
        <v>7</v>
      </c>
      <c r="E161" s="14">
        <f>4*1400</f>
        <v>5600</v>
      </c>
      <c r="F161" s="14"/>
      <c r="G161" s="14">
        <f t="shared" si="4"/>
        <v>28310</v>
      </c>
    </row>
    <row r="162" spans="1:7" x14ac:dyDescent="0.3">
      <c r="A162" s="16">
        <v>46204</v>
      </c>
      <c r="B162" s="13" t="s">
        <v>101</v>
      </c>
      <c r="C162" s="13" t="s">
        <v>49</v>
      </c>
      <c r="D162" s="13" t="s">
        <v>7</v>
      </c>
      <c r="E162" s="13">
        <v>180</v>
      </c>
      <c r="F162" s="13"/>
      <c r="G162" s="13">
        <f t="shared" si="4"/>
        <v>28490</v>
      </c>
    </row>
    <row r="163" spans="1:7" x14ac:dyDescent="0.3">
      <c r="A163" s="17">
        <v>46204</v>
      </c>
      <c r="B163" s="14" t="s">
        <v>114</v>
      </c>
      <c r="C163" s="14" t="s">
        <v>66</v>
      </c>
      <c r="D163" s="14" t="s">
        <v>7</v>
      </c>
      <c r="E163" s="14"/>
      <c r="F163" s="14">
        <v>10000</v>
      </c>
      <c r="G163" s="14">
        <f t="shared" si="4"/>
        <v>18490</v>
      </c>
    </row>
    <row r="164" spans="1:7" ht="33" x14ac:dyDescent="0.3">
      <c r="A164" s="16">
        <v>46204</v>
      </c>
      <c r="B164" s="13" t="s">
        <v>115</v>
      </c>
      <c r="C164" s="13" t="s">
        <v>66</v>
      </c>
      <c r="D164" s="13" t="s">
        <v>7</v>
      </c>
      <c r="E164" s="13"/>
      <c r="F164" s="13">
        <v>20000</v>
      </c>
      <c r="G164" s="13">
        <f t="shared" si="4"/>
        <v>-1510</v>
      </c>
    </row>
    <row r="165" spans="1:7" x14ac:dyDescent="0.3">
      <c r="A165" s="12">
        <v>46204</v>
      </c>
      <c r="B165" s="19"/>
      <c r="C165" s="19" t="s">
        <v>46</v>
      </c>
      <c r="D165" s="19" t="s">
        <v>19</v>
      </c>
      <c r="E165" s="19"/>
      <c r="F165" s="19"/>
      <c r="G165" s="19">
        <v>-1510</v>
      </c>
    </row>
    <row r="166" spans="1:7" x14ac:dyDescent="0.3">
      <c r="A166" s="11"/>
      <c r="B166" s="18"/>
      <c r="C166" s="18"/>
      <c r="D166" s="18"/>
      <c r="E166" s="18"/>
      <c r="F166" s="18"/>
      <c r="G166" s="18">
        <f t="shared" si="4"/>
        <v>-1510</v>
      </c>
    </row>
    <row r="167" spans="1:7" x14ac:dyDescent="0.3">
      <c r="A167" s="12"/>
      <c r="B167" s="19"/>
      <c r="C167" s="19"/>
      <c r="D167" s="19"/>
      <c r="E167" s="19"/>
      <c r="F167" s="19"/>
      <c r="G167" s="19">
        <f t="shared" si="4"/>
        <v>-1510</v>
      </c>
    </row>
    <row r="168" spans="1:7" x14ac:dyDescent="0.3">
      <c r="A168" s="11"/>
      <c r="B168" s="18"/>
      <c r="C168" s="18"/>
      <c r="D168" s="18"/>
      <c r="E168" s="18"/>
      <c r="F168" s="18"/>
      <c r="G168" s="18">
        <f t="shared" si="4"/>
        <v>-1510</v>
      </c>
    </row>
    <row r="169" spans="1:7" x14ac:dyDescent="0.3">
      <c r="A169" s="12"/>
      <c r="B169" s="19"/>
      <c r="C169" s="19"/>
      <c r="D169" s="19"/>
      <c r="E169" s="19"/>
      <c r="F169" s="19"/>
      <c r="G169" s="19">
        <f t="shared" si="4"/>
        <v>-1510</v>
      </c>
    </row>
    <row r="170" spans="1:7" x14ac:dyDescent="0.3">
      <c r="A170" s="11"/>
      <c r="B170" s="18"/>
      <c r="C170" s="18"/>
      <c r="D170" s="18"/>
      <c r="E170" s="18"/>
      <c r="F170" s="18"/>
      <c r="G170" s="18">
        <f t="shared" si="4"/>
        <v>-1510</v>
      </c>
    </row>
    <row r="171" spans="1:7" x14ac:dyDescent="0.3">
      <c r="A171" s="12"/>
      <c r="B171" s="19"/>
      <c r="C171" s="19"/>
      <c r="D171" s="19"/>
      <c r="E171" s="19"/>
      <c r="F171" s="19"/>
      <c r="G171" s="19">
        <f t="shared" si="4"/>
        <v>-1510</v>
      </c>
    </row>
    <row r="172" spans="1:7" x14ac:dyDescent="0.3">
      <c r="A172" s="11"/>
      <c r="B172" s="18"/>
      <c r="C172" s="18"/>
      <c r="D172" s="18"/>
      <c r="E172" s="18"/>
      <c r="F172" s="18"/>
      <c r="G172" s="18">
        <f t="shared" si="4"/>
        <v>-1510</v>
      </c>
    </row>
    <row r="173" spans="1:7" x14ac:dyDescent="0.3">
      <c r="A173" s="12"/>
      <c r="B173" s="19"/>
      <c r="C173" s="19"/>
      <c r="D173" s="19"/>
      <c r="E173" s="19"/>
      <c r="F173" s="19"/>
      <c r="G173" s="19">
        <f t="shared" si="4"/>
        <v>-1510</v>
      </c>
    </row>
    <row r="174" spans="1:7" x14ac:dyDescent="0.3">
      <c r="A174" s="11"/>
      <c r="B174" s="18"/>
      <c r="C174" s="18"/>
      <c r="D174" s="18"/>
      <c r="E174" s="18"/>
      <c r="F174" s="18"/>
      <c r="G174" s="18">
        <f t="shared" si="4"/>
        <v>-1510</v>
      </c>
    </row>
    <row r="175" spans="1:7" x14ac:dyDescent="0.3">
      <c r="A175" s="12"/>
      <c r="B175" s="19"/>
      <c r="C175" s="19"/>
      <c r="D175" s="19"/>
      <c r="E175" s="19"/>
      <c r="F175" s="19"/>
      <c r="G175" s="19">
        <f t="shared" si="4"/>
        <v>-1510</v>
      </c>
    </row>
    <row r="176" spans="1:7" x14ac:dyDescent="0.3">
      <c r="A176" s="11"/>
      <c r="B176" s="18"/>
      <c r="C176" s="18"/>
      <c r="D176" s="18"/>
      <c r="E176" s="18"/>
      <c r="F176" s="18"/>
      <c r="G176" s="18">
        <f t="shared" si="4"/>
        <v>-1510</v>
      </c>
    </row>
    <row r="177" spans="1:7" x14ac:dyDescent="0.3">
      <c r="A177" s="12"/>
      <c r="B177" s="19"/>
      <c r="C177" s="19"/>
      <c r="D177" s="19"/>
      <c r="E177" s="19"/>
      <c r="F177" s="19"/>
      <c r="G177" s="19">
        <f t="shared" si="4"/>
        <v>-1510</v>
      </c>
    </row>
    <row r="178" spans="1:7" x14ac:dyDescent="0.3">
      <c r="A178" s="11"/>
      <c r="B178" s="18"/>
      <c r="C178" s="18"/>
      <c r="D178" s="18"/>
      <c r="E178" s="18"/>
      <c r="F178" s="18"/>
      <c r="G178" s="18">
        <f t="shared" si="4"/>
        <v>-1510</v>
      </c>
    </row>
    <row r="179" spans="1:7" x14ac:dyDescent="0.3">
      <c r="A179" s="12"/>
      <c r="B179" s="19"/>
      <c r="C179" s="19"/>
      <c r="D179" s="19"/>
      <c r="E179" s="19"/>
      <c r="F179" s="19"/>
      <c r="G179" s="19">
        <f t="shared" si="4"/>
        <v>-1510</v>
      </c>
    </row>
    <row r="180" spans="1:7" x14ac:dyDescent="0.3">
      <c r="A180" s="11"/>
      <c r="B180" s="18"/>
      <c r="C180" s="18"/>
      <c r="D180" s="18"/>
      <c r="E180" s="18"/>
      <c r="F180" s="18"/>
      <c r="G180" s="18">
        <f t="shared" si="4"/>
        <v>-1510</v>
      </c>
    </row>
    <row r="181" spans="1:7" x14ac:dyDescent="0.3">
      <c r="A181" s="12"/>
      <c r="B181" s="19"/>
      <c r="C181" s="19"/>
      <c r="D181" s="19"/>
      <c r="E181" s="19"/>
      <c r="F181" s="19"/>
      <c r="G181" s="19">
        <f t="shared" si="4"/>
        <v>-1510</v>
      </c>
    </row>
    <row r="182" spans="1:7" x14ac:dyDescent="0.3">
      <c r="A182" s="11"/>
      <c r="B182" s="18"/>
      <c r="C182" s="18"/>
      <c r="D182" s="18"/>
      <c r="E182" s="18"/>
      <c r="F182" s="18"/>
      <c r="G182" s="18">
        <f t="shared" si="4"/>
        <v>-1510</v>
      </c>
    </row>
    <row r="183" spans="1:7" x14ac:dyDescent="0.3">
      <c r="A183" s="12"/>
      <c r="B183" s="19"/>
      <c r="C183" s="19"/>
      <c r="D183" s="19"/>
      <c r="E183" s="19"/>
      <c r="F183" s="19"/>
      <c r="G183" s="19">
        <f t="shared" si="4"/>
        <v>-1510</v>
      </c>
    </row>
    <row r="184" spans="1:7" x14ac:dyDescent="0.3">
      <c r="A184" s="11"/>
      <c r="B184" s="18"/>
      <c r="C184" s="18"/>
      <c r="D184" s="18"/>
      <c r="E184" s="18"/>
      <c r="F184" s="18"/>
      <c r="G184" s="18">
        <f t="shared" si="4"/>
        <v>-1510</v>
      </c>
    </row>
    <row r="185" spans="1:7" x14ac:dyDescent="0.3">
      <c r="A185" s="12"/>
      <c r="B185" s="19"/>
      <c r="C185" s="19"/>
      <c r="D185" s="19"/>
      <c r="E185" s="19"/>
      <c r="F185" s="19"/>
      <c r="G185" s="19">
        <f t="shared" si="4"/>
        <v>-1510</v>
      </c>
    </row>
    <row r="186" spans="1:7" x14ac:dyDescent="0.3">
      <c r="A186" s="11"/>
      <c r="B186" s="18"/>
      <c r="C186" s="18"/>
      <c r="D186" s="18"/>
      <c r="E186" s="18"/>
      <c r="F186" s="18"/>
      <c r="G186" s="18">
        <f t="shared" si="4"/>
        <v>-1510</v>
      </c>
    </row>
    <row r="187" spans="1:7" x14ac:dyDescent="0.3">
      <c r="A187" s="12"/>
      <c r="B187" s="19"/>
      <c r="C187" s="19"/>
      <c r="D187" s="19"/>
      <c r="E187" s="19"/>
      <c r="F187" s="19"/>
      <c r="G187" s="19">
        <f t="shared" si="4"/>
        <v>-1510</v>
      </c>
    </row>
    <row r="188" spans="1:7" x14ac:dyDescent="0.3">
      <c r="A188" s="11"/>
      <c r="B188" s="18"/>
      <c r="C188" s="18"/>
      <c r="D188" s="18"/>
      <c r="E188" s="18"/>
      <c r="F188" s="18"/>
      <c r="G188" s="18">
        <f t="shared" si="4"/>
        <v>-1510</v>
      </c>
    </row>
    <row r="189" spans="1:7" x14ac:dyDescent="0.3">
      <c r="A189" s="12"/>
      <c r="B189" s="19"/>
      <c r="C189" s="19"/>
      <c r="D189" s="19"/>
      <c r="E189" s="19"/>
      <c r="F189" s="19"/>
      <c r="G189" s="19">
        <f t="shared" si="4"/>
        <v>-1510</v>
      </c>
    </row>
    <row r="190" spans="1:7" x14ac:dyDescent="0.3">
      <c r="A190" s="11"/>
      <c r="B190" s="18"/>
      <c r="C190" s="18"/>
      <c r="D190" s="18"/>
      <c r="E190" s="18"/>
      <c r="F190" s="18"/>
      <c r="G190" s="18">
        <f t="shared" si="4"/>
        <v>-1510</v>
      </c>
    </row>
    <row r="191" spans="1:7" x14ac:dyDescent="0.3">
      <c r="A191" s="12"/>
      <c r="B191" s="19"/>
      <c r="C191" s="19"/>
      <c r="D191" s="19"/>
      <c r="E191" s="19"/>
      <c r="F191" s="19"/>
      <c r="G191" s="19">
        <f t="shared" si="4"/>
        <v>-1510</v>
      </c>
    </row>
    <row r="192" spans="1:7" x14ac:dyDescent="0.3">
      <c r="A192" s="11"/>
      <c r="B192" s="18"/>
      <c r="C192" s="18"/>
      <c r="D192" s="18"/>
      <c r="E192" s="18"/>
      <c r="F192" s="18"/>
      <c r="G192" s="18">
        <f t="shared" si="4"/>
        <v>-1510</v>
      </c>
    </row>
    <row r="193" spans="1:7" x14ac:dyDescent="0.3">
      <c r="A193" s="12"/>
      <c r="B193" s="19"/>
      <c r="C193" s="19"/>
      <c r="D193" s="19"/>
      <c r="E193" s="19"/>
      <c r="F193" s="19"/>
      <c r="G193" s="19">
        <f t="shared" si="4"/>
        <v>-1510</v>
      </c>
    </row>
    <row r="194" spans="1:7" x14ac:dyDescent="0.3">
      <c r="A194" s="11"/>
      <c r="B194" s="18"/>
      <c r="C194" s="18"/>
      <c r="D194" s="18"/>
      <c r="E194" s="18"/>
      <c r="F194" s="18"/>
      <c r="G194" s="18">
        <f t="shared" si="4"/>
        <v>-1510</v>
      </c>
    </row>
    <row r="195" spans="1:7" x14ac:dyDescent="0.3">
      <c r="A195" s="12"/>
      <c r="B195" s="19"/>
      <c r="C195" s="19"/>
      <c r="D195" s="19"/>
      <c r="E195" s="19"/>
      <c r="F195" s="19"/>
      <c r="G195" s="19">
        <f t="shared" si="4"/>
        <v>-1510</v>
      </c>
    </row>
    <row r="196" spans="1:7" x14ac:dyDescent="0.3">
      <c r="A196" s="11"/>
      <c r="B196" s="18"/>
      <c r="C196" s="18"/>
      <c r="D196" s="18"/>
      <c r="E196" s="18"/>
      <c r="F196" s="18"/>
      <c r="G196" s="18">
        <f t="shared" si="4"/>
        <v>-1510</v>
      </c>
    </row>
    <row r="197" spans="1:7" x14ac:dyDescent="0.3">
      <c r="A197" s="12"/>
      <c r="B197" s="19"/>
      <c r="C197" s="19"/>
      <c r="D197" s="19"/>
      <c r="E197" s="19"/>
      <c r="F197" s="19"/>
      <c r="G197" s="19">
        <f t="shared" si="4"/>
        <v>-1510</v>
      </c>
    </row>
    <row r="198" spans="1:7" x14ac:dyDescent="0.3">
      <c r="A198" s="11"/>
      <c r="B198" s="18"/>
      <c r="C198" s="18" t="s">
        <v>20</v>
      </c>
      <c r="D198" s="18" t="s">
        <v>19</v>
      </c>
      <c r="E198" s="18"/>
      <c r="F198" s="18"/>
      <c r="G198" s="18">
        <f t="shared" si="4"/>
        <v>-1510</v>
      </c>
    </row>
    <row r="199" spans="1:7" x14ac:dyDescent="0.3">
      <c r="A199" s="12"/>
      <c r="B199" s="19"/>
      <c r="C199" s="19"/>
      <c r="D199" s="19"/>
      <c r="E199" s="19"/>
      <c r="F199" s="19"/>
      <c r="G199" s="19">
        <f t="shared" si="4"/>
        <v>-1510</v>
      </c>
    </row>
    <row r="201" spans="1:7" x14ac:dyDescent="0.3">
      <c r="E201" s="21" t="s">
        <v>64</v>
      </c>
      <c r="F201" s="22">
        <v>-1510</v>
      </c>
    </row>
    <row r="202" spans="1:7" x14ac:dyDescent="0.3">
      <c r="E202" s="21" t="s">
        <v>65</v>
      </c>
      <c r="F202" s="22">
        <f>G198</f>
        <v>-1510</v>
      </c>
    </row>
    <row r="203" spans="1:7" x14ac:dyDescent="0.3">
      <c r="E203" s="21" t="s">
        <v>69</v>
      </c>
      <c r="F203" s="22">
        <f>F202-F201</f>
        <v>0</v>
      </c>
    </row>
  </sheetData>
  <sheetProtection algorithmName="SHA-512" hashValue="F7zr8dJfxroRKm2qvljEpKcmpjlXoAp39jz9mVK/aHIk4BqndV6AzhWCs+jiInTIgXdzom1rkYrgUVARdKu9Lg==" saltValue="hZvy1aM7ydpa7WkqlbQyqw==" spinCount="100000" sheet="1" objects="1" scenarios="1"/>
  <dataValidations count="2">
    <dataValidation type="list" allowBlank="1" showInputMessage="1" showErrorMessage="1" sqref="C86 C88 C90 C92 C94 C96 C98:C198 C2:C84">
      <formula1>INDIRECT(D2)</formula1>
    </dataValidation>
    <dataValidation type="list" allowBlank="1" showInputMessage="1" showErrorMessage="1" sqref="D86 D88 D90 D92 D94 D96 D98:D198 D2:D84">
      <formula1>"Operating, Investing, Financing, Summary"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"/>
  <sheetViews>
    <sheetView topLeftCell="A16" workbookViewId="0">
      <selection activeCell="B25" sqref="B25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66</v>
      </c>
      <c r="C6" s="7" t="s">
        <v>24</v>
      </c>
    </row>
    <row r="7" spans="1:3" ht="33" x14ac:dyDescent="0.3">
      <c r="A7" s="4" t="s">
        <v>7</v>
      </c>
      <c r="B7" s="5" t="s">
        <v>77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4" t="s">
        <v>9</v>
      </c>
      <c r="B19" s="5" t="s">
        <v>14</v>
      </c>
      <c r="C19" s="8" t="s">
        <v>31</v>
      </c>
    </row>
    <row r="20" spans="1:3" x14ac:dyDescent="0.3">
      <c r="A20" s="1" t="s">
        <v>8</v>
      </c>
      <c r="B20" s="2" t="s">
        <v>15</v>
      </c>
      <c r="C20" s="7" t="s">
        <v>32</v>
      </c>
    </row>
    <row r="21" spans="1:3" x14ac:dyDescent="0.3">
      <c r="A21" s="4" t="s">
        <v>8</v>
      </c>
      <c r="B21" s="5" t="s">
        <v>16</v>
      </c>
      <c r="C21" s="8" t="s">
        <v>33</v>
      </c>
    </row>
    <row r="22" spans="1:3" ht="33" x14ac:dyDescent="0.3">
      <c r="A22" s="1" t="s">
        <v>8</v>
      </c>
      <c r="B22" s="2" t="s">
        <v>17</v>
      </c>
      <c r="C22" s="7" t="s">
        <v>34</v>
      </c>
    </row>
    <row r="23" spans="1:3" x14ac:dyDescent="0.3">
      <c r="A23" s="4" t="s">
        <v>19</v>
      </c>
      <c r="B23" s="5" t="s">
        <v>18</v>
      </c>
      <c r="C23" s="8" t="s">
        <v>35</v>
      </c>
    </row>
    <row r="24" spans="1:3" x14ac:dyDescent="0.3">
      <c r="A24" s="4" t="s">
        <v>19</v>
      </c>
      <c r="B24" s="5" t="s">
        <v>46</v>
      </c>
      <c r="C24" s="8"/>
    </row>
    <row r="25" spans="1:3" x14ac:dyDescent="0.3">
      <c r="A25" s="1" t="s">
        <v>19</v>
      </c>
      <c r="B25" s="2" t="s">
        <v>20</v>
      </c>
      <c r="C25" s="7" t="s">
        <v>36</v>
      </c>
    </row>
    <row r="26" spans="1:3" x14ac:dyDescent="0.3">
      <c r="A26" s="4"/>
      <c r="B26" s="5" t="s">
        <v>43</v>
      </c>
      <c r="C26" s="8"/>
    </row>
    <row r="27" spans="1:3" x14ac:dyDescent="0.3">
      <c r="A27" s="1"/>
      <c r="B27" s="2" t="s">
        <v>44</v>
      </c>
      <c r="C27" s="7"/>
    </row>
    <row r="28" spans="1:3" x14ac:dyDescent="0.3">
      <c r="A28" s="4"/>
      <c r="B28" s="5"/>
      <c r="C28" s="8"/>
    </row>
    <row r="29" spans="1:3" x14ac:dyDescent="0.3">
      <c r="A29" s="1"/>
      <c r="B29" s="2"/>
      <c r="C29" s="7"/>
    </row>
    <row r="30" spans="1:3" x14ac:dyDescent="0.3">
      <c r="A30" s="4"/>
      <c r="B30" s="5"/>
      <c r="C30" s="8"/>
    </row>
    <row r="31" spans="1:3" x14ac:dyDescent="0.3">
      <c r="A31" s="1"/>
      <c r="B31" s="2"/>
      <c r="C31" s="7"/>
    </row>
    <row r="32" spans="1:3" x14ac:dyDescent="0.3">
      <c r="A32" s="4"/>
      <c r="B32" s="5"/>
      <c r="C32" s="8"/>
    </row>
    <row r="33" spans="1:3" x14ac:dyDescent="0.3">
      <c r="A33" s="1"/>
      <c r="B33" s="2"/>
      <c r="C33" s="7"/>
    </row>
    <row r="34" spans="1:3" x14ac:dyDescent="0.3">
      <c r="A34" s="4"/>
      <c r="B34" s="5"/>
      <c r="C34" s="8"/>
    </row>
    <row r="35" spans="1:3" x14ac:dyDescent="0.3">
      <c r="A35" s="1"/>
      <c r="B35" s="2"/>
      <c r="C35" s="7"/>
    </row>
    <row r="36" spans="1:3" x14ac:dyDescent="0.3">
      <c r="A36" s="4"/>
      <c r="B36" s="5"/>
      <c r="C36" s="8"/>
    </row>
    <row r="37" spans="1:3" x14ac:dyDescent="0.3">
      <c r="A37" s="1"/>
      <c r="B37" s="2"/>
      <c r="C37" s="7"/>
    </row>
    <row r="38" spans="1:3" x14ac:dyDescent="0.3">
      <c r="A38" s="4"/>
      <c r="B38" s="5"/>
      <c r="C38" s="8"/>
    </row>
    <row r="39" spans="1:3" x14ac:dyDescent="0.3">
      <c r="A39" s="1"/>
      <c r="B39" s="2"/>
      <c r="C39" s="7"/>
    </row>
    <row r="40" spans="1:3" x14ac:dyDescent="0.3">
      <c r="A40" s="4"/>
      <c r="B40" s="5"/>
      <c r="C40" s="8"/>
    </row>
    <row r="41" spans="1:3" x14ac:dyDescent="0.3">
      <c r="A41" s="1"/>
      <c r="B41" s="2"/>
      <c r="C41" s="7"/>
    </row>
    <row r="42" spans="1:3" x14ac:dyDescent="0.3">
      <c r="A42" s="4"/>
      <c r="B42" s="5"/>
      <c r="C42" s="8"/>
    </row>
    <row r="43" spans="1:3" x14ac:dyDescent="0.3">
      <c r="A43" s="1"/>
      <c r="B43" s="2"/>
      <c r="C43" s="7"/>
    </row>
    <row r="44" spans="1:3" x14ac:dyDescent="0.3">
      <c r="A44" s="4"/>
      <c r="B44" s="5"/>
      <c r="C44" s="8"/>
    </row>
    <row r="45" spans="1:3" x14ac:dyDescent="0.3">
      <c r="A45" s="1"/>
      <c r="B45" s="2"/>
      <c r="C45" s="7"/>
    </row>
    <row r="46" spans="1:3" x14ac:dyDescent="0.3">
      <c r="A46" s="4"/>
      <c r="B46" s="5"/>
      <c r="C46" s="8"/>
    </row>
    <row r="47" spans="1:3" x14ac:dyDescent="0.3">
      <c r="A47" s="1"/>
      <c r="B47" s="2"/>
      <c r="C4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2026-07-02T07:47:12Z</dcterms:modified>
</cp:coreProperties>
</file>