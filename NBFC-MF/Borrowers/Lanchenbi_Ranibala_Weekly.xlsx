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6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" i="6" l="1"/>
  <c r="K17" i="6" s="1"/>
  <c r="K8" i="6"/>
  <c r="B3" i="6"/>
  <c r="B4" i="6" s="1"/>
  <c r="K2" i="6"/>
  <c r="B2" i="6"/>
  <c r="E2" i="6" s="1"/>
  <c r="B5" i="6" l="1"/>
  <c r="D4" i="6"/>
  <c r="D3" i="6"/>
  <c r="D2" i="6"/>
  <c r="F2" i="6" s="1"/>
  <c r="G2" i="6" s="1"/>
  <c r="B18" i="5"/>
  <c r="B17" i="5"/>
  <c r="B16" i="5"/>
  <c r="B15" i="5"/>
  <c r="B14" i="5"/>
  <c r="B13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E3" i="6" l="1"/>
  <c r="F3" i="6" s="1"/>
  <c r="G3" i="6" s="1"/>
  <c r="H2" i="6"/>
  <c r="B6" i="6"/>
  <c r="D5" i="6"/>
  <c r="K16" i="5"/>
  <c r="K2" i="5"/>
  <c r="E4" i="6" l="1"/>
  <c r="F4" i="6" s="1"/>
  <c r="G4" i="6" s="1"/>
  <c r="H3" i="6"/>
  <c r="B7" i="6"/>
  <c r="D6" i="6"/>
  <c r="K17" i="5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H4" i="6" l="1"/>
  <c r="E5" i="6"/>
  <c r="F5" i="6" s="1"/>
  <c r="G5" i="6" s="1"/>
  <c r="B8" i="6"/>
  <c r="D7" i="6"/>
  <c r="K13" i="5"/>
  <c r="K8" i="5"/>
  <c r="E2" i="5" s="1"/>
  <c r="F2" i="5" s="1"/>
  <c r="G2" i="5" s="1"/>
  <c r="H2" i="5" s="1"/>
  <c r="H5" i="6" l="1"/>
  <c r="E6" i="6"/>
  <c r="F6" i="6" s="1"/>
  <c r="G6" i="6" s="1"/>
  <c r="B9" i="6"/>
  <c r="D8" i="6"/>
  <c r="E3" i="5"/>
  <c r="F3" i="5" s="1"/>
  <c r="G3" i="5" s="1"/>
  <c r="E4" i="5" s="1"/>
  <c r="F4" i="5" s="1"/>
  <c r="G4" i="5" s="1"/>
  <c r="H4" i="5" s="1"/>
  <c r="H6" i="6" l="1"/>
  <c r="E7" i="6"/>
  <c r="F7" i="6" s="1"/>
  <c r="G7" i="6"/>
  <c r="D9" i="6"/>
  <c r="B10" i="6"/>
  <c r="H3" i="5"/>
  <c r="E5" i="5"/>
  <c r="F5" i="5" s="1"/>
  <c r="G5" i="5" s="1"/>
  <c r="H7" i="6" l="1"/>
  <c r="E8" i="6"/>
  <c r="F8" i="6" s="1"/>
  <c r="G8" i="6" s="1"/>
  <c r="B11" i="6"/>
  <c r="D10" i="6"/>
  <c r="H5" i="5"/>
  <c r="E6" i="5"/>
  <c r="F6" i="5" s="1"/>
  <c r="G6" i="5" s="1"/>
  <c r="H6" i="5" s="1"/>
  <c r="H8" i="6" l="1"/>
  <c r="E9" i="6"/>
  <c r="F9" i="6" s="1"/>
  <c r="G9" i="6"/>
  <c r="D11" i="6"/>
  <c r="B12" i="6"/>
  <c r="E7" i="5"/>
  <c r="F7" i="5" s="1"/>
  <c r="G7" i="5" s="1"/>
  <c r="H7" i="5" s="1"/>
  <c r="B13" i="6" l="1"/>
  <c r="D12" i="6"/>
  <c r="H9" i="6"/>
  <c r="E10" i="6"/>
  <c r="F10" i="6" s="1"/>
  <c r="G10" i="6"/>
  <c r="E8" i="5"/>
  <c r="F8" i="5" s="1"/>
  <c r="G8" i="5" s="1"/>
  <c r="H8" i="5" s="1"/>
  <c r="H10" i="6" l="1"/>
  <c r="E11" i="6"/>
  <c r="F11" i="6" s="1"/>
  <c r="G11" i="6" s="1"/>
  <c r="B14" i="6"/>
  <c r="D13" i="6"/>
  <c r="E9" i="5"/>
  <c r="F9" i="5" s="1"/>
  <c r="G9" i="5" s="1"/>
  <c r="H9" i="5" s="1"/>
  <c r="H11" i="6" l="1"/>
  <c r="E12" i="6"/>
  <c r="F12" i="6" s="1"/>
  <c r="G12" i="6"/>
  <c r="D14" i="6"/>
  <c r="B15" i="6"/>
  <c r="E10" i="5"/>
  <c r="F10" i="5" s="1"/>
  <c r="G10" i="5" s="1"/>
  <c r="H10" i="5" s="1"/>
  <c r="D15" i="6" l="1"/>
  <c r="B16" i="6"/>
  <c r="H12" i="6"/>
  <c r="G13" i="6"/>
  <c r="E13" i="6"/>
  <c r="F13" i="6" s="1"/>
  <c r="E11" i="5"/>
  <c r="F11" i="5" s="1"/>
  <c r="G11" i="5" s="1"/>
  <c r="H11" i="5" s="1"/>
  <c r="H13" i="6" l="1"/>
  <c r="E14" i="6"/>
  <c r="F14" i="6" s="1"/>
  <c r="G14" i="6"/>
  <c r="B17" i="6"/>
  <c r="D16" i="6"/>
  <c r="E12" i="5"/>
  <c r="F12" i="5" s="1"/>
  <c r="G12" i="5" s="1"/>
  <c r="H12" i="5" s="1"/>
  <c r="H14" i="6" l="1"/>
  <c r="E15" i="6"/>
  <c r="F15" i="6" s="1"/>
  <c r="G15" i="6"/>
  <c r="B18" i="6"/>
  <c r="D17" i="6"/>
  <c r="E13" i="5"/>
  <c r="F13" i="5" s="1"/>
  <c r="G13" i="5" s="1"/>
  <c r="H15" i="6" l="1"/>
  <c r="E16" i="6"/>
  <c r="F16" i="6" s="1"/>
  <c r="G16" i="6" s="1"/>
  <c r="D18" i="6"/>
  <c r="K12" i="6"/>
  <c r="H13" i="5"/>
  <c r="E14" i="5"/>
  <c r="F14" i="5" s="1"/>
  <c r="G14" i="5" s="1"/>
  <c r="H14" i="5" s="1"/>
  <c r="H16" i="6" l="1"/>
  <c r="E17" i="6"/>
  <c r="F17" i="6" s="1"/>
  <c r="G17" i="6" s="1"/>
  <c r="K13" i="6"/>
  <c r="E15" i="5"/>
  <c r="F15" i="5" s="1"/>
  <c r="G15" i="5" s="1"/>
  <c r="H15" i="5" s="1"/>
  <c r="H17" i="6" l="1"/>
  <c r="E18" i="6"/>
  <c r="F18" i="6" s="1"/>
  <c r="G18" i="6" s="1"/>
  <c r="E16" i="5"/>
  <c r="F16" i="5" s="1"/>
  <c r="G16" i="5" s="1"/>
  <c r="H18" i="6" l="1"/>
  <c r="K15" i="6" s="1"/>
  <c r="K14" i="6"/>
  <c r="H16" i="5"/>
  <c r="E17" i="5"/>
  <c r="F17" i="5" s="1"/>
  <c r="G17" i="5" s="1"/>
  <c r="H17" i="5" l="1"/>
  <c r="E18" i="5"/>
  <c r="F18" i="5" s="1"/>
  <c r="G18" i="5" s="1"/>
  <c r="H18" i="5" s="1"/>
  <c r="K15" i="5" s="1"/>
  <c r="K14" i="5" l="1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<sst xmlns="http://schemas.openxmlformats.org/spreadsheetml/2006/main" count="50" uniqueCount="24">
  <si>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</si>
  <si>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</si>
  <si>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</si>
  <si>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</si>
  <si>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</si>
  <si>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</si>
  <si>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</si>
  <si>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</si>
  <si>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</si>
  <si>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</si>
  <si>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</si>
  <si>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</si>
  <si>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</si>
  <si>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</si>
  <si>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</si>
  <si>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</si>
  <si>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</si>
  <si>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</si>
  <si>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</si>
  <si>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</si>
  <si>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</si>
  <si>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Lanchenbi_Ranibala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</si>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</sst>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4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46101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L20000W17-Lanchenbi_Ranibala-NLoan1</v>
      </c>
    </row>
    <row r="3" spans="1:11" x14ac:dyDescent="0.3">
      <c r="A3" s="19">
        <v>46108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21</v>
      </c>
    </row>
    <row r="4" spans="1:11" x14ac:dyDescent="0.3">
      <c r="A4" s="2">
        <v>46115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46125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>
        <v>46136</v>
      </c>
      <c r="B7" s="23">
        <f t="shared" si="3"/>
        <v>6</v>
      </c>
      <c r="C7" s="20"/>
      <c r="D7" s="21">
        <f t="shared" si="0"/>
        <v>1400</v>
      </c>
      <c r="E7" s="21">
        <f t="shared" si="1"/>
        <v>296.77896817115123</v>
      </c>
      <c r="F7" s="21">
        <f t="shared" si="4"/>
        <v>1103.2210318288487</v>
      </c>
      <c r="G7" s="21">
        <f t="shared" si="5"/>
        <v>13697.569400122526</v>
      </c>
      <c r="H7" s="21">
        <f t="shared" si="2"/>
        <v>6302.4305998774744</v>
      </c>
      <c r="J7" s="4" t="s">
        <v>6</v>
      </c>
      <c r="K7" s="27">
        <v>20000</v>
      </c>
    </row>
    <row r="8" spans="1:11" x14ac:dyDescent="0.3">
      <c r="A8" s="2">
        <v>46150</v>
      </c>
      <c r="B8" s="22">
        <f t="shared" si="3"/>
        <v>7</v>
      </c>
      <c r="C8" s="3"/>
      <c r="D8" s="1">
        <f t="shared" si="0"/>
        <v>1400</v>
      </c>
      <c r="E8" s="1">
        <f t="shared" si="1"/>
        <v>274.657663164084</v>
      </c>
      <c r="F8" s="1">
        <f t="shared" si="4"/>
        <v>1125.3423368359161</v>
      </c>
      <c r="G8" s="1">
        <f t="shared" si="5"/>
        <v>12572.227063286609</v>
      </c>
      <c r="H8" s="1">
        <f t="shared" si="2"/>
        <v>7427.7729367133907</v>
      </c>
      <c r="J8" s="4" t="s">
        <v>14</v>
      </c>
      <c r="K8" s="6">
        <f>RATE(K10,-K9,K7)</f>
        <v>2.0051562079446531E-2</v>
      </c>
    </row>
    <row r="9" spans="1:11" x14ac:dyDescent="0.3">
      <c r="A9" s="19">
        <v>46157</v>
      </c>
      <c r="B9" s="23">
        <f t="shared" si="3"/>
        <v>8</v>
      </c>
      <c r="C9" s="20"/>
      <c r="D9" s="21">
        <f t="shared" si="0"/>
        <v>1400</v>
      </c>
      <c r="E9" s="21">
        <f t="shared" si="1"/>
        <v>252.09279143638921</v>
      </c>
      <c r="F9" s="21">
        <f t="shared" si="4"/>
        <v>1147.9072085636108</v>
      </c>
      <c r="G9" s="21">
        <f t="shared" si="5"/>
        <v>11424.319854722999</v>
      </c>
      <c r="H9" s="21">
        <f t="shared" si="2"/>
        <v>8575.6801452770014</v>
      </c>
      <c r="J9" s="4" t="s">
        <v>7</v>
      </c>
      <c r="K9" s="28">
        <v>1400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1400</v>
      </c>
      <c r="E10" s="1">
        <f t="shared" si="1"/>
        <v>229.07545878243178</v>
      </c>
      <c r="F10" s="1">
        <f t="shared" si="4"/>
        <v>1170.9245412175683</v>
      </c>
      <c r="G10" s="1">
        <f t="shared" si="5"/>
        <v>10253.395313505431</v>
      </c>
      <c r="H10" s="1">
        <f t="shared" si="2"/>
        <v>9746.6046864945693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1400</v>
      </c>
      <c r="E11" s="21">
        <f t="shared" si="1"/>
        <v>205.59659265386028</v>
      </c>
      <c r="F11" s="21">
        <f t="shared" si="4"/>
        <v>1194.4034073461398</v>
      </c>
      <c r="G11" s="21">
        <f t="shared" si="5"/>
        <v>9058.9919061592918</v>
      </c>
      <c r="H11" s="21">
        <f t="shared" si="2"/>
        <v>10941.008093840708</v>
      </c>
      <c r="J11" s="14"/>
    </row>
    <row r="12" spans="1:11" x14ac:dyDescent="0.3">
      <c r="A12" s="2">
        <v>46178</v>
      </c>
      <c r="B12" s="22">
        <f t="shared" si="3"/>
        <v>11</v>
      </c>
      <c r="C12" s="3"/>
      <c r="D12" s="1">
        <f t="shared" si="0"/>
        <v>1400</v>
      </c>
      <c r="E12" s="1">
        <f t="shared" si="1"/>
        <v>181.6469385835567</v>
      </c>
      <c r="F12" s="1">
        <f t="shared" si="4"/>
        <v>1218.3530614164433</v>
      </c>
      <c r="G12" s="1">
        <f t="shared" si="5"/>
        <v>7840.638844742849</v>
      </c>
      <c r="H12" s="1">
        <f t="shared" si="2"/>
        <v>12159.361155257151</v>
      </c>
      <c r="J12" s="8" t="s">
        <v>16</v>
      </c>
      <c r="K12" s="9">
        <f>IFERROR(MAX($B:$B),"")</f>
        <v>17</v>
      </c>
    </row>
    <row r="13" spans="1:11" x14ac:dyDescent="0.3">
      <c r="A13" s="19">
        <v>46185</v>
      </c>
      <c r="B13" s="23">
        <f t="shared" si="3"/>
        <v>12</v>
      </c>
      <c r="C13" s="20"/>
      <c r="D13" s="21">
        <f t="shared" si="0"/>
        <v>1400</v>
      </c>
      <c r="E13" s="21">
        <f t="shared" si="1"/>
        <v>157.21705653788118</v>
      </c>
      <c r="F13" s="21">
        <f t="shared" si="4"/>
        <v>1242.7829434621187</v>
      </c>
      <c r="G13" s="21">
        <f t="shared" si="5"/>
        <v>6597.85590128073</v>
      </c>
      <c r="H13" s="21">
        <f t="shared" si="2"/>
        <v>13402.144098719269</v>
      </c>
      <c r="J13" s="24" t="s">
        <v>22</v>
      </c>
      <c r="K13" s="11">
        <f>(K10*K9)-K9*K12</f>
        <v>0</v>
      </c>
    </row>
    <row r="14" spans="1:11" x14ac:dyDescent="0.3">
      <c r="A14" s="2">
        <v>46194</v>
      </c>
      <c r="B14" s="22">
        <f t="shared" si="3"/>
        <v>13</v>
      </c>
      <c r="C14" s="3"/>
      <c r="D14" s="1">
        <f t="shared" si="0"/>
        <v>1400</v>
      </c>
      <c r="E14" s="1">
        <f t="shared" si="1"/>
        <v>132.29731719577319</v>
      </c>
      <c r="F14" s="1">
        <f t="shared" si="4"/>
        <v>1267.7026828042267</v>
      </c>
      <c r="G14" s="1">
        <f t="shared" si="5"/>
        <v>5330.1532184765038</v>
      </c>
      <c r="H14" s="1">
        <f t="shared" si="2"/>
        <v>14669.846781523496</v>
      </c>
      <c r="J14" s="10" t="s">
        <v>23</v>
      </c>
      <c r="K14" s="11">
        <f>IF(A2="", K9*K10, IFERROR(INDEX($G:$G, MATCH($K$12, $B:$B, 0)), 0))</f>
        <v>9.1336005425546318E-10</v>
      </c>
    </row>
    <row r="15" spans="1:11" ht="17.25" thickBot="1" x14ac:dyDescent="0.35">
      <c r="A15" s="19">
        <v>46202</v>
      </c>
      <c r="B15" s="23">
        <f t="shared" si="3"/>
        <v>14</v>
      </c>
      <c r="C15" s="20"/>
      <c r="D15" s="21">
        <f t="shared" si="0"/>
        <v>1400</v>
      </c>
      <c r="E15" s="21">
        <f t="shared" si="1"/>
        <v>106.87789815324335</v>
      </c>
      <c r="F15" s="21">
        <f t="shared" si="4"/>
        <v>1293.1221018467566</v>
      </c>
      <c r="G15" s="21">
        <f t="shared" si="5"/>
        <v>4037.031116629747</v>
      </c>
      <c r="H15" s="21">
        <f t="shared" si="2"/>
        <v>15962.968883370253</v>
      </c>
      <c r="J15" s="12" t="s">
        <v>5</v>
      </c>
      <c r="K15" s="13">
        <f>IFERROR(INDEX($H:$H, MATCH($K$12, $B:$B, 0)), 0)</f>
        <v>19999.999999999087</v>
      </c>
    </row>
    <row r="16" spans="1:11" x14ac:dyDescent="0.3">
      <c r="A16" s="2">
        <v>46202</v>
      </c>
      <c r="B16" s="22">
        <f t="shared" si="3"/>
        <v>15</v>
      </c>
      <c r="C16" s="3"/>
      <c r="D16" s="1">
        <f t="shared" si="0"/>
        <v>1400</v>
      </c>
      <c r="E16" s="1">
        <f t="shared" si="1"/>
        <v>80.948780051758717</v>
      </c>
      <c r="F16" s="1">
        <f t="shared" si="4"/>
        <v>1319.0512199482414</v>
      </c>
      <c r="G16" s="1">
        <f t="shared" si="5"/>
        <v>2717.9798966815056</v>
      </c>
      <c r="H16" s="1">
        <f t="shared" si="2"/>
        <v>17282.020103318493</v>
      </c>
      <c r="J16" s="15" t="s">
        <v>18</v>
      </c>
      <c r="K16" s="16">
        <f>IF(A2,A2, "")</f>
        <v>46101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1400</v>
      </c>
      <c r="E17" s="21">
        <f t="shared" si="1"/>
        <v>54.499742628996877</v>
      </c>
      <c r="F17" s="21">
        <f t="shared" si="4"/>
        <v>1345.500257371003</v>
      </c>
      <c r="G17" s="21">
        <f t="shared" si="5"/>
        <v>1372.4796393105025</v>
      </c>
      <c r="H17" s="21">
        <f t="shared" si="2"/>
        <v>18627.520360689497</v>
      </c>
      <c r="J17" s="17" t="s">
        <v>19</v>
      </c>
      <c r="K17" s="18">
        <f xml:space="preserve"> IF(A2,(K16 + (17*7)),"")</f>
        <v>46220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1400</v>
      </c>
      <c r="E18" s="1">
        <f t="shared" si="1"/>
        <v>27.520360690410925</v>
      </c>
      <c r="F18" s="1">
        <f t="shared" si="4"/>
        <v>1372.4796393095892</v>
      </c>
      <c r="G18" s="1">
        <f t="shared" si="5"/>
        <v>9.1336005425546318E-10</v>
      </c>
      <c r="H18" s="1">
        <f t="shared" si="2"/>
        <v>19999.999999999087</v>
      </c>
    </row>
  </sheetData>
  <sheetProtection algorithmName="SHA-512" hashValue="in3iPo8YRcxuaoBL1gMnHGIZ3JIYmosgYL9lbbEP/r44mwQKKf04aDpxi0aMkUKYK4wZaARJDTW3FZZsmhVIIw==" saltValue="kAN4SYNecCWwAT4JWHDhvw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topLeftCell="A4" workbookViewId="0">
      <selection activeCell="A7" sqref="A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700</v>
      </c>
      <c r="E2" s="1">
        <f>IF(AND($A2&lt;&gt;"",$B2&lt;&gt;""),$K$7*$K$8,"")</f>
        <v>200.51562079446532</v>
      </c>
      <c r="F2" s="1">
        <f>IF(AND($A2&lt;&gt;"",$B2&lt;&gt;""),D2-E2,"")</f>
        <v>499.48437920553465</v>
      </c>
      <c r="G2" s="1">
        <f>IF(AND($A2&lt;&gt;"",$B2&lt;&gt;""),$K$7-F2,"")</f>
        <v>9500.5156207944656</v>
      </c>
      <c r="H2" s="1">
        <f>IF(AND($A2&lt;&gt;"",$B2&lt;&gt;""),$K$7-G2,"")</f>
        <v>499.48437920553442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L10000W17-Lanchenbi_Ranibala-N196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700</v>
      </c>
      <c r="E3" s="21">
        <f t="shared" ref="E3:E18" si="1">IF(AND($A3&lt;&gt;"",$B3&lt;&gt;""),G2*$K$8,"")</f>
        <v>190.50017875711171</v>
      </c>
      <c r="F3" s="21">
        <f>IF(AND($A3&lt;&gt;"",$B3&lt;&gt;""),D3-E3,"")</f>
        <v>509.49982124288829</v>
      </c>
      <c r="G3" s="21">
        <f>IF(AND($A3&lt;&gt;"",$B3&lt;&gt;""),G2-F3,"")</f>
        <v>8991.0157995515765</v>
      </c>
      <c r="H3" s="21">
        <f t="shared" ref="H3:H18" si="2">IF(AND($A3&lt;&gt;"",$B3&lt;&gt;""),$K$7-G3,"")</f>
        <v>1008.9842004484235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700</v>
      </c>
      <c r="E4" s="1">
        <f t="shared" si="1"/>
        <v>180.28391146199303</v>
      </c>
      <c r="F4" s="1">
        <f t="shared" ref="F4:F18" si="4">IF(AND($A4&lt;&gt;"",$B4&lt;&gt;""),D4-E4,"")</f>
        <v>519.71608853800694</v>
      </c>
      <c r="G4" s="1">
        <f t="shared" ref="G4:G18" si="5">IF(AND($A4&lt;&gt;"",$B4&lt;&gt;""),G3-F4,"")</f>
        <v>8471.2997110135693</v>
      </c>
      <c r="H4" s="1">
        <f t="shared" si="2"/>
        <v>1528.7002889864307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700</v>
      </c>
      <c r="E5" s="21">
        <f t="shared" si="1"/>
        <v>169.86279204898605</v>
      </c>
      <c r="F5" s="21">
        <f t="shared" si="4"/>
        <v>530.13720795101392</v>
      </c>
      <c r="G5" s="21">
        <f t="shared" si="5"/>
        <v>7941.1625030625555</v>
      </c>
      <c r="H5" s="21">
        <f t="shared" si="2"/>
        <v>2058.8374969374445</v>
      </c>
      <c r="J5" s="4" t="s">
        <v>12</v>
      </c>
      <c r="K5" s="26"/>
    </row>
    <row r="6" spans="1:11" x14ac:dyDescent="0.3">
      <c r="A6" s="2">
        <v>46236</v>
      </c>
      <c r="B6" s="22">
        <f t="shared" si="3"/>
        <v>5</v>
      </c>
      <c r="C6" s="3"/>
      <c r="D6" s="1">
        <f t="shared" si="0"/>
        <v>700</v>
      </c>
      <c r="E6" s="1">
        <f t="shared" si="1"/>
        <v>159.23271291313185</v>
      </c>
      <c r="F6" s="1">
        <f t="shared" si="4"/>
        <v>540.76728708686812</v>
      </c>
      <c r="G6" s="1">
        <f t="shared" si="5"/>
        <v>7400.3952159756873</v>
      </c>
      <c r="H6" s="1">
        <f t="shared" si="2"/>
        <v>2599.6047840243127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8400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7400.3952159756873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2599.6047840243127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2026-09-02T05:29:27Z</dcterms:modified>
</cp:coreProperties>
</file>