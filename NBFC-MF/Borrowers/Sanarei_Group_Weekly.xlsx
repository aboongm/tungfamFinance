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195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6" l="1"/>
  <c r="E2" i="6" s="1"/>
  <c r="K2" i="6"/>
  <c r="B3" i="6"/>
  <c r="D3" i="6" s="1"/>
  <c r="K8" i="6"/>
  <c r="K16" i="6"/>
  <c r="K17" i="6"/>
  <c r="D2" i="6" l="1"/>
  <c r="F2" i="6" s="1"/>
  <c r="G2" i="6" s="1"/>
  <c r="H2" i="6" s="1"/>
  <c r="B4" i="6"/>
  <c r="E3" i="6"/>
  <c r="F3" i="6" s="1"/>
  <c r="G3" i="6" s="1"/>
  <c r="H3" i="6" s="1"/>
  <c r="B18" i="5"/>
  <c r="B17" i="5"/>
  <c r="B16" i="5"/>
  <c r="B15" i="5"/>
  <c r="B14" i="5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E4" i="6" l="1"/>
  <c r="B5" i="6"/>
  <c r="D4" i="6"/>
  <c r="K16" i="5"/>
  <c r="K2" i="5"/>
  <c r="F4" i="6" l="1"/>
  <c r="G4" i="6" s="1"/>
  <c r="H4" i="6" s="1"/>
  <c r="D5" i="6"/>
  <c r="E5" i="6"/>
  <c r="B6" i="6"/>
  <c r="F5" i="6"/>
  <c r="G5" i="6" s="1"/>
  <c r="H5" i="6" s="1"/>
  <c r="K17" i="5"/>
  <c r="K12" i="5"/>
  <c r="K13" i="5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E6" i="6" l="1"/>
  <c r="D6" i="6"/>
  <c r="B7" i="6"/>
  <c r="K8" i="5"/>
  <c r="E2" i="5" s="1"/>
  <c r="F2" i="5" s="1"/>
  <c r="G2" i="5" s="1"/>
  <c r="H2" i="5" s="1"/>
  <c r="F6" i="6" l="1"/>
  <c r="G6" i="6" s="1"/>
  <c r="H6" i="6" s="1"/>
  <c r="D7" i="6"/>
  <c r="E7" i="6"/>
  <c r="B8" i="6"/>
  <c r="E3" i="5"/>
  <c r="F3" i="5" s="1"/>
  <c r="G3" i="5" s="1"/>
  <c r="E4" i="5" s="1"/>
  <c r="F4" i="5" s="1"/>
  <c r="G4" i="5" s="1"/>
  <c r="H4" i="5" s="1"/>
  <c r="F7" i="6" l="1"/>
  <c r="G7" i="6" s="1"/>
  <c r="H7" i="6" s="1"/>
  <c r="B9" i="6"/>
  <c r="E8" i="6"/>
  <c r="D8" i="6"/>
  <c r="F8" i="6" s="1"/>
  <c r="G8" i="6" s="1"/>
  <c r="H8" i="6" s="1"/>
  <c r="H3" i="5"/>
  <c r="E5" i="5"/>
  <c r="F5" i="5" s="1"/>
  <c r="G5" i="5" s="1"/>
  <c r="D9" i="6" l="1"/>
  <c r="F9" i="6" s="1"/>
  <c r="G9" i="6" s="1"/>
  <c r="H9" i="6" s="1"/>
  <c r="E9" i="6"/>
  <c r="B10" i="6"/>
  <c r="H5" i="5"/>
  <c r="E6" i="5"/>
  <c r="F6" i="5" s="1"/>
  <c r="G6" i="5" s="1"/>
  <c r="H6" i="5" s="1"/>
  <c r="E10" i="6" l="1"/>
  <c r="B11" i="6"/>
  <c r="D10" i="6"/>
  <c r="F10" i="6" s="1"/>
  <c r="G10" i="6" s="1"/>
  <c r="H10" i="6" s="1"/>
  <c r="E7" i="5"/>
  <c r="F7" i="5" s="1"/>
  <c r="G7" i="5" s="1"/>
  <c r="H7" i="5" s="1"/>
  <c r="D11" i="6" l="1"/>
  <c r="E11" i="6"/>
  <c r="F11" i="6" s="1"/>
  <c r="G11" i="6" s="1"/>
  <c r="H11" i="6" s="1"/>
  <c r="B12" i="6"/>
  <c r="E8" i="5"/>
  <c r="F8" i="5" s="1"/>
  <c r="G8" i="5" s="1"/>
  <c r="H8" i="5" s="1"/>
  <c r="E12" i="6" l="1"/>
  <c r="B13" i="6"/>
  <c r="D12" i="6"/>
  <c r="F12" i="6" s="1"/>
  <c r="G12" i="6" s="1"/>
  <c r="H12" i="6" s="1"/>
  <c r="E9" i="5"/>
  <c r="F9" i="5" s="1"/>
  <c r="G9" i="5" s="1"/>
  <c r="H9" i="5" s="1"/>
  <c r="B14" i="6" l="1"/>
  <c r="E13" i="6"/>
  <c r="D13" i="6"/>
  <c r="E10" i="5"/>
  <c r="F10" i="5" s="1"/>
  <c r="G10" i="5" s="1"/>
  <c r="H10" i="5" s="1"/>
  <c r="F13" i="6" l="1"/>
  <c r="G13" i="6" s="1"/>
  <c r="H13" i="6" s="1"/>
  <c r="D14" i="6"/>
  <c r="E14" i="6"/>
  <c r="F14" i="6"/>
  <c r="G14" i="6" s="1"/>
  <c r="H14" i="6" s="1"/>
  <c r="B15" i="6"/>
  <c r="E11" i="5"/>
  <c r="F11" i="5" s="1"/>
  <c r="G11" i="5" s="1"/>
  <c r="H11" i="5" s="1"/>
  <c r="D15" i="6" l="1"/>
  <c r="E15" i="6"/>
  <c r="B16" i="6"/>
  <c r="E12" i="5"/>
  <c r="F12" i="5" s="1"/>
  <c r="G12" i="5" s="1"/>
  <c r="H12" i="5" s="1"/>
  <c r="F15" i="6" l="1"/>
  <c r="G15" i="6" s="1"/>
  <c r="H15" i="6" s="1"/>
  <c r="E16" i="6"/>
  <c r="B17" i="6"/>
  <c r="D16" i="6"/>
  <c r="F16" i="6" s="1"/>
  <c r="G16" i="6" s="1"/>
  <c r="H16" i="6" s="1"/>
  <c r="E13" i="5"/>
  <c r="F13" i="5" s="1"/>
  <c r="G13" i="5" s="1"/>
  <c r="B18" i="6" l="1"/>
  <c r="D17" i="6"/>
  <c r="F17" i="6" s="1"/>
  <c r="G17" i="6" s="1"/>
  <c r="H17" i="6" s="1"/>
  <c r="E17" i="6"/>
  <c r="H13" i="5"/>
  <c r="E14" i="5"/>
  <c r="F14" i="5" s="1"/>
  <c r="G14" i="5" s="1"/>
  <c r="H14" i="5" s="1"/>
  <c r="D18" i="6" l="1"/>
  <c r="F18" i="6" s="1"/>
  <c r="G18" i="6" s="1"/>
  <c r="H18" i="6" s="1"/>
  <c r="E18" i="6"/>
  <c r="K12" i="6"/>
  <c r="E15" i="5"/>
  <c r="F15" i="5" s="1"/>
  <c r="G15" i="5" s="1"/>
  <c r="H15" i="5" s="1"/>
  <c r="K15" i="6" l="1"/>
  <c r="K14" i="6"/>
  <c r="K13" i="6"/>
  <c r="E16" i="5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s="1"/>
  <c r="K15" i="5" l="1"/>
  <c r="K14" i="5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<sst xmlns="http://schemas.openxmlformats.org/spreadsheetml/2006/main" count="50" uniqueCount="24">
  <si>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</si>
  <si>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</si>
  <si>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</si>
  <si>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</si>
  <si>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</si>
  <si>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</si>
  <si>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</si>
  <si>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</si>
  <si>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</si>
  <si>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</si>
  <si>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</si>
  <si>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</si>
  <si>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</si>
  <si>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</si>
  <si>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</si>
  <si>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</si>
  <si>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</si>
  <si>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</si>
  <si>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</si>
  <si>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</si>
  <si>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</si>
  <si>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Sanarei_Group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</si>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</sst>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8" activePane="bottomLeft" state="frozen"/>
      <selection pane="bottomLeft" activeCell="A19" sqref="A1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46094</v>
      </c>
      <c r="B2" s="22">
        <f>IF(A2&lt;&gt;"",1,"")</f>
        <v>1</v>
      </c>
      <c r="C2" s="3"/>
      <c r="D2" s="1">
        <f t="shared" ref="D2:D18" si="0">IF(AND($A2&lt;&gt;"",$B2&lt;&gt;""),$K$9,"")</f>
        <v>9800</v>
      </c>
      <c r="E2" s="1">
        <f>IF(AND($A2&lt;&gt;"",$B2&lt;&gt;""),$K$7*$K$8,"")</f>
        <v>2807.2186911225131</v>
      </c>
      <c r="F2" s="1">
        <f>IF(AND($A2&lt;&gt;"",$B2&lt;&gt;""),D2-E2,"")</f>
        <v>6992.7813088774874</v>
      </c>
      <c r="G2" s="1">
        <f>IF(AND($A2&lt;&gt;"",$B2&lt;&gt;""),$K$7-F2,"")</f>
        <v>133007.21869112251</v>
      </c>
      <c r="H2" s="1">
        <f>IF(AND($A2&lt;&gt;"",$B2&lt;&gt;""),$K$7-G2,"")</f>
        <v>6992.7813088774856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L140000W17-Sanarei_Group-NLoan1</v>
      </c>
    </row>
    <row r="3" spans="1:11" x14ac:dyDescent="0.3">
      <c r="A3" s="19">
        <v>46101</v>
      </c>
      <c r="B3" s="23">
        <f>IF(A3&lt;&gt;"",B2+1,"")</f>
        <v>2</v>
      </c>
      <c r="C3" s="20"/>
      <c r="D3" s="21">
        <f t="shared" si="0"/>
        <v>9800</v>
      </c>
      <c r="E3" s="21">
        <f t="shared" ref="E3:E18" si="1">IF(AND($A3&lt;&gt;"",$B3&lt;&gt;""),G2*$K$8,"")</f>
        <v>2667.0025025995628</v>
      </c>
      <c r="F3" s="21">
        <f>IF(AND($A3&lt;&gt;"",$B3&lt;&gt;""),D3-E3,"")</f>
        <v>7132.9974974004372</v>
      </c>
      <c r="G3" s="21">
        <f>IF(AND($A3&lt;&gt;"",$B3&lt;&gt;""),G2-F3,"")</f>
        <v>125874.22119372207</v>
      </c>
      <c r="H3" s="21">
        <f t="shared" ref="H3:H18" si="2">IF(AND($A3&lt;&gt;"",$B3&lt;&gt;""),$K$7-G3,"")</f>
        <v>14125.778806277929</v>
      </c>
      <c r="J3" s="4" t="s">
        <v>10</v>
      </c>
      <c r="K3" s="26" t="s">
        <v>21</v>
      </c>
    </row>
    <row r="4" spans="1:11" x14ac:dyDescent="0.3">
      <c r="A4" s="2">
        <v>46108</v>
      </c>
      <c r="B4" s="22">
        <f t="shared" ref="B4:B18" si="3">IF(A4&lt;&gt;"",B3+1,"")</f>
        <v>3</v>
      </c>
      <c r="C4" s="3"/>
      <c r="D4" s="1">
        <f t="shared" si="0"/>
        <v>9800</v>
      </c>
      <c r="E4" s="1">
        <f t="shared" si="1"/>
        <v>2523.974760467901</v>
      </c>
      <c r="F4" s="1">
        <f t="shared" ref="F4:F18" si="4">IF(AND($A4&lt;&gt;"",$B4&lt;&gt;""),D4-E4,"")</f>
        <v>7276.0252395320986</v>
      </c>
      <c r="G4" s="1">
        <f t="shared" ref="G4:G18" si="5">IF(AND($A4&lt;&gt;"",$B4&lt;&gt;""),G3-F4,"")</f>
        <v>118598.19595418997</v>
      </c>
      <c r="H4" s="1">
        <f t="shared" si="2"/>
        <v>21401.804045810029</v>
      </c>
      <c r="J4" s="4" t="s">
        <v>11</v>
      </c>
      <c r="K4" s="26"/>
    </row>
    <row r="5" spans="1:11" x14ac:dyDescent="0.3">
      <c r="A5" s="19">
        <v>46115</v>
      </c>
      <c r="B5" s="23">
        <f t="shared" si="3"/>
        <v>4</v>
      </c>
      <c r="C5" s="20"/>
      <c r="D5" s="21">
        <f t="shared" si="0"/>
        <v>9800</v>
      </c>
      <c r="E5" s="21">
        <f t="shared" si="1"/>
        <v>2378.0790886858035</v>
      </c>
      <c r="F5" s="21">
        <f t="shared" si="4"/>
        <v>7421.9209113141969</v>
      </c>
      <c r="G5" s="21">
        <f t="shared" si="5"/>
        <v>111176.27504287577</v>
      </c>
      <c r="H5" s="21">
        <f t="shared" si="2"/>
        <v>28823.724957124228</v>
      </c>
      <c r="J5" s="4" t="s">
        <v>12</v>
      </c>
      <c r="K5" s="26"/>
    </row>
    <row r="6" spans="1:11" x14ac:dyDescent="0.3">
      <c r="A6" s="2">
        <v>46129</v>
      </c>
      <c r="B6" s="22">
        <f t="shared" si="3"/>
        <v>5</v>
      </c>
      <c r="C6" s="3"/>
      <c r="D6" s="1">
        <f t="shared" si="0"/>
        <v>9800</v>
      </c>
      <c r="E6" s="1">
        <f t="shared" si="1"/>
        <v>2229.2579807838442</v>
      </c>
      <c r="F6" s="1">
        <f t="shared" si="4"/>
        <v>7570.7420192161553</v>
      </c>
      <c r="G6" s="1">
        <f t="shared" si="5"/>
        <v>103605.53302365962</v>
      </c>
      <c r="H6" s="1">
        <f t="shared" si="2"/>
        <v>36394.46697634038</v>
      </c>
      <c r="J6" s="4" t="s">
        <v>13</v>
      </c>
      <c r="K6" s="26"/>
    </row>
    <row r="7" spans="1:11" x14ac:dyDescent="0.3">
      <c r="A7" s="19">
        <v>46131</v>
      </c>
      <c r="B7" s="23">
        <f t="shared" si="3"/>
        <v>6</v>
      </c>
      <c r="C7" s="20"/>
      <c r="D7" s="21">
        <f t="shared" si="0"/>
        <v>9800</v>
      </c>
      <c r="E7" s="21">
        <f t="shared" si="1"/>
        <v>2077.4527771980574</v>
      </c>
      <c r="F7" s="21">
        <f t="shared" si="4"/>
        <v>7722.5472228019426</v>
      </c>
      <c r="G7" s="21">
        <f t="shared" si="5"/>
        <v>95882.985800857685</v>
      </c>
      <c r="H7" s="21">
        <f t="shared" si="2"/>
        <v>44117.014199142315</v>
      </c>
      <c r="J7" s="4" t="s">
        <v>6</v>
      </c>
      <c r="K7" s="27">
        <v>140000</v>
      </c>
    </row>
    <row r="8" spans="1:11" x14ac:dyDescent="0.3">
      <c r="A8" s="2">
        <v>46113</v>
      </c>
      <c r="B8" s="22">
        <f t="shared" si="3"/>
        <v>7</v>
      </c>
      <c r="C8" s="3"/>
      <c r="D8" s="1">
        <f t="shared" si="0"/>
        <v>9800</v>
      </c>
      <c r="E8" s="1">
        <f t="shared" si="1"/>
        <v>1922.6036421485871</v>
      </c>
      <c r="F8" s="1">
        <f t="shared" si="4"/>
        <v>7877.3963578514131</v>
      </c>
      <c r="G8" s="1">
        <f t="shared" si="5"/>
        <v>88005.589443006276</v>
      </c>
      <c r="H8" s="1">
        <f t="shared" si="2"/>
        <v>51994.410556993724</v>
      </c>
      <c r="J8" s="4" t="s">
        <v>14</v>
      </c>
      <c r="K8" s="6">
        <f>RATE(K10,-K9,K7)</f>
        <v>2.0051562079446521E-2</v>
      </c>
    </row>
    <row r="9" spans="1:11" x14ac:dyDescent="0.3">
      <c r="A9" s="19">
        <v>46150</v>
      </c>
      <c r="B9" s="23">
        <f t="shared" si="3"/>
        <v>8</v>
      </c>
      <c r="C9" s="20"/>
      <c r="D9" s="21">
        <f t="shared" si="0"/>
        <v>9800</v>
      </c>
      <c r="E9" s="21">
        <f t="shared" si="1"/>
        <v>1764.6495400547237</v>
      </c>
      <c r="F9" s="21">
        <f t="shared" si="4"/>
        <v>8035.3504599452763</v>
      </c>
      <c r="G9" s="21">
        <f t="shared" si="5"/>
        <v>79970.238983061005</v>
      </c>
      <c r="H9" s="21">
        <f t="shared" si="2"/>
        <v>60029.761016938995</v>
      </c>
      <c r="J9" s="4" t="s">
        <v>7</v>
      </c>
      <c r="K9" s="28">
        <v>9800</v>
      </c>
    </row>
    <row r="10" spans="1:11" x14ac:dyDescent="0.3">
      <c r="A10" s="2">
        <v>46157</v>
      </c>
      <c r="B10" s="22">
        <f t="shared" si="3"/>
        <v>9</v>
      </c>
      <c r="C10" s="3"/>
      <c r="D10" s="1">
        <f t="shared" si="0"/>
        <v>9800</v>
      </c>
      <c r="E10" s="1">
        <f t="shared" si="1"/>
        <v>1603.5282114770218</v>
      </c>
      <c r="F10" s="1">
        <f t="shared" si="4"/>
        <v>8196.4717885229784</v>
      </c>
      <c r="G10" s="1">
        <f t="shared" si="5"/>
        <v>71773.767194538028</v>
      </c>
      <c r="H10" s="1">
        <f t="shared" si="2"/>
        <v>68226.232805461972</v>
      </c>
      <c r="J10" s="4" t="s">
        <v>8</v>
      </c>
      <c r="K10" s="29">
        <v>17</v>
      </c>
    </row>
    <row r="11" spans="1:11" ht="17.25" thickBot="1" x14ac:dyDescent="0.35">
      <c r="A11" s="19">
        <v>46164</v>
      </c>
      <c r="B11" s="23">
        <f t="shared" si="3"/>
        <v>10</v>
      </c>
      <c r="C11" s="20"/>
      <c r="D11" s="21">
        <f t="shared" si="0"/>
        <v>9800</v>
      </c>
      <c r="E11" s="21">
        <f t="shared" si="1"/>
        <v>1439.1761485770214</v>
      </c>
      <c r="F11" s="21">
        <f t="shared" si="4"/>
        <v>8360.8238514229779</v>
      </c>
      <c r="G11" s="21">
        <f t="shared" si="5"/>
        <v>63412.943343115054</v>
      </c>
      <c r="H11" s="21">
        <f t="shared" si="2"/>
        <v>76587.056656884946</v>
      </c>
      <c r="J11" s="14"/>
    </row>
    <row r="12" spans="1:11" x14ac:dyDescent="0.3">
      <c r="A12" s="2">
        <v>46171</v>
      </c>
      <c r="B12" s="22">
        <f t="shared" si="3"/>
        <v>11</v>
      </c>
      <c r="C12" s="3"/>
      <c r="D12" s="1">
        <f t="shared" si="0"/>
        <v>9800</v>
      </c>
      <c r="E12" s="1">
        <f t="shared" si="1"/>
        <v>1271.5285700848965</v>
      </c>
      <c r="F12" s="1">
        <f t="shared" si="4"/>
        <v>8528.4714299151037</v>
      </c>
      <c r="G12" s="1">
        <f t="shared" si="5"/>
        <v>54884.471913199952</v>
      </c>
      <c r="H12" s="1">
        <f t="shared" si="2"/>
        <v>85115.528086800041</v>
      </c>
      <c r="J12" s="8" t="s">
        <v>16</v>
      </c>
      <c r="K12" s="9">
        <f>IFERROR(MAX($B:$B),"")</f>
        <v>17</v>
      </c>
    </row>
    <row r="13" spans="1:11" x14ac:dyDescent="0.3">
      <c r="A13" s="19">
        <v>46178</v>
      </c>
      <c r="B13" s="23">
        <f t="shared" si="3"/>
        <v>12</v>
      </c>
      <c r="C13" s="20"/>
      <c r="D13" s="21">
        <f t="shared" si="0"/>
        <v>9800</v>
      </c>
      <c r="E13" s="21">
        <f t="shared" si="1"/>
        <v>1100.5193957651677</v>
      </c>
      <c r="F13" s="21">
        <f t="shared" si="4"/>
        <v>8699.4806042348318</v>
      </c>
      <c r="G13" s="21">
        <f t="shared" si="5"/>
        <v>46184.991308965124</v>
      </c>
      <c r="H13" s="21">
        <f t="shared" si="2"/>
        <v>93815.008691034876</v>
      </c>
      <c r="J13" s="24" t="s">
        <v>22</v>
      </c>
      <c r="K13" s="11">
        <f>(K10*K9)-K9*K12</f>
        <v>0</v>
      </c>
    </row>
    <row r="14" spans="1:11" x14ac:dyDescent="0.3">
      <c r="A14" s="2">
        <v>46185</v>
      </c>
      <c r="B14" s="22">
        <f t="shared" si="3"/>
        <v>13</v>
      </c>
      <c r="C14" s="3"/>
      <c r="D14" s="1">
        <f t="shared" si="0"/>
        <v>9800</v>
      </c>
      <c r="E14" s="1">
        <f t="shared" si="1"/>
        <v>926.08122037041221</v>
      </c>
      <c r="F14" s="1">
        <f t="shared" si="4"/>
        <v>8873.9187796295882</v>
      </c>
      <c r="G14" s="1">
        <f t="shared" si="5"/>
        <v>37311.072529335535</v>
      </c>
      <c r="H14" s="1">
        <f t="shared" si="2"/>
        <v>102688.92747066446</v>
      </c>
      <c r="J14" s="10" t="s">
        <v>23</v>
      </c>
      <c r="K14" s="11">
        <f>IF(A2="", K9*K10, IFERROR(INDEX($G:$G, MATCH($K$12, $B:$B, 0)), 0))</f>
        <v>6.4028427004814148E-9</v>
      </c>
    </row>
    <row r="15" spans="1:11" ht="17.25" thickBot="1" x14ac:dyDescent="0.35">
      <c r="A15" s="19">
        <v>46193</v>
      </c>
      <c r="B15" s="23">
        <f t="shared" si="3"/>
        <v>14</v>
      </c>
      <c r="C15" s="20"/>
      <c r="D15" s="21">
        <f t="shared" si="0"/>
        <v>9800</v>
      </c>
      <c r="E15" s="21">
        <f t="shared" si="1"/>
        <v>748.14528707270324</v>
      </c>
      <c r="F15" s="21">
        <f t="shared" si="4"/>
        <v>9051.8547129272974</v>
      </c>
      <c r="G15" s="21">
        <f t="shared" si="5"/>
        <v>28259.217816408236</v>
      </c>
      <c r="H15" s="21">
        <f t="shared" si="2"/>
        <v>111740.78218359177</v>
      </c>
      <c r="J15" s="12" t="s">
        <v>5</v>
      </c>
      <c r="K15" s="13">
        <f>IFERROR(INDEX($H:$H, MATCH($K$12, $B:$B, 0)), 0)</f>
        <v>139999.9999999936</v>
      </c>
    </row>
    <row r="16" spans="1:11" x14ac:dyDescent="0.3">
      <c r="A16" s="2">
        <v>46199</v>
      </c>
      <c r="B16" s="22">
        <f t="shared" si="3"/>
        <v>15</v>
      </c>
      <c r="C16" s="3"/>
      <c r="D16" s="1">
        <f t="shared" si="0"/>
        <v>9800</v>
      </c>
      <c r="E16" s="1">
        <f t="shared" si="1"/>
        <v>566.64146036231091</v>
      </c>
      <c r="F16" s="1">
        <f t="shared" si="4"/>
        <v>9233.3585396376893</v>
      </c>
      <c r="G16" s="1">
        <f t="shared" si="5"/>
        <v>19025.859276770549</v>
      </c>
      <c r="H16" s="1">
        <f t="shared" si="2"/>
        <v>120974.14072322944</v>
      </c>
      <c r="J16" s="15" t="s">
        <v>18</v>
      </c>
      <c r="K16" s="16">
        <f>IF(A2,A2, "")</f>
        <v>46094</v>
      </c>
    </row>
    <row r="17" spans="1:11" x14ac:dyDescent="0.3">
      <c r="A17" s="19">
        <v>46202</v>
      </c>
      <c r="B17" s="23">
        <f t="shared" si="3"/>
        <v>16</v>
      </c>
      <c r="C17" s="20"/>
      <c r="D17" s="21">
        <f t="shared" si="0"/>
        <v>9800</v>
      </c>
      <c r="E17" s="21">
        <f t="shared" si="1"/>
        <v>381.49819840297812</v>
      </c>
      <c r="F17" s="21">
        <f t="shared" si="4"/>
        <v>9418.5018015970218</v>
      </c>
      <c r="G17" s="21">
        <f t="shared" si="5"/>
        <v>9607.3574751735268</v>
      </c>
      <c r="H17" s="21">
        <f t="shared" si="2"/>
        <v>130392.64252482647</v>
      </c>
      <c r="J17" s="17" t="s">
        <v>19</v>
      </c>
      <c r="K17" s="18">
        <f xml:space="preserve"> IF(A2,(K16 + (17*7)),"")</f>
        <v>46213</v>
      </c>
    </row>
    <row r="18" spans="1:11" x14ac:dyDescent="0.3">
      <c r="A18" s="2">
        <v>46202</v>
      </c>
      <c r="B18" s="22">
        <f t="shared" si="3"/>
        <v>17</v>
      </c>
      <c r="C18" s="3"/>
      <c r="D18" s="1">
        <f t="shared" si="0"/>
        <v>9800</v>
      </c>
      <c r="E18" s="1">
        <f t="shared" si="1"/>
        <v>192.64252483287655</v>
      </c>
      <c r="F18" s="1">
        <f t="shared" si="4"/>
        <v>9607.357475167124</v>
      </c>
      <c r="G18" s="1">
        <f t="shared" si="5"/>
        <v>6.4028427004814148E-9</v>
      </c>
      <c r="H18" s="1">
        <f t="shared" si="2"/>
        <v>139999.9999999936</v>
      </c>
    </row>
  </sheetData>
  <sheetProtection algorithmName="SHA-512" hashValue="VvrDjkxsgxp9zdLriIBeac58Fu/dqIkpgxR+lBziZneDInhucxY8Z9ejTcAvJXbSGdeSpH4H8iXH0cVk9uw/SA==" saltValue="sW4cU427OcuV7p5NATu0hA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A16" sqref="A16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1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46206</v>
      </c>
      <c r="B2" s="22">
        <f>IF(A2&lt;&gt;"",1,"")</f>
        <v>1</v>
      </c>
      <c r="C2" s="3"/>
      <c r="D2" s="1">
        <f t="shared" ref="D2:D18" si="0">IF(AND($A2&lt;&gt;"",$B2&lt;&gt;""),$K$9,"")</f>
        <v>12600</v>
      </c>
      <c r="E2" s="1">
        <f>IF(AND($A2&lt;&gt;"",$B2&lt;&gt;""),$K$7*$K$8,"")</f>
        <v>3609.2811743003631</v>
      </c>
      <c r="F2" s="1">
        <f>IF(AND($A2&lt;&gt;"",$B2&lt;&gt;""),D2-E2,"")</f>
        <v>8990.7188256996378</v>
      </c>
      <c r="G2" s="1">
        <f>IF(AND($A2&lt;&gt;"",$B2&lt;&gt;""),$K$7-F2,"")</f>
        <v>171009.28117430035</v>
      </c>
      <c r="H2" s="1">
        <f>IF(AND($A2&lt;&gt;"",$B2&lt;&gt;""),$K$7-G2,"")</f>
        <v>8990.7188256996451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L180000W17-Sanarei_Group-N195</v>
      </c>
    </row>
    <row r="3" spans="1:11" x14ac:dyDescent="0.3">
      <c r="A3" s="19">
        <v>46213</v>
      </c>
      <c r="B3" s="23">
        <f>IF(A3&lt;&gt;"",B2+1,"")</f>
        <v>2</v>
      </c>
      <c r="C3" s="20"/>
      <c r="D3" s="21">
        <f t="shared" si="0"/>
        <v>12600</v>
      </c>
      <c r="E3" s="21">
        <f t="shared" ref="E3:E18" si="1">IF(AND($A3&lt;&gt;"",$B3&lt;&gt;""),G2*$K$8,"")</f>
        <v>3429.0032176279988</v>
      </c>
      <c r="F3" s="21">
        <f>IF(AND($A3&lt;&gt;"",$B3&lt;&gt;""),D3-E3,"")</f>
        <v>9170.9967823720017</v>
      </c>
      <c r="G3" s="21">
        <f>IF(AND($A3&lt;&gt;"",$B3&lt;&gt;""),G2-F3,"")</f>
        <v>161838.28439192835</v>
      </c>
      <c r="H3" s="21">
        <f t="shared" ref="H3:H18" si="2">IF(AND($A3&lt;&gt;"",$B3&lt;&gt;""),$K$7-G3,"")</f>
        <v>18161.715608071652</v>
      </c>
      <c r="J3" s="4" t="s">
        <v>10</v>
      </c>
      <c r="K3" s="26" t="s">
        <v>21</v>
      </c>
    </row>
    <row r="4" spans="1:11" x14ac:dyDescent="0.3">
      <c r="A4" s="2">
        <v>46220</v>
      </c>
      <c r="B4" s="22">
        <f t="shared" ref="B4:B18" si="3">IF(A4&lt;&gt;"",B3+1,"")</f>
        <v>3</v>
      </c>
      <c r="C4" s="3"/>
      <c r="D4" s="1">
        <f t="shared" si="0"/>
        <v>12600</v>
      </c>
      <c r="E4" s="1">
        <f t="shared" si="1"/>
        <v>3245.1104063158627</v>
      </c>
      <c r="F4" s="1">
        <f t="shared" ref="F4:F18" si="4">IF(AND($A4&lt;&gt;"",$B4&lt;&gt;""),D4-E4,"")</f>
        <v>9354.8895936841363</v>
      </c>
      <c r="G4" s="1">
        <f t="shared" ref="G4:G18" si="5">IF(AND($A4&lt;&gt;"",$B4&lt;&gt;""),G3-F4,"")</f>
        <v>152483.3947982442</v>
      </c>
      <c r="H4" s="1">
        <f t="shared" si="2"/>
        <v>27516.605201755796</v>
      </c>
      <c r="J4" s="4" t="s">
        <v>11</v>
      </c>
      <c r="K4" s="26"/>
    </row>
    <row r="5" spans="1:11" x14ac:dyDescent="0.3">
      <c r="A5" s="19">
        <v>46227</v>
      </c>
      <c r="B5" s="23">
        <f t="shared" si="3"/>
        <v>4</v>
      </c>
      <c r="C5" s="20"/>
      <c r="D5" s="21">
        <f t="shared" si="0"/>
        <v>12600</v>
      </c>
      <c r="E5" s="21">
        <f t="shared" si="1"/>
        <v>3057.5302568817374</v>
      </c>
      <c r="F5" s="21">
        <f t="shared" si="4"/>
        <v>9542.4697431182631</v>
      </c>
      <c r="G5" s="21">
        <f t="shared" si="5"/>
        <v>142940.92505512593</v>
      </c>
      <c r="H5" s="21">
        <f t="shared" si="2"/>
        <v>37059.074944874068</v>
      </c>
      <c r="J5" s="4" t="s">
        <v>12</v>
      </c>
      <c r="K5" s="26"/>
    </row>
    <row r="6" spans="1:11" x14ac:dyDescent="0.3">
      <c r="A6" s="2">
        <v>46234</v>
      </c>
      <c r="B6" s="22">
        <f t="shared" si="3"/>
        <v>5</v>
      </c>
      <c r="C6" s="3"/>
      <c r="D6" s="1">
        <f t="shared" si="0"/>
        <v>12600</v>
      </c>
      <c r="E6" s="1">
        <f t="shared" si="1"/>
        <v>2866.1888324363617</v>
      </c>
      <c r="F6" s="1">
        <f t="shared" si="4"/>
        <v>9733.8111675636392</v>
      </c>
      <c r="G6" s="1">
        <f t="shared" si="5"/>
        <v>133207.1138875623</v>
      </c>
      <c r="H6" s="1">
        <f t="shared" si="2"/>
        <v>46792.8861124377</v>
      </c>
      <c r="J6" s="4" t="s">
        <v>13</v>
      </c>
      <c r="K6" s="26"/>
    </row>
    <row r="7" spans="1:11" x14ac:dyDescent="0.3">
      <c r="A7" s="19">
        <v>46241</v>
      </c>
      <c r="B7" s="23">
        <f t="shared" si="3"/>
        <v>6</v>
      </c>
      <c r="C7" s="20"/>
      <c r="D7" s="21">
        <f t="shared" si="0"/>
        <v>12600</v>
      </c>
      <c r="E7" s="21">
        <f t="shared" si="1"/>
        <v>2671.0107135403505</v>
      </c>
      <c r="F7" s="21">
        <f t="shared" si="4"/>
        <v>9928.9892864596495</v>
      </c>
      <c r="G7" s="21">
        <f t="shared" si="5"/>
        <v>123278.12460110265</v>
      </c>
      <c r="H7" s="21">
        <f t="shared" si="2"/>
        <v>56721.875398897348</v>
      </c>
      <c r="J7" s="4" t="s">
        <v>6</v>
      </c>
      <c r="K7" s="27">
        <v>180000</v>
      </c>
    </row>
    <row r="8" spans="1:11" x14ac:dyDescent="0.3">
      <c r="A8" s="2">
        <v>46248</v>
      </c>
      <c r="B8" s="22">
        <f t="shared" si="3"/>
        <v>7</v>
      </c>
      <c r="C8" s="3"/>
      <c r="D8" s="1">
        <f t="shared" si="0"/>
        <v>12600</v>
      </c>
      <c r="E8" s="1">
        <f t="shared" si="1"/>
        <v>2471.9189684767457</v>
      </c>
      <c r="F8" s="1">
        <f t="shared" si="4"/>
        <v>10128.081031523254</v>
      </c>
      <c r="G8" s="1">
        <f t="shared" si="5"/>
        <v>113150.0435695794</v>
      </c>
      <c r="H8" s="1">
        <f t="shared" si="2"/>
        <v>66849.9564304206</v>
      </c>
      <c r="J8" s="4" t="s">
        <v>14</v>
      </c>
      <c r="K8" s="6">
        <f>RATE(K10,-K9,K7)</f>
        <v>2.0051562079446462E-2</v>
      </c>
    </row>
    <row r="9" spans="1:11" x14ac:dyDescent="0.3">
      <c r="A9" s="19">
        <v>46255</v>
      </c>
      <c r="B9" s="23">
        <f t="shared" si="3"/>
        <v>8</v>
      </c>
      <c r="C9" s="20"/>
      <c r="D9" s="21">
        <f t="shared" si="0"/>
        <v>12600</v>
      </c>
      <c r="E9" s="21">
        <f t="shared" si="1"/>
        <v>2268.8351229274931</v>
      </c>
      <c r="F9" s="21">
        <f t="shared" si="4"/>
        <v>10331.164877072508</v>
      </c>
      <c r="G9" s="21">
        <f t="shared" si="5"/>
        <v>102818.8786925069</v>
      </c>
      <c r="H9" s="21">
        <f t="shared" si="2"/>
        <v>77181.1213074931</v>
      </c>
      <c r="J9" s="4" t="s">
        <v>7</v>
      </c>
      <c r="K9" s="28">
        <v>12600</v>
      </c>
    </row>
    <row r="10" spans="1:11" x14ac:dyDescent="0.3">
      <c r="A10" s="2">
        <v>46262</v>
      </c>
      <c r="B10" s="22">
        <f t="shared" si="3"/>
        <v>9</v>
      </c>
      <c r="C10" s="3"/>
      <c r="D10" s="1">
        <f t="shared" si="0"/>
        <v>12600</v>
      </c>
      <c r="E10" s="1">
        <f t="shared" si="1"/>
        <v>2061.6791290418773</v>
      </c>
      <c r="F10" s="1">
        <f t="shared" si="4"/>
        <v>10538.320870958123</v>
      </c>
      <c r="G10" s="1">
        <f t="shared" si="5"/>
        <v>92280.557821548777</v>
      </c>
      <c r="H10" s="1">
        <f t="shared" si="2"/>
        <v>87719.442178451223</v>
      </c>
      <c r="J10" s="4" t="s">
        <v>8</v>
      </c>
      <c r="K10" s="29">
        <v>17</v>
      </c>
    </row>
    <row r="11" spans="1:11" ht="17.25" thickBot="1" x14ac:dyDescent="0.35">
      <c r="A11" s="19">
        <v>46269</v>
      </c>
      <c r="B11" s="23">
        <f t="shared" si="3"/>
        <v>10</v>
      </c>
      <c r="C11" s="20"/>
      <c r="D11" s="21">
        <f t="shared" si="0"/>
        <v>12600</v>
      </c>
      <c r="E11" s="21">
        <f t="shared" si="1"/>
        <v>1850.369333884734</v>
      </c>
      <c r="F11" s="21">
        <f t="shared" si="4"/>
        <v>10749.630666115267</v>
      </c>
      <c r="G11" s="21">
        <f t="shared" si="5"/>
        <v>81530.927155433514</v>
      </c>
      <c r="H11" s="21">
        <f t="shared" si="2"/>
        <v>98469.072844566486</v>
      </c>
      <c r="J11" s="14"/>
    </row>
    <row r="12" spans="1:11" x14ac:dyDescent="0.3">
      <c r="A12" s="2">
        <v>46276</v>
      </c>
      <c r="B12" s="22">
        <f t="shared" si="3"/>
        <v>11</v>
      </c>
      <c r="C12" s="3"/>
      <c r="D12" s="1">
        <f t="shared" si="0"/>
        <v>12600</v>
      </c>
      <c r="E12" s="1">
        <f t="shared" si="1"/>
        <v>1634.8224472520023</v>
      </c>
      <c r="F12" s="1">
        <f t="shared" si="4"/>
        <v>10965.177552747999</v>
      </c>
      <c r="G12" s="1">
        <f t="shared" si="5"/>
        <v>70565.749602685508</v>
      </c>
      <c r="H12" s="1">
        <f t="shared" si="2"/>
        <v>109434.25039731449</v>
      </c>
      <c r="J12" s="8" t="s">
        <v>16</v>
      </c>
      <c r="K12" s="9">
        <f>IFERROR(MAX($B:$B),"")</f>
        <v>14</v>
      </c>
    </row>
    <row r="13" spans="1:11" x14ac:dyDescent="0.3">
      <c r="A13" s="19">
        <v>46283</v>
      </c>
      <c r="B13" s="23">
        <f t="shared" si="3"/>
        <v>12</v>
      </c>
      <c r="C13" s="20"/>
      <c r="D13" s="21">
        <f t="shared" si="0"/>
        <v>12600</v>
      </c>
      <c r="E13" s="21">
        <f t="shared" si="1"/>
        <v>1414.953508840923</v>
      </c>
      <c r="F13" s="21">
        <f t="shared" si="4"/>
        <v>11185.046491159077</v>
      </c>
      <c r="G13" s="21">
        <f t="shared" si="5"/>
        <v>59380.703111526433</v>
      </c>
      <c r="H13" s="21">
        <f t="shared" si="2"/>
        <v>120619.29688847356</v>
      </c>
      <c r="J13" s="24" t="s">
        <v>22</v>
      </c>
      <c r="K13" s="11">
        <f>(K10*K9)-K9*K12</f>
        <v>37800</v>
      </c>
    </row>
    <row r="14" spans="1:11" x14ac:dyDescent="0.3">
      <c r="A14" s="2">
        <v>46290</v>
      </c>
      <c r="B14" s="22">
        <f t="shared" si="3"/>
        <v>13</v>
      </c>
      <c r="C14" s="3"/>
      <c r="D14" s="1">
        <f t="shared" si="0"/>
        <v>12600</v>
      </c>
      <c r="E14" s="1">
        <f t="shared" si="1"/>
        <v>1190.675854761952</v>
      </c>
      <c r="F14" s="1">
        <f t="shared" si="4"/>
        <v>11409.324145238048</v>
      </c>
      <c r="G14" s="1">
        <f t="shared" si="5"/>
        <v>47971.378966288386</v>
      </c>
      <c r="H14" s="1">
        <f t="shared" si="2"/>
        <v>132028.62103371162</v>
      </c>
      <c r="J14" s="10" t="s">
        <v>23</v>
      </c>
      <c r="K14" s="11">
        <f>IF(A2="", K9*K10, IFERROR(INDEX($G:$G, MATCH($K$12, $B:$B, 0)), 0))</f>
        <v>36333.28004966757</v>
      </c>
    </row>
    <row r="15" spans="1:11" ht="17.25" thickBot="1" x14ac:dyDescent="0.35">
      <c r="A15" s="19">
        <v>46297</v>
      </c>
      <c r="B15" s="23">
        <f t="shared" si="3"/>
        <v>14</v>
      </c>
      <c r="C15" s="20"/>
      <c r="D15" s="21">
        <f t="shared" si="0"/>
        <v>12600</v>
      </c>
      <c r="E15" s="21">
        <f t="shared" si="1"/>
        <v>961.90108337918377</v>
      </c>
      <c r="F15" s="21">
        <f t="shared" si="4"/>
        <v>11638.098916620816</v>
      </c>
      <c r="G15" s="21">
        <f t="shared" si="5"/>
        <v>36333.28004966757</v>
      </c>
      <c r="H15" s="21">
        <f t="shared" si="2"/>
        <v>143666.71995033242</v>
      </c>
      <c r="J15" s="12" t="s">
        <v>5</v>
      </c>
      <c r="K15" s="13">
        <f>IFERROR(INDEX($H:$H, MATCH($K$12, $B:$B, 0)), 0)</f>
        <v>143666.71995033242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46206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46325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195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2026-10-03T03:35:11Z</dcterms:modified>
</cp:coreProperties>
</file>