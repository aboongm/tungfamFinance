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 activeTab="1"/>
  </bookViews>
  <sheets>
    <sheet name="Loan1" sheetId="5" r:id="rId1"/>
    <sheet name="195" sheetId="6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" i="6" l="1"/>
  <c r="E2" i="6" s="1"/>
  <c r="K2" i="6"/>
  <c r="B3" i="6"/>
  <c r="D3" i="6" s="1"/>
  <c r="K8" i="6"/>
  <c r="K16" i="6"/>
  <c r="K17" i="6"/>
  <c r="D2" i="6" l="1"/>
  <c r="F2" i="6" s="1"/>
  <c r="G2" i="6" s="1"/>
  <c r="H2" i="6" s="1"/>
  <c r="B4" i="6"/>
  <c r="E3" i="6"/>
  <c r="F3" i="6" s="1"/>
  <c r="G3" i="6" s="1"/>
  <c r="H3" i="6" s="1"/>
  <c r="B18" i="5"/>
  <c r="B17" i="5"/>
  <c r="B16" i="5"/>
  <c r="B15" i="5"/>
  <c r="B14" i="5"/>
  <c r="B2" i="5"/>
  <c r="B3" i="5" s="1"/>
  <c r="B4" i="5" s="1"/>
  <c r="B5" i="5" s="1"/>
  <c r="B6" i="5" s="1"/>
  <c r="B7" i="5" s="1"/>
  <c r="B8" i="5" s="1"/>
  <c r="B9" i="5" s="1"/>
  <c r="B10" i="5" s="1"/>
  <c r="B11" i="5" s="1"/>
  <c r="B12" i="5" s="1"/>
  <c r="B13" i="5" s="1"/>
  <c r="E4" i="6" l="1"/>
  <c r="B5" i="6"/>
  <c r="D4" i="6"/>
  <c r="K16" i="5"/>
  <c r="K2" i="5"/>
  <c r="F4" i="6" l="1"/>
  <c r="G4" i="6" s="1"/>
  <c r="H4" i="6" s="1"/>
  <c r="D5" i="6"/>
  <c r="E5" i="6"/>
  <c r="B6" i="6"/>
  <c r="F5" i="6"/>
  <c r="G5" i="6" s="1"/>
  <c r="H5" i="6" s="1"/>
  <c r="K17" i="5"/>
  <c r="K12" i="5"/>
  <c r="K13" i="5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2" i="5"/>
  <c r="E6" i="6" l="1"/>
  <c r="D6" i="6"/>
  <c r="B7" i="6"/>
  <c r="K8" i="5"/>
  <c r="E2" i="5" s="1"/>
  <c r="F2" i="5" s="1"/>
  <c r="G2" i="5" s="1"/>
  <c r="H2" i="5" s="1"/>
  <c r="F6" i="6" l="1"/>
  <c r="G6" i="6" s="1"/>
  <c r="H6" i="6" s="1"/>
  <c r="D7" i="6"/>
  <c r="E7" i="6"/>
  <c r="B8" i="6"/>
  <c r="E3" i="5"/>
  <c r="F3" i="5" s="1"/>
  <c r="G3" i="5" s="1"/>
  <c r="E4" i="5" s="1"/>
  <c r="F4" i="5" s="1"/>
  <c r="G4" i="5" s="1"/>
  <c r="H4" i="5" s="1"/>
  <c r="F7" i="6" l="1"/>
  <c r="G7" i="6" s="1"/>
  <c r="H7" i="6" s="1"/>
  <c r="B9" i="6"/>
  <c r="E8" i="6"/>
  <c r="D8" i="6"/>
  <c r="F8" i="6" s="1"/>
  <c r="G8" i="6" s="1"/>
  <c r="H8" i="6" s="1"/>
  <c r="H3" i="5"/>
  <c r="E5" i="5"/>
  <c r="F5" i="5" s="1"/>
  <c r="G5" i="5" s="1"/>
  <c r="D9" i="6" l="1"/>
  <c r="F9" i="6" s="1"/>
  <c r="G9" i="6" s="1"/>
  <c r="H9" i="6" s="1"/>
  <c r="E9" i="6"/>
  <c r="B10" i="6"/>
  <c r="H5" i="5"/>
  <c r="E6" i="5"/>
  <c r="F6" i="5" s="1"/>
  <c r="G6" i="5" s="1"/>
  <c r="H6" i="5" s="1"/>
  <c r="E10" i="6" l="1"/>
  <c r="B11" i="6"/>
  <c r="D10" i="6"/>
  <c r="F10" i="6" s="1"/>
  <c r="G10" i="6" s="1"/>
  <c r="H10" i="6" s="1"/>
  <c r="E7" i="5"/>
  <c r="F7" i="5" s="1"/>
  <c r="G7" i="5" s="1"/>
  <c r="H7" i="5" s="1"/>
  <c r="D11" i="6" l="1"/>
  <c r="E11" i="6"/>
  <c r="F11" i="6" s="1"/>
  <c r="G11" i="6" s="1"/>
  <c r="H11" i="6" s="1"/>
  <c r="B12" i="6"/>
  <c r="E8" i="5"/>
  <c r="F8" i="5" s="1"/>
  <c r="G8" i="5" s="1"/>
  <c r="H8" i="5" s="1"/>
  <c r="E12" i="6" l="1"/>
  <c r="B13" i="6"/>
  <c r="D12" i="6"/>
  <c r="F12" i="6" s="1"/>
  <c r="G12" i="6" s="1"/>
  <c r="H12" i="6" s="1"/>
  <c r="E9" i="5"/>
  <c r="F9" i="5" s="1"/>
  <c r="G9" i="5" s="1"/>
  <c r="H9" i="5" s="1"/>
  <c r="B14" i="6" l="1"/>
  <c r="E13" i="6"/>
  <c r="D13" i="6"/>
  <c r="E10" i="5"/>
  <c r="F10" i="5" s="1"/>
  <c r="G10" i="5" s="1"/>
  <c r="H10" i="5" s="1"/>
  <c r="F13" i="6" l="1"/>
  <c r="G13" i="6" s="1"/>
  <c r="H13" i="6" s="1"/>
  <c r="D14" i="6"/>
  <c r="E14" i="6"/>
  <c r="F14" i="6"/>
  <c r="G14" i="6" s="1"/>
  <c r="H14" i="6" s="1"/>
  <c r="B15" i="6"/>
  <c r="E11" i="5"/>
  <c r="F11" i="5" s="1"/>
  <c r="G11" i="5" s="1"/>
  <c r="H11" i="5" s="1"/>
  <c r="D15" i="6" l="1"/>
  <c r="E15" i="6"/>
  <c r="F15" i="6" s="1"/>
  <c r="G15" i="6" s="1"/>
  <c r="H15" i="6" s="1"/>
  <c r="B16" i="6"/>
  <c r="E12" i="5"/>
  <c r="F12" i="5" s="1"/>
  <c r="G12" i="5" s="1"/>
  <c r="H12" i="5" s="1"/>
  <c r="E16" i="6" l="1"/>
  <c r="B17" i="6"/>
  <c r="D16" i="6"/>
  <c r="F16" i="6" s="1"/>
  <c r="G16" i="6" s="1"/>
  <c r="H16" i="6" s="1"/>
  <c r="E13" i="5"/>
  <c r="F13" i="5" s="1"/>
  <c r="G13" i="5" s="1"/>
  <c r="B18" i="6" l="1"/>
  <c r="D17" i="6"/>
  <c r="F17" i="6" s="1"/>
  <c r="G17" i="6" s="1"/>
  <c r="H17" i="6" s="1"/>
  <c r="E17" i="6"/>
  <c r="H13" i="5"/>
  <c r="E14" i="5"/>
  <c r="F14" i="5" s="1"/>
  <c r="G14" i="5" s="1"/>
  <c r="H14" i="5" s="1"/>
  <c r="D18" i="6" l="1"/>
  <c r="F18" i="6" s="1"/>
  <c r="G18" i="6" s="1"/>
  <c r="H18" i="6" s="1"/>
  <c r="E18" i="6"/>
  <c r="K12" i="6"/>
  <c r="E15" i="5"/>
  <c r="F15" i="5" s="1"/>
  <c r="G15" i="5" s="1"/>
  <c r="H15" i="5" s="1"/>
  <c r="K15" i="6" l="1"/>
  <c r="K14" i="6"/>
  <c r="K13" i="6"/>
  <c r="E16" i="5"/>
  <c r="F16" i="5" s="1"/>
  <c r="G16" i="5" s="1"/>
  <c r="H16" i="5" s="1"/>
  <c r="E17" i="5" l="1"/>
  <c r="F17" i="5" s="1"/>
  <c r="G17" i="5" s="1"/>
  <c r="H17" i="5" l="1"/>
  <c r="E18" i="5"/>
  <c r="F18" i="5" s="1"/>
  <c r="G18" i="5" s="1"/>
  <c r="H18" i="5" s="1"/>
  <c r="K15" i="5" l="1"/>
  <c r="K14" i="5"/>
</calcChain>
</file>

<file path=xl/sharedStrings.xml><?xml version="1.0" encoding="utf-8"?>
<sst xmlns="http://schemas.openxmlformats.org/spreadsheetml/2006/main" count="50" uniqueCount="24">
  <si>
    <t>Date</t>
  </si>
  <si>
    <t>EMI Paid (₹)</t>
  </si>
  <si>
    <t>Interest Portion (₹)</t>
  </si>
  <si>
    <t>Principal Portion (₹)</t>
  </si>
  <si>
    <t>Outstanding Principal (₹)</t>
  </si>
  <si>
    <t>Repaid Principal</t>
  </si>
  <si>
    <t>Loan Principal</t>
  </si>
  <si>
    <t>EMI</t>
  </si>
  <si>
    <t>Weeks</t>
  </si>
  <si>
    <t>Profile Details</t>
  </si>
  <si>
    <t>Name:</t>
  </si>
  <si>
    <t>Aadhar:</t>
  </si>
  <si>
    <t>Address:</t>
  </si>
  <si>
    <t>Mobile:</t>
  </si>
  <si>
    <t>Weekly Rate</t>
  </si>
  <si>
    <t>Week</t>
  </si>
  <si>
    <t>LatestWeek</t>
  </si>
  <si>
    <t>Code</t>
  </si>
  <si>
    <t>Start Date</t>
  </si>
  <si>
    <t>End Date</t>
  </si>
  <si>
    <t>Reference Id</t>
  </si>
  <si>
    <t>Sanarei_Group</t>
  </si>
  <si>
    <t>Out(Int + Principal)</t>
  </si>
  <si>
    <t>Principal Outstanding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</si>
</sst>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d\-mmm\-yyyy;@"/>
    <numFmt numFmtId="165" formatCode="_ [$₹-4009]\ * #,##0.00_ ;_ [$₹-4009]\ * \-#,##0.00_ ;_ [$₹-4009]\ * &quot;-&quot;??_ ;_ @_ "/>
    <numFmt numFmtId="166" formatCode="0.0000"/>
  </numFmts>
  <fonts count="8" x14ac:knownFonts="1">
    <font>
      <sz val="11"/>
      <color theme="1"/>
      <name val="Calibri"/>
      <family val="2"/>
      <scheme val="minor"/>
    </font>
    <font>
      <sz val="11"/>
      <color theme="0" tint="-4.9989318521683403E-2"/>
      <name val="Segoe UI"/>
      <family val="2"/>
    </font>
    <font>
      <sz val="11"/>
      <name val="Segoe UI"/>
      <family val="2"/>
    </font>
    <font>
      <sz val="11"/>
      <color theme="0" tint="-0.14999847407452621"/>
      <name val="Segoe UI"/>
      <family val="2"/>
    </font>
    <font>
      <b/>
      <sz val="11"/>
      <color theme="0" tint="-0.14999847407452621"/>
      <name val="Segoe UI"/>
      <family val="2"/>
    </font>
    <font>
      <sz val="9"/>
      <color theme="0" tint="-0.14999847407452621"/>
      <name val="Segoe UI"/>
      <family val="2"/>
    </font>
    <font>
      <sz val="11"/>
      <color theme="0"/>
      <name val="Segoe UI"/>
      <family val="2"/>
    </font>
    <font>
      <b/>
      <sz val="11"/>
      <color theme="0"/>
      <name val="Segoe UI"/>
      <family val="2"/>
    </font>
  </fonts>
  <fills count="7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6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medium">
        <color theme="4" tint="0.59996337778862885"/>
      </right>
      <top style="thin">
        <color theme="4" tint="0.59996337778862885"/>
      </top>
      <bottom style="medium">
        <color theme="4" tint="0.59996337778862885"/>
      </bottom>
      <diagonal/>
    </border>
    <border>
      <left style="thin">
        <color theme="4" tint="0.59996337778862885"/>
      </left>
      <right style="thin">
        <color theme="4" tint="0.59996337778862885"/>
      </right>
      <top style="medium">
        <color theme="4" tint="0.59996337778862885"/>
      </top>
      <bottom style="thin">
        <color theme="4" tint="0.59996337778862885"/>
      </bottom>
      <diagonal/>
    </border>
    <border>
      <left style="medium">
        <color theme="4" tint="0.59996337778862885"/>
      </left>
      <right style="thin">
        <color theme="4" tint="0.59996337778862885"/>
      </right>
      <top/>
      <bottom style="thin">
        <color theme="4" tint="0.59996337778862885"/>
      </bottom>
      <diagonal/>
    </border>
  </borders>
  <cellStyleXfs count="1">
    <xf numFmtId="0" fontId="0" fillId="0" borderId="0"/>
  </cellStyleXfs>
  <cellXfs count="30">
    <xf numFmtId="0" fontId="0" fillId="0" borderId="0" xfId="0"/>
    <xf numFmtId="165" fontId="2" fillId="3" borderId="1" xfId="0" applyNumberFormat="1" applyFont="1" applyFill="1" applyBorder="1" applyAlignment="1" applyProtection="1">
      <alignment horizontal="center" vertical="center"/>
    </xf>
    <xf numFmtId="164" fontId="2" fillId="3" borderId="1" xfId="0" applyNumberFormat="1" applyFont="1" applyFill="1" applyBorder="1" applyAlignment="1" applyProtection="1">
      <alignment horizontal="center" vertical="center"/>
      <protection locked="0"/>
    </xf>
    <xf numFmtId="1" fontId="2" fillId="3" borderId="1" xfId="0" applyNumberFormat="1" applyFont="1" applyFill="1" applyBorder="1" applyAlignment="1" applyProtection="1">
      <alignment horizontal="center" vertical="center"/>
      <protection locked="0"/>
    </xf>
    <xf numFmtId="165" fontId="3" fillId="4" borderId="1" xfId="0" applyNumberFormat="1" applyFont="1" applyFill="1" applyBorder="1" applyAlignment="1" applyProtection="1">
      <alignment horizontal="left" vertical="center"/>
    </xf>
    <xf numFmtId="0" fontId="3" fillId="4" borderId="0" xfId="0" applyFont="1" applyFill="1" applyProtection="1">
      <protection locked="0"/>
    </xf>
    <xf numFmtId="166" fontId="3" fillId="4" borderId="1" xfId="0" applyNumberFormat="1" applyFont="1" applyFill="1" applyBorder="1" applyAlignment="1" applyProtection="1">
      <alignment horizontal="right" vertical="center"/>
    </xf>
    <xf numFmtId="0" fontId="1" fillId="2" borderId="0" xfId="0" applyFont="1" applyFill="1" applyAlignment="1" applyProtection="1">
      <alignment horizontal="center" vertical="center" wrapText="1"/>
    </xf>
    <xf numFmtId="165" fontId="4" fillId="5" borderId="2" xfId="0" applyNumberFormat="1" applyFont="1" applyFill="1" applyBorder="1" applyAlignment="1" applyProtection="1">
      <alignment horizontal="left" vertical="center"/>
    </xf>
    <xf numFmtId="1" fontId="4" fillId="5" borderId="3" xfId="0" applyNumberFormat="1" applyFont="1" applyFill="1" applyBorder="1" applyAlignment="1" applyProtection="1">
      <alignment horizontal="right" vertical="center"/>
    </xf>
    <xf numFmtId="165" fontId="4" fillId="5" borderId="4" xfId="0" applyNumberFormat="1" applyFont="1" applyFill="1" applyBorder="1" applyAlignment="1" applyProtection="1">
      <alignment horizontal="left" vertical="center"/>
    </xf>
    <xf numFmtId="165" fontId="4" fillId="5" borderId="5" xfId="0" applyNumberFormat="1" applyFont="1" applyFill="1" applyBorder="1" applyAlignment="1" applyProtection="1">
      <alignment horizontal="center" vertical="center"/>
    </xf>
    <xf numFmtId="165" fontId="4" fillId="5" borderId="6" xfId="0" applyNumberFormat="1" applyFont="1" applyFill="1" applyBorder="1" applyAlignment="1" applyProtection="1">
      <alignment horizontal="left" vertical="center"/>
    </xf>
    <xf numFmtId="165" fontId="4" fillId="5" borderId="7" xfId="0" applyNumberFormat="1" applyFont="1" applyFill="1" applyBorder="1" applyAlignment="1" applyProtection="1">
      <alignment horizontal="center" vertical="center"/>
    </xf>
    <xf numFmtId="0" fontId="3" fillId="4" borderId="0" xfId="0" applyFont="1" applyFill="1" applyProtection="1"/>
    <xf numFmtId="0" fontId="3" fillId="4" borderId="8" xfId="0" applyFont="1" applyFill="1" applyBorder="1" applyProtection="1"/>
    <xf numFmtId="164" fontId="4" fillId="4" borderId="8" xfId="0" applyNumberFormat="1" applyFont="1" applyFill="1" applyBorder="1" applyProtection="1"/>
    <xf numFmtId="0" fontId="3" fillId="4" borderId="1" xfId="0" applyFont="1" applyFill="1" applyBorder="1" applyProtection="1"/>
    <xf numFmtId="164" fontId="4" fillId="4" borderId="1" xfId="0" applyNumberFormat="1" applyFont="1" applyFill="1" applyBorder="1" applyProtection="1"/>
    <xf numFmtId="164" fontId="2" fillId="6" borderId="1" xfId="0" applyNumberFormat="1" applyFont="1" applyFill="1" applyBorder="1" applyAlignment="1" applyProtection="1">
      <alignment horizontal="center" vertical="center"/>
      <protection locked="0"/>
    </xf>
    <xf numFmtId="1" fontId="2" fillId="6" borderId="1" xfId="0" applyNumberFormat="1" applyFont="1" applyFill="1" applyBorder="1" applyAlignment="1" applyProtection="1">
      <alignment horizontal="center" vertical="center"/>
      <protection locked="0"/>
    </xf>
    <xf numFmtId="165" fontId="2" fillId="6" borderId="1" xfId="0" applyNumberFormat="1" applyFont="1" applyFill="1" applyBorder="1" applyAlignment="1" applyProtection="1">
      <alignment horizontal="center" vertical="center"/>
    </xf>
    <xf numFmtId="1" fontId="2" fillId="3" borderId="1" xfId="0" applyNumberFormat="1" applyFont="1" applyFill="1" applyBorder="1" applyAlignment="1" applyProtection="1">
      <alignment horizontal="center" vertical="center"/>
    </xf>
    <xf numFmtId="1" fontId="2" fillId="6" borderId="1" xfId="0" applyNumberFormat="1" applyFont="1" applyFill="1" applyBorder="1" applyAlignment="1" applyProtection="1">
      <alignment horizontal="center" vertical="center"/>
    </xf>
    <xf numFmtId="165" fontId="4" fillId="5" borderId="9" xfId="0" applyNumberFormat="1" applyFont="1" applyFill="1" applyBorder="1" applyAlignment="1" applyProtection="1">
      <alignment horizontal="left" vertical="center"/>
    </xf>
    <xf numFmtId="165" fontId="5" fillId="4" borderId="1" xfId="0" applyNumberFormat="1" applyFont="1" applyFill="1" applyBorder="1" applyAlignment="1" applyProtection="1">
      <alignment horizontal="left" vertical="center"/>
    </xf>
    <xf numFmtId="1" fontId="6" fillId="2" borderId="1" xfId="0" applyNumberFormat="1" applyFont="1" applyFill="1" applyBorder="1" applyAlignment="1" applyProtection="1">
      <alignment horizontal="center" vertical="center"/>
      <protection locked="0"/>
    </xf>
    <xf numFmtId="165" fontId="7" fillId="2" borderId="1" xfId="0" applyNumberFormat="1" applyFont="1" applyFill="1" applyBorder="1" applyAlignment="1" applyProtection="1">
      <alignment horizontal="center" vertical="center"/>
      <protection locked="0"/>
    </xf>
    <xf numFmtId="165" fontId="6" fillId="2" borderId="1" xfId="0" applyNumberFormat="1" applyFont="1" applyFill="1" applyBorder="1" applyAlignment="1" applyProtection="1">
      <alignment horizontal="center" vertical="center"/>
      <protection locked="0"/>
    </xf>
    <xf numFmtId="1" fontId="7" fillId="2" borderId="1" xfId="0" applyNumberFormat="1" applyFont="1" applyFill="1" applyBorder="1" applyAlignment="1" applyProtection="1">
      <alignment horizontal="right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zoomScaleNormal="100" workbookViewId="0">
      <pane ySplit="1" topLeftCell="A8" activePane="bottomLeft" state="frozen"/>
      <selection pane="bottomLeft" activeCell="A19" sqref="A19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46094</v>
      </c>
      <c r="B2" s="22">
        <f>IF(A2&lt;&gt;"",1,"")</f>
        <v>1</v>
      </c>
      <c r="C2" s="3"/>
      <c r="D2" s="1">
        <f t="shared" ref="D2:D18" si="0">IF(AND($A2&lt;&gt;"",$B2&lt;&gt;""),$K$9,"")</f>
        <v>9800</v>
      </c>
      <c r="E2" s="1">
        <f>IF(AND($A2&lt;&gt;"",$B2&lt;&gt;""),$K$7*$K$8,"")</f>
        <v>2807.2186911225131</v>
      </c>
      <c r="F2" s="1">
        <f>IF(AND($A2&lt;&gt;"",$B2&lt;&gt;""),D2-E2,"")</f>
        <v>6992.7813088774874</v>
      </c>
      <c r="G2" s="1">
        <f>IF(AND($A2&lt;&gt;"",$B2&lt;&gt;""),$K$7-F2,"")</f>
        <v>133007.21869112251</v>
      </c>
      <c r="H2" s="1">
        <f>IF(AND($A2&lt;&gt;"",$B2&lt;&gt;""),$K$7-G2,"")</f>
        <v>6992.7813088774856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L140000W17-Sanarei_Group-NLoan1</v>
      </c>
    </row>
    <row r="3" spans="1:11" x14ac:dyDescent="0.3">
      <c r="A3" s="19">
        <v>46101</v>
      </c>
      <c r="B3" s="23">
        <f>IF(A3&lt;&gt;"",B2+1,"")</f>
        <v>2</v>
      </c>
      <c r="C3" s="20"/>
      <c r="D3" s="21">
        <f t="shared" si="0"/>
        <v>9800</v>
      </c>
      <c r="E3" s="21">
        <f t="shared" ref="E3:E18" si="1">IF(AND($A3&lt;&gt;"",$B3&lt;&gt;""),G2*$K$8,"")</f>
        <v>2667.0025025995628</v>
      </c>
      <c r="F3" s="21">
        <f>IF(AND($A3&lt;&gt;"",$B3&lt;&gt;""),D3-E3,"")</f>
        <v>7132.9974974004372</v>
      </c>
      <c r="G3" s="21">
        <f>IF(AND($A3&lt;&gt;"",$B3&lt;&gt;""),G2-F3,"")</f>
        <v>125874.22119372207</v>
      </c>
      <c r="H3" s="21">
        <f t="shared" ref="H3:H18" si="2">IF(AND($A3&lt;&gt;"",$B3&lt;&gt;""),$K$7-G3,"")</f>
        <v>14125.778806277929</v>
      </c>
      <c r="J3" s="4" t="s">
        <v>10</v>
      </c>
      <c r="K3" s="26" t="s">
        <v>21</v>
      </c>
    </row>
    <row r="4" spans="1:11" x14ac:dyDescent="0.3">
      <c r="A4" s="2">
        <v>46108</v>
      </c>
      <c r="B4" s="22">
        <f t="shared" ref="B4:B18" si="3">IF(A4&lt;&gt;"",B3+1,"")</f>
        <v>3</v>
      </c>
      <c r="C4" s="3"/>
      <c r="D4" s="1">
        <f t="shared" si="0"/>
        <v>9800</v>
      </c>
      <c r="E4" s="1">
        <f t="shared" si="1"/>
        <v>2523.974760467901</v>
      </c>
      <c r="F4" s="1">
        <f t="shared" ref="F4:F18" si="4">IF(AND($A4&lt;&gt;"",$B4&lt;&gt;""),D4-E4,"")</f>
        <v>7276.0252395320986</v>
      </c>
      <c r="G4" s="1">
        <f t="shared" ref="G4:G18" si="5">IF(AND($A4&lt;&gt;"",$B4&lt;&gt;""),G3-F4,"")</f>
        <v>118598.19595418997</v>
      </c>
      <c r="H4" s="1">
        <f t="shared" si="2"/>
        <v>21401.804045810029</v>
      </c>
      <c r="J4" s="4" t="s">
        <v>11</v>
      </c>
      <c r="K4" s="26"/>
    </row>
    <row r="5" spans="1:11" x14ac:dyDescent="0.3">
      <c r="A5" s="19">
        <v>46115</v>
      </c>
      <c r="B5" s="23">
        <f t="shared" si="3"/>
        <v>4</v>
      </c>
      <c r="C5" s="20"/>
      <c r="D5" s="21">
        <f t="shared" si="0"/>
        <v>9800</v>
      </c>
      <c r="E5" s="21">
        <f t="shared" si="1"/>
        <v>2378.0790886858035</v>
      </c>
      <c r="F5" s="21">
        <f t="shared" si="4"/>
        <v>7421.9209113141969</v>
      </c>
      <c r="G5" s="21">
        <f t="shared" si="5"/>
        <v>111176.27504287577</v>
      </c>
      <c r="H5" s="21">
        <f t="shared" si="2"/>
        <v>28823.724957124228</v>
      </c>
      <c r="J5" s="4" t="s">
        <v>12</v>
      </c>
      <c r="K5" s="26"/>
    </row>
    <row r="6" spans="1:11" x14ac:dyDescent="0.3">
      <c r="A6" s="2">
        <v>46129</v>
      </c>
      <c r="B6" s="22">
        <f t="shared" si="3"/>
        <v>5</v>
      </c>
      <c r="C6" s="3"/>
      <c r="D6" s="1">
        <f t="shared" si="0"/>
        <v>9800</v>
      </c>
      <c r="E6" s="1">
        <f t="shared" si="1"/>
        <v>2229.2579807838442</v>
      </c>
      <c r="F6" s="1">
        <f t="shared" si="4"/>
        <v>7570.7420192161553</v>
      </c>
      <c r="G6" s="1">
        <f t="shared" si="5"/>
        <v>103605.53302365962</v>
      </c>
      <c r="H6" s="1">
        <f t="shared" si="2"/>
        <v>36394.46697634038</v>
      </c>
      <c r="J6" s="4" t="s">
        <v>13</v>
      </c>
      <c r="K6" s="26"/>
    </row>
    <row r="7" spans="1:11" x14ac:dyDescent="0.3">
      <c r="A7" s="19">
        <v>46131</v>
      </c>
      <c r="B7" s="23">
        <f t="shared" si="3"/>
        <v>6</v>
      </c>
      <c r="C7" s="20"/>
      <c r="D7" s="21">
        <f t="shared" si="0"/>
        <v>9800</v>
      </c>
      <c r="E7" s="21">
        <f t="shared" si="1"/>
        <v>2077.4527771980574</v>
      </c>
      <c r="F7" s="21">
        <f t="shared" si="4"/>
        <v>7722.5472228019426</v>
      </c>
      <c r="G7" s="21">
        <f t="shared" si="5"/>
        <v>95882.985800857685</v>
      </c>
      <c r="H7" s="21">
        <f t="shared" si="2"/>
        <v>44117.014199142315</v>
      </c>
      <c r="J7" s="4" t="s">
        <v>6</v>
      </c>
      <c r="K7" s="27">
        <v>140000</v>
      </c>
    </row>
    <row r="8" spans="1:11" x14ac:dyDescent="0.3">
      <c r="A8" s="2">
        <v>46113</v>
      </c>
      <c r="B8" s="22">
        <f t="shared" si="3"/>
        <v>7</v>
      </c>
      <c r="C8" s="3"/>
      <c r="D8" s="1">
        <f t="shared" si="0"/>
        <v>9800</v>
      </c>
      <c r="E8" s="1">
        <f t="shared" si="1"/>
        <v>1922.6036421485871</v>
      </c>
      <c r="F8" s="1">
        <f t="shared" si="4"/>
        <v>7877.3963578514131</v>
      </c>
      <c r="G8" s="1">
        <f t="shared" si="5"/>
        <v>88005.589443006276</v>
      </c>
      <c r="H8" s="1">
        <f t="shared" si="2"/>
        <v>51994.410556993724</v>
      </c>
      <c r="J8" s="4" t="s">
        <v>14</v>
      </c>
      <c r="K8" s="6">
        <f>RATE(K10,-K9,K7)</f>
        <v>2.0051562079446521E-2</v>
      </c>
    </row>
    <row r="9" spans="1:11" x14ac:dyDescent="0.3">
      <c r="A9" s="19">
        <v>46150</v>
      </c>
      <c r="B9" s="23">
        <f t="shared" si="3"/>
        <v>8</v>
      </c>
      <c r="C9" s="20"/>
      <c r="D9" s="21">
        <f t="shared" si="0"/>
        <v>9800</v>
      </c>
      <c r="E9" s="21">
        <f t="shared" si="1"/>
        <v>1764.6495400547237</v>
      </c>
      <c r="F9" s="21">
        <f t="shared" si="4"/>
        <v>8035.3504599452763</v>
      </c>
      <c r="G9" s="21">
        <f t="shared" si="5"/>
        <v>79970.238983061005</v>
      </c>
      <c r="H9" s="21">
        <f t="shared" si="2"/>
        <v>60029.761016938995</v>
      </c>
      <c r="J9" s="4" t="s">
        <v>7</v>
      </c>
      <c r="K9" s="28">
        <v>9800</v>
      </c>
    </row>
    <row r="10" spans="1:11" x14ac:dyDescent="0.3">
      <c r="A10" s="2">
        <v>46157</v>
      </c>
      <c r="B10" s="22">
        <f t="shared" si="3"/>
        <v>9</v>
      </c>
      <c r="C10" s="3"/>
      <c r="D10" s="1">
        <f t="shared" si="0"/>
        <v>9800</v>
      </c>
      <c r="E10" s="1">
        <f t="shared" si="1"/>
        <v>1603.5282114770218</v>
      </c>
      <c r="F10" s="1">
        <f t="shared" si="4"/>
        <v>8196.4717885229784</v>
      </c>
      <c r="G10" s="1">
        <f t="shared" si="5"/>
        <v>71773.767194538028</v>
      </c>
      <c r="H10" s="1">
        <f t="shared" si="2"/>
        <v>68226.232805461972</v>
      </c>
      <c r="J10" s="4" t="s">
        <v>8</v>
      </c>
      <c r="K10" s="29">
        <v>17</v>
      </c>
    </row>
    <row r="11" spans="1:11" ht="17.25" thickBot="1" x14ac:dyDescent="0.35">
      <c r="A11" s="19">
        <v>46164</v>
      </c>
      <c r="B11" s="23">
        <f t="shared" si="3"/>
        <v>10</v>
      </c>
      <c r="C11" s="20"/>
      <c r="D11" s="21">
        <f t="shared" si="0"/>
        <v>9800</v>
      </c>
      <c r="E11" s="21">
        <f t="shared" si="1"/>
        <v>1439.1761485770214</v>
      </c>
      <c r="F11" s="21">
        <f t="shared" si="4"/>
        <v>8360.8238514229779</v>
      </c>
      <c r="G11" s="21">
        <f t="shared" si="5"/>
        <v>63412.943343115054</v>
      </c>
      <c r="H11" s="21">
        <f t="shared" si="2"/>
        <v>76587.056656884946</v>
      </c>
      <c r="J11" s="14"/>
    </row>
    <row r="12" spans="1:11" x14ac:dyDescent="0.3">
      <c r="A12" s="2">
        <v>46171</v>
      </c>
      <c r="B12" s="22">
        <f t="shared" si="3"/>
        <v>11</v>
      </c>
      <c r="C12" s="3"/>
      <c r="D12" s="1">
        <f t="shared" si="0"/>
        <v>9800</v>
      </c>
      <c r="E12" s="1">
        <f t="shared" si="1"/>
        <v>1271.5285700848965</v>
      </c>
      <c r="F12" s="1">
        <f t="shared" si="4"/>
        <v>8528.4714299151037</v>
      </c>
      <c r="G12" s="1">
        <f t="shared" si="5"/>
        <v>54884.471913199952</v>
      </c>
      <c r="H12" s="1">
        <f t="shared" si="2"/>
        <v>85115.528086800041</v>
      </c>
      <c r="J12" s="8" t="s">
        <v>16</v>
      </c>
      <c r="K12" s="9">
        <f>IFERROR(MAX($B:$B),"")</f>
        <v>17</v>
      </c>
    </row>
    <row r="13" spans="1:11" x14ac:dyDescent="0.3">
      <c r="A13" s="19">
        <v>46178</v>
      </c>
      <c r="B13" s="23">
        <f t="shared" si="3"/>
        <v>12</v>
      </c>
      <c r="C13" s="20"/>
      <c r="D13" s="21">
        <f t="shared" si="0"/>
        <v>9800</v>
      </c>
      <c r="E13" s="21">
        <f t="shared" si="1"/>
        <v>1100.5193957651677</v>
      </c>
      <c r="F13" s="21">
        <f t="shared" si="4"/>
        <v>8699.4806042348318</v>
      </c>
      <c r="G13" s="21">
        <f t="shared" si="5"/>
        <v>46184.991308965124</v>
      </c>
      <c r="H13" s="21">
        <f t="shared" si="2"/>
        <v>93815.008691034876</v>
      </c>
      <c r="J13" s="24" t="s">
        <v>22</v>
      </c>
      <c r="K13" s="11">
        <f>(K10*K9)-K9*K12</f>
        <v>0</v>
      </c>
    </row>
    <row r="14" spans="1:11" x14ac:dyDescent="0.3">
      <c r="A14" s="2">
        <v>46185</v>
      </c>
      <c r="B14" s="22">
        <f t="shared" si="3"/>
        <v>13</v>
      </c>
      <c r="C14" s="3"/>
      <c r="D14" s="1">
        <f t="shared" si="0"/>
        <v>9800</v>
      </c>
      <c r="E14" s="1">
        <f t="shared" si="1"/>
        <v>926.08122037041221</v>
      </c>
      <c r="F14" s="1">
        <f t="shared" si="4"/>
        <v>8873.9187796295882</v>
      </c>
      <c r="G14" s="1">
        <f t="shared" si="5"/>
        <v>37311.072529335535</v>
      </c>
      <c r="H14" s="1">
        <f t="shared" si="2"/>
        <v>102688.92747066446</v>
      </c>
      <c r="J14" s="10" t="s">
        <v>23</v>
      </c>
      <c r="K14" s="11">
        <f>IF(A2="", K9*K10, IFERROR(INDEX($G:$G, MATCH($K$12, $B:$B, 0)), 0))</f>
        <v>6.4028427004814148E-9</v>
      </c>
    </row>
    <row r="15" spans="1:11" ht="17.25" thickBot="1" x14ac:dyDescent="0.35">
      <c r="A15" s="19">
        <v>46193</v>
      </c>
      <c r="B15" s="23">
        <f t="shared" si="3"/>
        <v>14</v>
      </c>
      <c r="C15" s="20"/>
      <c r="D15" s="21">
        <f t="shared" si="0"/>
        <v>9800</v>
      </c>
      <c r="E15" s="21">
        <f t="shared" si="1"/>
        <v>748.14528707270324</v>
      </c>
      <c r="F15" s="21">
        <f t="shared" si="4"/>
        <v>9051.8547129272974</v>
      </c>
      <c r="G15" s="21">
        <f t="shared" si="5"/>
        <v>28259.217816408236</v>
      </c>
      <c r="H15" s="21">
        <f t="shared" si="2"/>
        <v>111740.78218359177</v>
      </c>
      <c r="J15" s="12" t="s">
        <v>5</v>
      </c>
      <c r="K15" s="13">
        <f>IFERROR(INDEX($H:$H, MATCH($K$12, $B:$B, 0)), 0)</f>
        <v>139999.9999999936</v>
      </c>
    </row>
    <row r="16" spans="1:11" x14ac:dyDescent="0.3">
      <c r="A16" s="2">
        <v>46199</v>
      </c>
      <c r="B16" s="22">
        <f t="shared" si="3"/>
        <v>15</v>
      </c>
      <c r="C16" s="3"/>
      <c r="D16" s="1">
        <f t="shared" si="0"/>
        <v>9800</v>
      </c>
      <c r="E16" s="1">
        <f t="shared" si="1"/>
        <v>566.64146036231091</v>
      </c>
      <c r="F16" s="1">
        <f t="shared" si="4"/>
        <v>9233.3585396376893</v>
      </c>
      <c r="G16" s="1">
        <f t="shared" si="5"/>
        <v>19025.859276770549</v>
      </c>
      <c r="H16" s="1">
        <f t="shared" si="2"/>
        <v>120974.14072322944</v>
      </c>
      <c r="J16" s="15" t="s">
        <v>18</v>
      </c>
      <c r="K16" s="16">
        <f>IF(A2,A2, "")</f>
        <v>46094</v>
      </c>
    </row>
    <row r="17" spans="1:11" x14ac:dyDescent="0.3">
      <c r="A17" s="19">
        <v>46202</v>
      </c>
      <c r="B17" s="23">
        <f t="shared" si="3"/>
        <v>16</v>
      </c>
      <c r="C17" s="20"/>
      <c r="D17" s="21">
        <f t="shared" si="0"/>
        <v>9800</v>
      </c>
      <c r="E17" s="21">
        <f t="shared" si="1"/>
        <v>381.49819840297812</v>
      </c>
      <c r="F17" s="21">
        <f t="shared" si="4"/>
        <v>9418.5018015970218</v>
      </c>
      <c r="G17" s="21">
        <f t="shared" si="5"/>
        <v>9607.3574751735268</v>
      </c>
      <c r="H17" s="21">
        <f t="shared" si="2"/>
        <v>130392.64252482647</v>
      </c>
      <c r="J17" s="17" t="s">
        <v>19</v>
      </c>
      <c r="K17" s="18">
        <f xml:space="preserve"> IF(A2,(K16 + (17*7)),"")</f>
        <v>46213</v>
      </c>
    </row>
    <row r="18" spans="1:11" x14ac:dyDescent="0.3">
      <c r="A18" s="2">
        <v>46202</v>
      </c>
      <c r="B18" s="22">
        <f t="shared" si="3"/>
        <v>17</v>
      </c>
      <c r="C18" s="3"/>
      <c r="D18" s="1">
        <f t="shared" si="0"/>
        <v>9800</v>
      </c>
      <c r="E18" s="1">
        <f t="shared" si="1"/>
        <v>192.64252483287655</v>
      </c>
      <c r="F18" s="1">
        <f t="shared" si="4"/>
        <v>9607.357475167124</v>
      </c>
      <c r="G18" s="1">
        <f t="shared" si="5"/>
        <v>6.4028427004814148E-9</v>
      </c>
      <c r="H18" s="1">
        <f t="shared" si="2"/>
        <v>139999.9999999936</v>
      </c>
    </row>
  </sheetData>
  <sheetProtection algorithmName="SHA-512" hashValue="VvrDjkxsgxp9zdLriIBeac58Fu/dqIkpgxR+lBziZneDInhucxY8Z9ejTcAvJXbSGdeSpH4H8iXH0cVk9uw/SA==" saltValue="sW4cU427OcuV7p5NATu0hA==" spinCount="100000" sheet="1" objects="1" scenarios="1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8"/>
  <sheetViews>
    <sheetView tabSelected="1" workbookViewId="0">
      <selection activeCell="A15" sqref="A15"/>
    </sheetView>
  </sheetViews>
  <sheetFormatPr defaultRowHeight="16.5" x14ac:dyDescent="0.3"/>
  <cols>
    <col min="1" max="1" width="15.85546875" style="5" customWidth="1"/>
    <col min="2" max="2" width="8.5703125" style="5" customWidth="1"/>
    <col min="3" max="3" width="12.42578125" style="5" customWidth="1"/>
    <col min="4" max="7" width="14.7109375" style="5" customWidth="1"/>
    <col min="8" max="8" width="13" style="5" customWidth="1"/>
    <col min="9" max="9" width="1.28515625" style="5" customWidth="1"/>
    <col min="10" max="10" width="21.7109375" style="5" customWidth="1"/>
    <col min="11" max="11" width="23.140625" style="5" customWidth="1"/>
    <col min="12" max="16384" width="9.140625" style="5"/>
  </cols>
  <sheetData>
    <row r="1" spans="1:11" ht="33" x14ac:dyDescent="0.3">
      <c r="A1" s="7" t="s">
        <v>0</v>
      </c>
      <c r="B1" s="7" t="s">
        <v>15</v>
      </c>
      <c r="C1" s="7" t="s">
        <v>20</v>
      </c>
      <c r="D1" s="7" t="s">
        <v>1</v>
      </c>
      <c r="E1" s="7" t="s">
        <v>2</v>
      </c>
      <c r="F1" s="7" t="s">
        <v>3</v>
      </c>
      <c r="G1" s="7" t="s">
        <v>4</v>
      </c>
      <c r="H1" s="7" t="s">
        <v>5</v>
      </c>
      <c r="J1" s="7" t="s">
        <v>9</v>
      </c>
      <c r="K1" s="7"/>
    </row>
    <row r="2" spans="1:11" x14ac:dyDescent="0.3">
      <c r="A2" s="2">
        <v>46206</v>
      </c>
      <c r="B2" s="22">
        <f>IF(A2&lt;&gt;"",1,"")</f>
        <v>1</v>
      </c>
      <c r="C2" s="3"/>
      <c r="D2" s="1">
        <f t="shared" ref="D2:D18" si="0">IF(AND($A2&lt;&gt;"",$B2&lt;&gt;""),$K$9,"")</f>
        <v>12600</v>
      </c>
      <c r="E2" s="1">
        <f>IF(AND($A2&lt;&gt;"",$B2&lt;&gt;""),$K$7*$K$8,"")</f>
        <v>3609.2811743003631</v>
      </c>
      <c r="F2" s="1">
        <f>IF(AND($A2&lt;&gt;"",$B2&lt;&gt;""),D2-E2,"")</f>
        <v>8990.7188256996378</v>
      </c>
      <c r="G2" s="1">
        <f>IF(AND($A2&lt;&gt;"",$B2&lt;&gt;""),$K$7-F2,"")</f>
        <v>171009.28117430035</v>
      </c>
      <c r="H2" s="1">
        <f>IF(AND($A2&lt;&gt;"",$B2&lt;&gt;""),$K$7-G2,"")</f>
        <v>8990.7188256996451</v>
      </c>
      <c r="J2" s="4" t="s">
        <v>17</v>
      </c>
      <c r="K2" s="25" t="str">
        <f ca="1">IF(K3&lt;&gt;"",
   "L" &amp; TEXT(K7,"0") &amp;
   IF(J10="Weeks","W","D") &amp; K10 &amp;
   "-" &amp; K3 &amp;
   "-N" &amp; RIGHT(CELL("filename",A1),LEN(CELL("filename",A1))-FIND("]",CELL("filename",A1))),
   "")</f>
        <v>L180000W17-Sanarei_Group-N195</v>
      </c>
    </row>
    <row r="3" spans="1:11" x14ac:dyDescent="0.3">
      <c r="A3" s="19">
        <v>46213</v>
      </c>
      <c r="B3" s="23">
        <f>IF(A3&lt;&gt;"",B2+1,"")</f>
        <v>2</v>
      </c>
      <c r="C3" s="20"/>
      <c r="D3" s="21">
        <f t="shared" si="0"/>
        <v>12600</v>
      </c>
      <c r="E3" s="21">
        <f t="shared" ref="E3:E18" si="1">IF(AND($A3&lt;&gt;"",$B3&lt;&gt;""),G2*$K$8,"")</f>
        <v>3429.0032176279988</v>
      </c>
      <c r="F3" s="21">
        <f>IF(AND($A3&lt;&gt;"",$B3&lt;&gt;""),D3-E3,"")</f>
        <v>9170.9967823720017</v>
      </c>
      <c r="G3" s="21">
        <f>IF(AND($A3&lt;&gt;"",$B3&lt;&gt;""),G2-F3,"")</f>
        <v>161838.28439192835</v>
      </c>
      <c r="H3" s="21">
        <f t="shared" ref="H3:H18" si="2">IF(AND($A3&lt;&gt;"",$B3&lt;&gt;""),$K$7-G3,"")</f>
        <v>18161.715608071652</v>
      </c>
      <c r="J3" s="4" t="s">
        <v>10</v>
      </c>
      <c r="K3" s="26" t="s">
        <v>21</v>
      </c>
    </row>
    <row r="4" spans="1:11" x14ac:dyDescent="0.3">
      <c r="A4" s="2">
        <v>46220</v>
      </c>
      <c r="B4" s="22">
        <f t="shared" ref="B4:B18" si="3">IF(A4&lt;&gt;"",B3+1,"")</f>
        <v>3</v>
      </c>
      <c r="C4" s="3"/>
      <c r="D4" s="1">
        <f t="shared" si="0"/>
        <v>12600</v>
      </c>
      <c r="E4" s="1">
        <f t="shared" si="1"/>
        <v>3245.1104063158627</v>
      </c>
      <c r="F4" s="1">
        <f t="shared" ref="F4:F18" si="4">IF(AND($A4&lt;&gt;"",$B4&lt;&gt;""),D4-E4,"")</f>
        <v>9354.8895936841363</v>
      </c>
      <c r="G4" s="1">
        <f t="shared" ref="G4:G18" si="5">IF(AND($A4&lt;&gt;"",$B4&lt;&gt;""),G3-F4,"")</f>
        <v>152483.3947982442</v>
      </c>
      <c r="H4" s="1">
        <f t="shared" si="2"/>
        <v>27516.605201755796</v>
      </c>
      <c r="J4" s="4" t="s">
        <v>11</v>
      </c>
      <c r="K4" s="26"/>
    </row>
    <row r="5" spans="1:11" x14ac:dyDescent="0.3">
      <c r="A5" s="19">
        <v>46227</v>
      </c>
      <c r="B5" s="23">
        <f t="shared" si="3"/>
        <v>4</v>
      </c>
      <c r="C5" s="20"/>
      <c r="D5" s="21">
        <f t="shared" si="0"/>
        <v>12600</v>
      </c>
      <c r="E5" s="21">
        <f t="shared" si="1"/>
        <v>3057.5302568817374</v>
      </c>
      <c r="F5" s="21">
        <f t="shared" si="4"/>
        <v>9542.4697431182631</v>
      </c>
      <c r="G5" s="21">
        <f t="shared" si="5"/>
        <v>142940.92505512593</v>
      </c>
      <c r="H5" s="21">
        <f t="shared" si="2"/>
        <v>37059.074944874068</v>
      </c>
      <c r="J5" s="4" t="s">
        <v>12</v>
      </c>
      <c r="K5" s="26"/>
    </row>
    <row r="6" spans="1:11" x14ac:dyDescent="0.3">
      <c r="A6" s="2">
        <v>46234</v>
      </c>
      <c r="B6" s="22">
        <f t="shared" si="3"/>
        <v>5</v>
      </c>
      <c r="C6" s="3"/>
      <c r="D6" s="1">
        <f t="shared" si="0"/>
        <v>12600</v>
      </c>
      <c r="E6" s="1">
        <f t="shared" si="1"/>
        <v>2866.1888324363617</v>
      </c>
      <c r="F6" s="1">
        <f t="shared" si="4"/>
        <v>9733.8111675636392</v>
      </c>
      <c r="G6" s="1">
        <f t="shared" si="5"/>
        <v>133207.1138875623</v>
      </c>
      <c r="H6" s="1">
        <f t="shared" si="2"/>
        <v>46792.8861124377</v>
      </c>
      <c r="J6" s="4" t="s">
        <v>13</v>
      </c>
      <c r="K6" s="26"/>
    </row>
    <row r="7" spans="1:11" x14ac:dyDescent="0.3">
      <c r="A7" s="19">
        <v>46241</v>
      </c>
      <c r="B7" s="23">
        <f t="shared" si="3"/>
        <v>6</v>
      </c>
      <c r="C7" s="20"/>
      <c r="D7" s="21">
        <f t="shared" si="0"/>
        <v>12600</v>
      </c>
      <c r="E7" s="21">
        <f t="shared" si="1"/>
        <v>2671.0107135403505</v>
      </c>
      <c r="F7" s="21">
        <f t="shared" si="4"/>
        <v>9928.9892864596495</v>
      </c>
      <c r="G7" s="21">
        <f t="shared" si="5"/>
        <v>123278.12460110265</v>
      </c>
      <c r="H7" s="21">
        <f t="shared" si="2"/>
        <v>56721.875398897348</v>
      </c>
      <c r="J7" s="4" t="s">
        <v>6</v>
      </c>
      <c r="K7" s="27">
        <v>180000</v>
      </c>
    </row>
    <row r="8" spans="1:11" x14ac:dyDescent="0.3">
      <c r="A8" s="2">
        <v>46248</v>
      </c>
      <c r="B8" s="22">
        <f t="shared" si="3"/>
        <v>7</v>
      </c>
      <c r="C8" s="3"/>
      <c r="D8" s="1">
        <f t="shared" si="0"/>
        <v>12600</v>
      </c>
      <c r="E8" s="1">
        <f t="shared" si="1"/>
        <v>2471.9189684767457</v>
      </c>
      <c r="F8" s="1">
        <f t="shared" si="4"/>
        <v>10128.081031523254</v>
      </c>
      <c r="G8" s="1">
        <f t="shared" si="5"/>
        <v>113150.0435695794</v>
      </c>
      <c r="H8" s="1">
        <f t="shared" si="2"/>
        <v>66849.9564304206</v>
      </c>
      <c r="J8" s="4" t="s">
        <v>14</v>
      </c>
      <c r="K8" s="6">
        <f>RATE(K10,-K9,K7)</f>
        <v>2.0051562079446462E-2</v>
      </c>
    </row>
    <row r="9" spans="1:11" x14ac:dyDescent="0.3">
      <c r="A9" s="19">
        <v>46255</v>
      </c>
      <c r="B9" s="23">
        <f t="shared" si="3"/>
        <v>8</v>
      </c>
      <c r="C9" s="20"/>
      <c r="D9" s="21">
        <f t="shared" si="0"/>
        <v>12600</v>
      </c>
      <c r="E9" s="21">
        <f t="shared" si="1"/>
        <v>2268.8351229274931</v>
      </c>
      <c r="F9" s="21">
        <f t="shared" si="4"/>
        <v>10331.164877072508</v>
      </c>
      <c r="G9" s="21">
        <f t="shared" si="5"/>
        <v>102818.8786925069</v>
      </c>
      <c r="H9" s="21">
        <f t="shared" si="2"/>
        <v>77181.1213074931</v>
      </c>
      <c r="J9" s="4" t="s">
        <v>7</v>
      </c>
      <c r="K9" s="28">
        <v>12600</v>
      </c>
    </row>
    <row r="10" spans="1:11" x14ac:dyDescent="0.3">
      <c r="A10" s="2">
        <v>46262</v>
      </c>
      <c r="B10" s="22">
        <f t="shared" si="3"/>
        <v>9</v>
      </c>
      <c r="C10" s="3"/>
      <c r="D10" s="1">
        <f t="shared" si="0"/>
        <v>12600</v>
      </c>
      <c r="E10" s="1">
        <f t="shared" si="1"/>
        <v>2061.6791290418773</v>
      </c>
      <c r="F10" s="1">
        <f t="shared" si="4"/>
        <v>10538.320870958123</v>
      </c>
      <c r="G10" s="1">
        <f t="shared" si="5"/>
        <v>92280.557821548777</v>
      </c>
      <c r="H10" s="1">
        <f t="shared" si="2"/>
        <v>87719.442178451223</v>
      </c>
      <c r="J10" s="4" t="s">
        <v>8</v>
      </c>
      <c r="K10" s="29">
        <v>17</v>
      </c>
    </row>
    <row r="11" spans="1:11" ht="17.25" thickBot="1" x14ac:dyDescent="0.35">
      <c r="A11" s="19">
        <v>46269</v>
      </c>
      <c r="B11" s="23">
        <f t="shared" si="3"/>
        <v>10</v>
      </c>
      <c r="C11" s="20"/>
      <c r="D11" s="21">
        <f t="shared" si="0"/>
        <v>12600</v>
      </c>
      <c r="E11" s="21">
        <f t="shared" si="1"/>
        <v>1850.369333884734</v>
      </c>
      <c r="F11" s="21">
        <f t="shared" si="4"/>
        <v>10749.630666115267</v>
      </c>
      <c r="G11" s="21">
        <f t="shared" si="5"/>
        <v>81530.927155433514</v>
      </c>
      <c r="H11" s="21">
        <f t="shared" si="2"/>
        <v>98469.072844566486</v>
      </c>
      <c r="J11" s="14"/>
    </row>
    <row r="12" spans="1:11" x14ac:dyDescent="0.3">
      <c r="A12" s="2">
        <v>46276</v>
      </c>
      <c r="B12" s="22">
        <f t="shared" si="3"/>
        <v>11</v>
      </c>
      <c r="C12" s="3"/>
      <c r="D12" s="1">
        <f t="shared" si="0"/>
        <v>12600</v>
      </c>
      <c r="E12" s="1">
        <f t="shared" si="1"/>
        <v>1634.8224472520023</v>
      </c>
      <c r="F12" s="1">
        <f t="shared" si="4"/>
        <v>10965.177552747999</v>
      </c>
      <c r="G12" s="1">
        <f t="shared" si="5"/>
        <v>70565.749602685508</v>
      </c>
      <c r="H12" s="1">
        <f t="shared" si="2"/>
        <v>109434.25039731449</v>
      </c>
      <c r="J12" s="8" t="s">
        <v>16</v>
      </c>
      <c r="K12" s="9">
        <f>IFERROR(MAX($B:$B),"")</f>
        <v>13</v>
      </c>
    </row>
    <row r="13" spans="1:11" x14ac:dyDescent="0.3">
      <c r="A13" s="19">
        <v>46283</v>
      </c>
      <c r="B13" s="23">
        <f t="shared" si="3"/>
        <v>12</v>
      </c>
      <c r="C13" s="20"/>
      <c r="D13" s="21">
        <f t="shared" si="0"/>
        <v>12600</v>
      </c>
      <c r="E13" s="21">
        <f t="shared" si="1"/>
        <v>1414.953508840923</v>
      </c>
      <c r="F13" s="21">
        <f t="shared" si="4"/>
        <v>11185.046491159077</v>
      </c>
      <c r="G13" s="21">
        <f t="shared" si="5"/>
        <v>59380.703111526433</v>
      </c>
      <c r="H13" s="21">
        <f t="shared" si="2"/>
        <v>120619.29688847356</v>
      </c>
      <c r="J13" s="24" t="s">
        <v>22</v>
      </c>
      <c r="K13" s="11">
        <f>(K10*K9)-K9*K12</f>
        <v>50400</v>
      </c>
    </row>
    <row r="14" spans="1:11" x14ac:dyDescent="0.3">
      <c r="A14" s="2">
        <v>46290</v>
      </c>
      <c r="B14" s="22">
        <f t="shared" si="3"/>
        <v>13</v>
      </c>
      <c r="C14" s="3"/>
      <c r="D14" s="1">
        <f t="shared" si="0"/>
        <v>12600</v>
      </c>
      <c r="E14" s="1">
        <f t="shared" si="1"/>
        <v>1190.675854761952</v>
      </c>
      <c r="F14" s="1">
        <f t="shared" si="4"/>
        <v>11409.324145238048</v>
      </c>
      <c r="G14" s="1">
        <f t="shared" si="5"/>
        <v>47971.378966288386</v>
      </c>
      <c r="H14" s="1">
        <f t="shared" si="2"/>
        <v>132028.62103371162</v>
      </c>
      <c r="J14" s="10" t="s">
        <v>23</v>
      </c>
      <c r="K14" s="11">
        <f>IF(A2="", K9*K10, IFERROR(INDEX($G:$G, MATCH($K$12, $B:$B, 0)), 0))</f>
        <v>47971.378966288386</v>
      </c>
    </row>
    <row r="15" spans="1:11" ht="17.25" thickBot="1" x14ac:dyDescent="0.35">
      <c r="A15" s="19"/>
      <c r="B15" s="23" t="str">
        <f t="shared" si="3"/>
        <v/>
      </c>
      <c r="C15" s="20"/>
      <c r="D15" s="21" t="str">
        <f t="shared" si="0"/>
        <v/>
      </c>
      <c r="E15" s="21" t="str">
        <f t="shared" si="1"/>
        <v/>
      </c>
      <c r="F15" s="21" t="str">
        <f t="shared" si="4"/>
        <v/>
      </c>
      <c r="G15" s="21" t="str">
        <f t="shared" si="5"/>
        <v/>
      </c>
      <c r="H15" s="21" t="str">
        <f t="shared" si="2"/>
        <v/>
      </c>
      <c r="J15" s="12" t="s">
        <v>5</v>
      </c>
      <c r="K15" s="13">
        <f>IFERROR(INDEX($H:$H, MATCH($K$12, $B:$B, 0)), 0)</f>
        <v>132028.62103371162</v>
      </c>
    </row>
    <row r="16" spans="1:11" x14ac:dyDescent="0.3">
      <c r="A16" s="2"/>
      <c r="B16" s="22" t="str">
        <f t="shared" si="3"/>
        <v/>
      </c>
      <c r="C16" s="3"/>
      <c r="D16" s="1" t="str">
        <f t="shared" si="0"/>
        <v/>
      </c>
      <c r="E16" s="1" t="str">
        <f t="shared" si="1"/>
        <v/>
      </c>
      <c r="F16" s="1" t="str">
        <f t="shared" si="4"/>
        <v/>
      </c>
      <c r="G16" s="1" t="str">
        <f t="shared" si="5"/>
        <v/>
      </c>
      <c r="H16" s="1" t="str">
        <f t="shared" si="2"/>
        <v/>
      </c>
      <c r="J16" s="15" t="s">
        <v>18</v>
      </c>
      <c r="K16" s="16">
        <f>IF(A2,A2, "")</f>
        <v>46206</v>
      </c>
    </row>
    <row r="17" spans="1:11" x14ac:dyDescent="0.3">
      <c r="A17" s="19"/>
      <c r="B17" s="23" t="str">
        <f t="shared" si="3"/>
        <v/>
      </c>
      <c r="C17" s="20"/>
      <c r="D17" s="21" t="str">
        <f t="shared" si="0"/>
        <v/>
      </c>
      <c r="E17" s="21" t="str">
        <f t="shared" si="1"/>
        <v/>
      </c>
      <c r="F17" s="21" t="str">
        <f t="shared" si="4"/>
        <v/>
      </c>
      <c r="G17" s="21" t="str">
        <f t="shared" si="5"/>
        <v/>
      </c>
      <c r="H17" s="21" t="str">
        <f t="shared" si="2"/>
        <v/>
      </c>
      <c r="J17" s="17" t="s">
        <v>19</v>
      </c>
      <c r="K17" s="18">
        <f xml:space="preserve"> IF(A2,(K16 + (17*7)),"")</f>
        <v>46325</v>
      </c>
    </row>
    <row r="18" spans="1:11" x14ac:dyDescent="0.3">
      <c r="A18" s="2"/>
      <c r="B18" s="22" t="str">
        <f t="shared" si="3"/>
        <v/>
      </c>
      <c r="C18" s="3"/>
      <c r="D18" s="1" t="str">
        <f t="shared" si="0"/>
        <v/>
      </c>
      <c r="E18" s="1" t="str">
        <f t="shared" si="1"/>
        <v/>
      </c>
      <c r="F18" s="1" t="str">
        <f t="shared" si="4"/>
        <v/>
      </c>
      <c r="G18" s="1" t="str">
        <f t="shared" si="5"/>
        <v/>
      </c>
      <c r="H18" s="1" t="str">
        <f t="shared" si="2"/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Loan1</vt:lpstr>
      <vt:lpstr>195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2026-09-30T06:20:33Z</dcterms:modified>
</cp:coreProperties>
</file>