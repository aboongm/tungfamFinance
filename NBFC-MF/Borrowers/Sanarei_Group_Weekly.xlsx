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5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E2" i="6" s="1"/>
  <c r="K2" i="6"/>
  <c r="B3" i="6"/>
  <c r="D3" i="6" s="1"/>
  <c r="K8" i="6"/>
  <c r="K16" i="6"/>
  <c r="K17" i="6"/>
  <c r="D2" i="6" l="1"/>
  <c r="F2" i="6" s="1"/>
  <c r="G2" i="6" s="1"/>
  <c r="H2" i="6" s="1"/>
  <c r="B4" i="6"/>
  <c r="E3" i="6"/>
  <c r="F3" i="6" s="1"/>
  <c r="G3" i="6" s="1"/>
  <c r="H3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4" i="6" l="1"/>
  <c r="B5" i="6"/>
  <c r="D4" i="6"/>
  <c r="K16" i="5"/>
  <c r="K2" i="5"/>
  <c r="F4" i="6" l="1"/>
  <c r="G4" i="6" s="1"/>
  <c r="H4" i="6" s="1"/>
  <c r="D5" i="6"/>
  <c r="E5" i="6"/>
  <c r="B6" i="6"/>
  <c r="F5" i="6"/>
  <c r="G5" i="6" s="1"/>
  <c r="H5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6" i="6" l="1"/>
  <c r="D6" i="6"/>
  <c r="B7" i="6"/>
  <c r="K8" i="5"/>
  <c r="E2" i="5" s="1"/>
  <c r="F2" i="5" s="1"/>
  <c r="G2" i="5" s="1"/>
  <c r="H2" i="5" s="1"/>
  <c r="F6" i="6" l="1"/>
  <c r="G6" i="6" s="1"/>
  <c r="H6" i="6" s="1"/>
  <c r="D7" i="6"/>
  <c r="E7" i="6"/>
  <c r="B8" i="6"/>
  <c r="E3" i="5"/>
  <c r="F3" i="5" s="1"/>
  <c r="G3" i="5" s="1"/>
  <c r="E4" i="5" s="1"/>
  <c r="F4" i="5" s="1"/>
  <c r="G4" i="5" s="1"/>
  <c r="H4" i="5" s="1"/>
  <c r="F7" i="6" l="1"/>
  <c r="G7" i="6" s="1"/>
  <c r="H7" i="6" s="1"/>
  <c r="B9" i="6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E9" i="6"/>
  <c r="B10" i="6"/>
  <c r="H5" i="5"/>
  <c r="E6" i="5"/>
  <c r="F6" i="5" s="1"/>
  <c r="G6" i="5" s="1"/>
  <c r="H6" i="5" s="1"/>
  <c r="E10" i="6" l="1"/>
  <c r="B11" i="6"/>
  <c r="D10" i="6"/>
  <c r="F10" i="6" s="1"/>
  <c r="G10" i="6" s="1"/>
  <c r="H10" i="6" s="1"/>
  <c r="E7" i="5"/>
  <c r="F7" i="5" s="1"/>
  <c r="G7" i="5" s="1"/>
  <c r="H7" i="5" s="1"/>
  <c r="D11" i="6" l="1"/>
  <c r="F11" i="6"/>
  <c r="G11" i="6" s="1"/>
  <c r="H11" i="6" s="1"/>
  <c r="E11" i="6"/>
  <c r="B12" i="6"/>
  <c r="E8" i="5"/>
  <c r="F8" i="5" s="1"/>
  <c r="G8" i="5" s="1"/>
  <c r="H8" i="5" s="1"/>
  <c r="E12" i="6" l="1"/>
  <c r="B13" i="6"/>
  <c r="D12" i="6"/>
  <c r="F12" i="6" s="1"/>
  <c r="G12" i="6" s="1"/>
  <c r="H12" i="6" s="1"/>
  <c r="E9" i="5"/>
  <c r="F9" i="5" s="1"/>
  <c r="G9" i="5" s="1"/>
  <c r="H9" i="5" s="1"/>
  <c r="B14" i="6" l="1"/>
  <c r="E13" i="6"/>
  <c r="D13" i="6"/>
  <c r="F13" i="6" s="1"/>
  <c r="G13" i="6" s="1"/>
  <c r="H13" i="6" s="1"/>
  <c r="E10" i="5"/>
  <c r="F10" i="5" s="1"/>
  <c r="G10" i="5" s="1"/>
  <c r="H10" i="5" s="1"/>
  <c r="D14" i="6" l="1"/>
  <c r="E14" i="6"/>
  <c r="F14" i="6"/>
  <c r="G14" i="6" s="1"/>
  <c r="H14" i="6" s="1"/>
  <c r="B15" i="6"/>
  <c r="E11" i="5"/>
  <c r="F11" i="5" s="1"/>
  <c r="G11" i="5" s="1"/>
  <c r="H11" i="5" s="1"/>
  <c r="D15" i="6" l="1"/>
  <c r="E15" i="6"/>
  <c r="F15" i="6" s="1"/>
  <c r="G15" i="6" s="1"/>
  <c r="H15" i="6" s="1"/>
  <c r="B16" i="6"/>
  <c r="E12" i="5"/>
  <c r="F12" i="5" s="1"/>
  <c r="G12" i="5" s="1"/>
  <c r="H12" i="5" s="1"/>
  <c r="E16" i="6" l="1"/>
  <c r="B17" i="6"/>
  <c r="D16" i="6"/>
  <c r="F16" i="6" s="1"/>
  <c r="G16" i="6" s="1"/>
  <c r="H16" i="6" s="1"/>
  <c r="E13" i="5"/>
  <c r="F13" i="5" s="1"/>
  <c r="G13" i="5" s="1"/>
  <c r="B18" i="6" l="1"/>
  <c r="D17" i="6"/>
  <c r="F17" i="6" s="1"/>
  <c r="G17" i="6" s="1"/>
  <c r="H17" i="6" s="1"/>
  <c r="E17" i="6"/>
  <c r="H13" i="5"/>
  <c r="E14" i="5"/>
  <c r="F14" i="5" s="1"/>
  <c r="G14" i="5" s="1"/>
  <c r="H14" i="5" s="1"/>
  <c r="D18" i="6" l="1"/>
  <c r="F18" i="6" s="1"/>
  <c r="G18" i="6" s="1"/>
  <c r="H18" i="6" s="1"/>
  <c r="E18" i="6"/>
  <c r="K12" i="6"/>
  <c r="E15" i="5"/>
  <c r="F15" i="5" s="1"/>
  <c r="G15" i="5" s="1"/>
  <c r="H15" i="5" s="1"/>
  <c r="K15" i="6" l="1"/>
  <c r="K14" i="6"/>
  <c r="K13" i="6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<sst xmlns="http://schemas.openxmlformats.org/spreadsheetml/2006/main" count="50" uniqueCount="24">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</sst>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6.4028427004814148E-9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139999.9999999936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9800</v>
      </c>
      <c r="E17" s="21">
        <f t="shared" si="1"/>
        <v>381.49819840297812</v>
      </c>
      <c r="F17" s="21">
        <f t="shared" si="4"/>
        <v>9418.5018015970218</v>
      </c>
      <c r="G17" s="21">
        <f t="shared" si="5"/>
        <v>9607.3574751735268</v>
      </c>
      <c r="H17" s="21">
        <f t="shared" si="2"/>
        <v>130392.64252482647</v>
      </c>
      <c r="J17" s="17" t="s">
        <v>19</v>
      </c>
      <c r="K17" s="18">
        <f xml:space="preserve"> IF(A2,(K16 + (17*7)),"")</f>
        <v>46213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9800</v>
      </c>
      <c r="E18" s="1">
        <f t="shared" si="1"/>
        <v>192.64252483287655</v>
      </c>
      <c r="F18" s="1">
        <f t="shared" si="4"/>
        <v>9607.357475167124</v>
      </c>
      <c r="G18" s="1">
        <f t="shared" si="5"/>
        <v>6.4028427004814148E-9</v>
      </c>
      <c r="H18" s="1">
        <f t="shared" si="2"/>
        <v>139999.9999999936</v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7" sqref="B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12600</v>
      </c>
      <c r="E2" s="1">
        <f>IF(AND($A2&lt;&gt;"",$B2&lt;&gt;""),$K$7*$K$8,"")</f>
        <v>3609.2811743003631</v>
      </c>
      <c r="F2" s="1">
        <f>IF(AND($A2&lt;&gt;"",$B2&lt;&gt;""),D2-E2,"")</f>
        <v>8990.7188256996378</v>
      </c>
      <c r="G2" s="1">
        <f>IF(AND($A2&lt;&gt;"",$B2&lt;&gt;""),$K$7-F2,"")</f>
        <v>171009.28117430035</v>
      </c>
      <c r="H2" s="1">
        <f>IF(AND($A2&lt;&gt;"",$B2&lt;&gt;""),$K$7-G2,"")</f>
        <v>8990.7188256996451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L180000W17-Sanarei_Group-N195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12600</v>
      </c>
      <c r="E3" s="21">
        <f t="shared" ref="E3:E18" si="1">IF(AND($A3&lt;&gt;"",$B3&lt;&gt;""),G2*$K$8,"")</f>
        <v>3429.0032176279988</v>
      </c>
      <c r="F3" s="21">
        <f>IF(AND($A3&lt;&gt;"",$B3&lt;&gt;""),D3-E3,"")</f>
        <v>9170.9967823720017</v>
      </c>
      <c r="G3" s="21">
        <f>IF(AND($A3&lt;&gt;"",$B3&lt;&gt;""),G2-F3,"")</f>
        <v>161838.28439192835</v>
      </c>
      <c r="H3" s="21">
        <f t="shared" ref="H3:H18" si="2">IF(AND($A3&lt;&gt;"",$B3&lt;&gt;""),$K$7-G3,"")</f>
        <v>18161.715608071652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12600</v>
      </c>
      <c r="E4" s="1">
        <f t="shared" si="1"/>
        <v>3245.1104063158627</v>
      </c>
      <c r="F4" s="1">
        <f t="shared" ref="F4:F18" si="4">IF(AND($A4&lt;&gt;"",$B4&lt;&gt;""),D4-E4,"")</f>
        <v>9354.8895936841363</v>
      </c>
      <c r="G4" s="1">
        <f t="shared" ref="G4:G18" si="5">IF(AND($A4&lt;&gt;"",$B4&lt;&gt;""),G3-F4,"")</f>
        <v>152483.3947982442</v>
      </c>
      <c r="H4" s="1">
        <f t="shared" si="2"/>
        <v>27516.605201755796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12600</v>
      </c>
      <c r="E5" s="21">
        <f t="shared" si="1"/>
        <v>3057.5302568817374</v>
      </c>
      <c r="F5" s="21">
        <f t="shared" si="4"/>
        <v>9542.4697431182631</v>
      </c>
      <c r="G5" s="21">
        <f t="shared" si="5"/>
        <v>142940.92505512593</v>
      </c>
      <c r="H5" s="21">
        <f t="shared" si="2"/>
        <v>37059.074944874068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12600</v>
      </c>
      <c r="E6" s="1">
        <f t="shared" si="1"/>
        <v>2866.1888324363617</v>
      </c>
      <c r="F6" s="1">
        <f t="shared" si="4"/>
        <v>9733.8111675636392</v>
      </c>
      <c r="G6" s="1">
        <f t="shared" si="5"/>
        <v>133207.1138875623</v>
      </c>
      <c r="H6" s="1">
        <f t="shared" si="2"/>
        <v>46792.8861124377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12600</v>
      </c>
      <c r="E7" s="21">
        <f t="shared" si="1"/>
        <v>2671.0107135403505</v>
      </c>
      <c r="F7" s="21">
        <f t="shared" si="4"/>
        <v>9928.9892864596495</v>
      </c>
      <c r="G7" s="21">
        <f t="shared" si="5"/>
        <v>123278.12460110265</v>
      </c>
      <c r="H7" s="21">
        <f t="shared" si="2"/>
        <v>56721.875398897348</v>
      </c>
      <c r="J7" s="4" t="s">
        <v>6</v>
      </c>
      <c r="K7" s="27">
        <v>180000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2.0051562079446462E-2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12600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138600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123278.12460110265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56721.875398897348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2026-08-07T11:59:07Z</dcterms:modified>
</cp:coreProperties>
</file>