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l="1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<sst xmlns="http://schemas.openxmlformats.org/spreadsheetml/2006/main" count="25" uniqueCount="24">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</sst>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5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46089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L30000W17-Ibeyaima-NLoan1</v>
      </c>
    </row>
    <row r="3" spans="1:11" x14ac:dyDescent="0.3">
      <c r="A3" s="19">
        <v>46097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46103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46112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46118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46128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46140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46140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46153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46153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46160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0</v>
      </c>
    </row>
    <row r="14" spans="1:11" x14ac:dyDescent="0.3">
      <c r="A14" s="2">
        <v>46178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23</v>
      </c>
      <c r="K14" s="11">
        <f>IF(A2="", K9*K10, IFERROR(INDEX($G:$G, MATCH($K$12, $B:$B, 0)), 0))</f>
        <v>1.2778400559909642E-9</v>
      </c>
    </row>
    <row r="15" spans="1:11" ht="17.25" thickBot="1" x14ac:dyDescent="0.35">
      <c r="A15" s="19">
        <v>46182</v>
      </c>
      <c r="B15" s="23">
        <f>IF(A15&lt;&gt;"",B14+1,"")</f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29999.999999998723</v>
      </c>
    </row>
    <row r="16" spans="1:11" x14ac:dyDescent="0.3">
      <c r="A16" s="2">
        <v>46190</v>
      </c>
      <c r="B16" s="22">
        <f t="shared" si="3"/>
        <v>15</v>
      </c>
      <c r="C16" s="3"/>
      <c r="D16" s="1">
        <f t="shared" si="0"/>
        <v>2100</v>
      </c>
      <c r="E16" s="1">
        <f t="shared" si="1"/>
        <v>121.42317007763468</v>
      </c>
      <c r="F16" s="1">
        <f t="shared" si="4"/>
        <v>1978.5768299223653</v>
      </c>
      <c r="G16" s="1">
        <f t="shared" si="5"/>
        <v>4076.9698450221713</v>
      </c>
      <c r="H16" s="1">
        <f t="shared" si="2"/>
        <v>25923.030154977831</v>
      </c>
      <c r="J16" s="15" t="s">
        <v>18</v>
      </c>
      <c r="K16" s="16">
        <f>IF(A2,A2, "")</f>
        <v>46089</v>
      </c>
    </row>
    <row r="17" spans="1:11" x14ac:dyDescent="0.3">
      <c r="A17" s="19">
        <v>46196</v>
      </c>
      <c r="B17" s="23">
        <f t="shared" si="3"/>
        <v>16</v>
      </c>
      <c r="C17" s="20"/>
      <c r="D17" s="21">
        <f t="shared" si="0"/>
        <v>2100</v>
      </c>
      <c r="E17" s="21">
        <f t="shared" si="1"/>
        <v>81.749613943492406</v>
      </c>
      <c r="F17" s="21">
        <f t="shared" si="4"/>
        <v>2018.2503860565075</v>
      </c>
      <c r="G17" s="21">
        <f t="shared" si="5"/>
        <v>2058.7194589656638</v>
      </c>
      <c r="H17" s="21">
        <f t="shared" si="2"/>
        <v>27941.280541034335</v>
      </c>
      <c r="J17" s="17" t="s">
        <v>19</v>
      </c>
      <c r="K17" s="18">
        <f xml:space="preserve"> IF(A2,(K16 + (17*7)),"")</f>
        <v>46208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2100</v>
      </c>
      <c r="E18" s="1">
        <f t="shared" si="1"/>
        <v>41.280541035614</v>
      </c>
      <c r="F18" s="1">
        <f t="shared" si="4"/>
        <v>2058.7194589643859</v>
      </c>
      <c r="G18" s="1">
        <f t="shared" si="5"/>
        <v>1.2778400559909642E-9</v>
      </c>
      <c r="H18" s="1">
        <f t="shared" si="2"/>
        <v>29999.999999998723</v>
      </c>
    </row>
  </sheetData>
  <sheetProtection algorithmName="SHA-512" hashValue="E1ZvBLQtoy9alomE3S+DiY+vZBq0seGhOyGJwIVluiCvUUMSJE4LH8vh8Uz2D5SjiwutAx3hYXyWaVGWCJNKCQ==" saltValue="Vq+UfkvYUfgTGlRVOvTl1A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2026-07-22T09:11:46Z</dcterms:modified>
</cp:coreProperties>
</file>