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6" i="4"/>
  <c r="B7" i="4"/>
  <c r="B8" i="4"/>
  <c r="B9" i="4"/>
  <c r="B10" i="4"/>
  <c r="B11" i="4"/>
  <c r="K16" i="4" l="1"/>
  <c r="K17" i="4" s="1"/>
  <c r="K2" i="4" l="1"/>
  <c r="K12" i="4" l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F14" i="4"/>
  <c r="G14" i="4" s="1"/>
  <c r="H13" i="4"/>
  <c r="E14" i="4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G15" i="4"/>
  <c r="H14" i="4"/>
  <c r="E15" i="4"/>
  <c r="F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G18" i="4"/>
  <c r="E18" i="4"/>
  <c r="F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G20" i="4"/>
  <c r="E20" i="4"/>
  <c r="F20" i="4" s="1"/>
  <c r="H11" i="4"/>
  <c r="E12" i="4"/>
  <c r="F12" i="4" s="1"/>
  <c r="G12" i="4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<sst xmlns="http://schemas.openxmlformats.org/spreadsheetml/2006/main" count="25" uniqueCount="24">
  <si>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</si>
  <si>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</si>
  <si>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</si>
  <si>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</si>
  <si>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</si>
  <si>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</si>
  <si>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</si>
  <si>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</si>
  <si>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</si>
  <si>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</si>
  <si>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</si>
  <si>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</si>
  <si>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</si>
  <si>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</si>
  <si>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</si>
  <si>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</si>
  <si>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</si>
  <si>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</si>
  <si>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</si>
  <si>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</si>
  <si>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</si>
  <si>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</si>
  <si>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</si>
  <si>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Inaobi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</si>
</sst>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7" sqref="A7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46175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23.642967269877253</v>
      </c>
      <c r="F2" s="4">
        <f>IF(AND($A2&lt;&gt;"",$B2&lt;&gt;""),D2-E2,"")</f>
        <v>76.357032730122739</v>
      </c>
      <c r="G2" s="4">
        <f>IF(AND($A2&lt;&gt;"",$B2&lt;&gt;""),$K$7-F2,"")</f>
        <v>6923.6429672698769</v>
      </c>
      <c r="H2" s="4">
        <f>IF(AND($A2&lt;&gt;"",$B2&lt;&gt;""),$K$7-G2,"")</f>
        <v>76.357032730123137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L7000D80-Inaobi-NLoan1</v>
      </c>
    </row>
    <row r="3" spans="1:12" x14ac:dyDescent="0.3">
      <c r="A3" s="19">
        <v>46175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23.385066294782504</v>
      </c>
      <c r="F3" s="21">
        <f>IF(AND($A3&lt;&gt;"",$B3&lt;&gt;""),D3-E3,"")</f>
        <v>76.614933705217496</v>
      </c>
      <c r="G3" s="21">
        <f>IF(AND($A3&lt;&gt;"",$B3&lt;&gt;""),G2-F3,"")</f>
        <v>6847.0280335646594</v>
      </c>
      <c r="H3" s="21">
        <f t="shared" ref="H3:H34" si="2">IF(AND($A3&lt;&gt;"",$B3&lt;&gt;""),$K$7-G3,"")</f>
        <v>152.97196643534062</v>
      </c>
      <c r="J3" s="5" t="s">
        <v>10</v>
      </c>
      <c r="K3" s="27" t="s">
        <v>23</v>
      </c>
    </row>
    <row r="4" spans="1:12" x14ac:dyDescent="0.3">
      <c r="A4" s="2">
        <v>46177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23.12629424192875</v>
      </c>
      <c r="F4" s="4">
        <f>IF(AND($A4&lt;&gt;"",$B4&lt;&gt;""),D4-E4,"")</f>
        <v>76.873705758071253</v>
      </c>
      <c r="G4" s="4">
        <f>IF(AND($A4&lt;&gt;"",$B4&lt;&gt;""),G3-F4,"")</f>
        <v>6770.1543278065883</v>
      </c>
      <c r="H4" s="4">
        <f t="shared" si="2"/>
        <v>229.8456721934117</v>
      </c>
      <c r="J4" s="5" t="s">
        <v>11</v>
      </c>
      <c r="K4" s="27"/>
    </row>
    <row r="5" spans="1:12" x14ac:dyDescent="0.3">
      <c r="A5" s="19">
        <v>46177</v>
      </c>
      <c r="B5" s="24">
        <f t="shared" si="3"/>
        <v>4</v>
      </c>
      <c r="C5" s="20"/>
      <c r="D5" s="21">
        <f t="shared" si="0"/>
        <v>100</v>
      </c>
      <c r="E5" s="21">
        <f t="shared" si="1"/>
        <v>22.866648169192715</v>
      </c>
      <c r="F5" s="21">
        <f>IF(AND($A5&lt;&gt;"",$B5&lt;&gt;""),D5-E5,"")</f>
        <v>77.133351830807285</v>
      </c>
      <c r="G5" s="21">
        <f>IF(AND($A5&lt;&gt;"",$B5&lt;&gt;""),G4-F5,"")</f>
        <v>6693.0209759757809</v>
      </c>
      <c r="H5" s="21">
        <f t="shared" si="2"/>
        <v>306.97902402421914</v>
      </c>
      <c r="J5" s="5" t="s">
        <v>12</v>
      </c>
      <c r="K5" s="27"/>
    </row>
    <row r="6" spans="1:12" x14ac:dyDescent="0.3">
      <c r="A6" s="2">
        <v>46193</v>
      </c>
      <c r="B6" s="23">
        <f t="shared" si="3"/>
        <v>5</v>
      </c>
      <c r="C6" s="3"/>
      <c r="D6" s="4">
        <f t="shared" si="0"/>
        <v>100</v>
      </c>
      <c r="E6" s="4">
        <f t="shared" si="1"/>
        <v>22.606125124513902</v>
      </c>
      <c r="F6" s="4">
        <f>IF(AND($A6&lt;&gt;"",$B6&lt;&gt;""),D6-E6,"")</f>
        <v>77.393874875486091</v>
      </c>
      <c r="G6" s="4">
        <f t="shared" ref="G6:G69" si="4">IF(AND($A6&lt;&gt;"",$B6&lt;&gt;""),G5-F6,"")</f>
        <v>6615.6271011002946</v>
      </c>
      <c r="H6" s="4">
        <f t="shared" si="2"/>
        <v>384.37289889970543</v>
      </c>
      <c r="J6" s="5" t="s">
        <v>13</v>
      </c>
      <c r="K6" s="27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8">
        <v>7000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9">
        <f>RATE(K10,-K9,K7)</f>
        <v>3.3775667528396077E-3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30">
        <v>100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1">
        <v>80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5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7500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6615.6271011002946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384.37289889970543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>
        <f>IF(A2,A2, "")</f>
        <v>46175</v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>
        <f xml:space="preserve"> IF(A2,(K16 + 120),"")</f>
        <v>46295</v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Scovss+FDrSjsjYz9C70ilhxNcQT5XsBfg2q59sZHeWY9Y+TowGhjJBuC4u07JaHVqkiWg2B/Xg+TnX7ej4YNQ==" saltValue="VwwKwpC6oQESXCvOSWfx7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2026-06-27T05:40:49Z</dcterms:modified>
</cp:coreProperties>
</file>