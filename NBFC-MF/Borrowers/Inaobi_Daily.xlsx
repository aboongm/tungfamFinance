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an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4" l="1"/>
  <c r="B3" i="4" s="1"/>
  <c r="B4" i="4" s="1"/>
  <c r="B5" i="4" s="1"/>
  <c r="B118" i="4"/>
  <c r="B119" i="4"/>
  <c r="B120" i="4"/>
  <c r="B121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6" i="4"/>
  <c r="B7" i="4"/>
  <c r="B8" i="4"/>
  <c r="B9" i="4"/>
  <c r="B10" i="4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K16" i="4" l="1"/>
  <c r="K17" i="4" s="1"/>
  <c r="K2" i="4" l="1"/>
  <c r="K12" i="4" l="1"/>
  <c r="E87" i="4"/>
  <c r="E105" i="4"/>
  <c r="E120" i="4"/>
  <c r="F105" i="4"/>
  <c r="G105" i="4" s="1"/>
  <c r="D4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F120" i="4" s="1"/>
  <c r="G120" i="4" s="1"/>
  <c r="D121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F87" i="4" s="1"/>
  <c r="G87" i="4" s="1"/>
  <c r="D88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14" i="4"/>
  <c r="D15" i="4"/>
  <c r="D16" i="4"/>
  <c r="D17" i="4"/>
  <c r="D18" i="4"/>
  <c r="D19" i="4"/>
  <c r="D20" i="4"/>
  <c r="D21" i="4"/>
  <c r="D22" i="4"/>
  <c r="D23" i="4"/>
  <c r="D24" i="4"/>
  <c r="D25" i="4"/>
  <c r="D5" i="4"/>
  <c r="D6" i="4"/>
  <c r="D7" i="4"/>
  <c r="D8" i="4"/>
  <c r="D9" i="4"/>
  <c r="D10" i="4"/>
  <c r="D11" i="4"/>
  <c r="D12" i="4"/>
  <c r="D13" i="4"/>
  <c r="D2" i="4"/>
  <c r="D3" i="4"/>
  <c r="K13" i="4" l="1"/>
  <c r="F121" i="4"/>
  <c r="G121" i="4" s="1"/>
  <c r="H121" i="4" s="1"/>
  <c r="H120" i="4"/>
  <c r="E121" i="4"/>
  <c r="H105" i="4"/>
  <c r="E106" i="4"/>
  <c r="F106" i="4" s="1"/>
  <c r="G106" i="4" s="1"/>
  <c r="H87" i="4"/>
  <c r="E88" i="4"/>
  <c r="F88" i="4" s="1"/>
  <c r="G88" i="4" s="1"/>
  <c r="K8" i="4"/>
  <c r="E2" i="4" s="1"/>
  <c r="F2" i="4" s="1"/>
  <c r="G2" i="4" s="1"/>
  <c r="H2" i="4" l="1"/>
  <c r="E3" i="4"/>
  <c r="E107" i="4"/>
  <c r="F107" i="4" s="1"/>
  <c r="G107" i="4" s="1"/>
  <c r="H106" i="4"/>
  <c r="H88" i="4"/>
  <c r="E89" i="4"/>
  <c r="F89" i="4" s="1"/>
  <c r="G89" i="4" s="1"/>
  <c r="E7" i="4"/>
  <c r="F7" i="4" s="1"/>
  <c r="G7" i="4"/>
  <c r="H107" i="4" l="1"/>
  <c r="G108" i="4"/>
  <c r="E108" i="4"/>
  <c r="F108" i="4" s="1"/>
  <c r="H89" i="4"/>
  <c r="E90" i="4"/>
  <c r="F90" i="4" s="1"/>
  <c r="G90" i="4" s="1"/>
  <c r="E8" i="4"/>
  <c r="F8" i="4" s="1"/>
  <c r="G8" i="4" s="1"/>
  <c r="H7" i="4"/>
  <c r="E109" i="4" l="1"/>
  <c r="F109" i="4" s="1"/>
  <c r="H108" i="4"/>
  <c r="G109" i="4"/>
  <c r="E91" i="4"/>
  <c r="F91" i="4" s="1"/>
  <c r="G91" i="4"/>
  <c r="H90" i="4"/>
  <c r="H8" i="4"/>
  <c r="E9" i="4"/>
  <c r="F9" i="4" s="1"/>
  <c r="G9" i="4" s="1"/>
  <c r="E110" i="4" l="1"/>
  <c r="F110" i="4" s="1"/>
  <c r="G110" i="4" s="1"/>
  <c r="H109" i="4"/>
  <c r="H91" i="4"/>
  <c r="E92" i="4"/>
  <c r="F92" i="4" s="1"/>
  <c r="G92" i="4"/>
  <c r="E10" i="4"/>
  <c r="F10" i="4" s="1"/>
  <c r="G10" i="4" s="1"/>
  <c r="H9" i="4"/>
  <c r="G111" i="4" l="1"/>
  <c r="E111" i="4"/>
  <c r="F111" i="4" s="1"/>
  <c r="H110" i="4"/>
  <c r="H92" i="4"/>
  <c r="E93" i="4"/>
  <c r="F93" i="4" s="1"/>
  <c r="G93" i="4" s="1"/>
  <c r="H10" i="4"/>
  <c r="E11" i="4"/>
  <c r="F11" i="4" s="1"/>
  <c r="G11" i="4" s="1"/>
  <c r="E112" i="4" l="1"/>
  <c r="F112" i="4" s="1"/>
  <c r="G112" i="4" s="1"/>
  <c r="H111" i="4"/>
  <c r="H93" i="4"/>
  <c r="E94" i="4"/>
  <c r="F94" i="4" s="1"/>
  <c r="G94" i="4" s="1"/>
  <c r="H11" i="4"/>
  <c r="E12" i="4"/>
  <c r="F12" i="4" s="1"/>
  <c r="G12" i="4"/>
  <c r="H12" i="4" l="1"/>
  <c r="E13" i="4"/>
  <c r="F13" i="4" s="1"/>
  <c r="G13" i="4" s="1"/>
  <c r="E113" i="4"/>
  <c r="F113" i="4" s="1"/>
  <c r="H112" i="4"/>
  <c r="G113" i="4"/>
  <c r="E95" i="4"/>
  <c r="F95" i="4" s="1"/>
  <c r="G95" i="4"/>
  <c r="H94" i="4"/>
  <c r="E14" i="4" l="1"/>
  <c r="F14" i="4" s="1"/>
  <c r="G14" i="4" s="1"/>
  <c r="H13" i="4"/>
  <c r="H113" i="4"/>
  <c r="E114" i="4"/>
  <c r="F114" i="4" s="1"/>
  <c r="G114" i="4"/>
  <c r="H95" i="4"/>
  <c r="E96" i="4"/>
  <c r="F96" i="4" s="1"/>
  <c r="G96" i="4"/>
  <c r="H14" i="4" l="1"/>
  <c r="E15" i="4"/>
  <c r="F15" i="4" s="1"/>
  <c r="G15" i="4" s="1"/>
  <c r="E115" i="4"/>
  <c r="F115" i="4" s="1"/>
  <c r="G115" i="4" s="1"/>
  <c r="H114" i="4"/>
  <c r="H96" i="4"/>
  <c r="E97" i="4"/>
  <c r="F97" i="4" s="1"/>
  <c r="G97" i="4" s="1"/>
  <c r="E16" i="4" l="1"/>
  <c r="F16" i="4" s="1"/>
  <c r="G16" i="4" s="1"/>
  <c r="H15" i="4"/>
  <c r="H115" i="4"/>
  <c r="E116" i="4"/>
  <c r="F116" i="4" s="1"/>
  <c r="G116" i="4" s="1"/>
  <c r="H97" i="4"/>
  <c r="E98" i="4"/>
  <c r="F98" i="4" s="1"/>
  <c r="G98" i="4" s="1"/>
  <c r="E17" i="4" l="1"/>
  <c r="F17" i="4" s="1"/>
  <c r="G17" i="4" s="1"/>
  <c r="H16" i="4"/>
  <c r="H116" i="4"/>
  <c r="E117" i="4"/>
  <c r="F117" i="4" s="1"/>
  <c r="G117" i="4" s="1"/>
  <c r="E99" i="4"/>
  <c r="F99" i="4" s="1"/>
  <c r="G99" i="4"/>
  <c r="H98" i="4"/>
  <c r="H17" i="4" l="1"/>
  <c r="E18" i="4"/>
  <c r="F18" i="4" s="1"/>
  <c r="G18" i="4" s="1"/>
  <c r="E118" i="4"/>
  <c r="F118" i="4" s="1"/>
  <c r="G118" i="4" s="1"/>
  <c r="H117" i="4"/>
  <c r="H99" i="4"/>
  <c r="E100" i="4"/>
  <c r="F100" i="4" s="1"/>
  <c r="G100" i="4"/>
  <c r="E19" i="4" l="1"/>
  <c r="F19" i="4" s="1"/>
  <c r="G19" i="4" s="1"/>
  <c r="H18" i="4"/>
  <c r="H118" i="4"/>
  <c r="E119" i="4"/>
  <c r="F119" i="4" s="1"/>
  <c r="G119" i="4" s="1"/>
  <c r="H119" i="4" s="1"/>
  <c r="H100" i="4"/>
  <c r="E101" i="4"/>
  <c r="F101" i="4" s="1"/>
  <c r="G101" i="4" s="1"/>
  <c r="H19" i="4" l="1"/>
  <c r="E20" i="4"/>
  <c r="F20" i="4" s="1"/>
  <c r="G20" i="4" s="1"/>
  <c r="H101" i="4"/>
  <c r="E102" i="4"/>
  <c r="F102" i="4" s="1"/>
  <c r="G102" i="4" s="1"/>
  <c r="E21" i="4" l="1"/>
  <c r="F21" i="4" s="1"/>
  <c r="G21" i="4" s="1"/>
  <c r="H20" i="4"/>
  <c r="E103" i="4"/>
  <c r="F103" i="4" s="1"/>
  <c r="G103" i="4"/>
  <c r="H102" i="4"/>
  <c r="E22" i="4" l="1"/>
  <c r="F22" i="4" s="1"/>
  <c r="G22" i="4" s="1"/>
  <c r="H21" i="4"/>
  <c r="H103" i="4"/>
  <c r="E104" i="4"/>
  <c r="F104" i="4" s="1"/>
  <c r="G104" i="4"/>
  <c r="H104" i="4" s="1"/>
  <c r="E23" i="4" l="1"/>
  <c r="F23" i="4" s="1"/>
  <c r="G23" i="4" s="1"/>
  <c r="H22" i="4"/>
  <c r="E81" i="4"/>
  <c r="F81" i="4" s="1"/>
  <c r="G81" i="4" s="1"/>
  <c r="H23" i="4" l="1"/>
  <c r="E24" i="4"/>
  <c r="F24" i="4" s="1"/>
  <c r="G24" i="4" s="1"/>
  <c r="H81" i="4"/>
  <c r="E82" i="4"/>
  <c r="F82" i="4" s="1"/>
  <c r="G82" i="4" s="1"/>
  <c r="F3" i="4"/>
  <c r="G3" i="4" s="1"/>
  <c r="H24" i="4" l="1"/>
  <c r="E25" i="4"/>
  <c r="F25" i="4" s="1"/>
  <c r="G25" i="4" s="1"/>
  <c r="E4" i="4"/>
  <c r="H3" i="4"/>
  <c r="H82" i="4"/>
  <c r="E83" i="4"/>
  <c r="F83" i="4" s="1"/>
  <c r="G83" i="4" s="1"/>
  <c r="F4" i="4"/>
  <c r="G4" i="4" s="1"/>
  <c r="E26" i="4" l="1"/>
  <c r="F26" i="4" s="1"/>
  <c r="G26" i="4" s="1"/>
  <c r="H25" i="4"/>
  <c r="E5" i="4"/>
  <c r="F5" i="4" s="1"/>
  <c r="G5" i="4" s="1"/>
  <c r="H4" i="4"/>
  <c r="H83" i="4"/>
  <c r="E84" i="4"/>
  <c r="F84" i="4" s="1"/>
  <c r="G84" i="4"/>
  <c r="E27" i="4" l="1"/>
  <c r="F27" i="4" s="1"/>
  <c r="G27" i="4" s="1"/>
  <c r="H26" i="4"/>
  <c r="H5" i="4"/>
  <c r="E6" i="4"/>
  <c r="F6" i="4" s="1"/>
  <c r="G6" i="4" s="1"/>
  <c r="H84" i="4"/>
  <c r="E85" i="4"/>
  <c r="F85" i="4" s="1"/>
  <c r="G85" i="4" s="1"/>
  <c r="H27" i="4" l="1"/>
  <c r="E28" i="4"/>
  <c r="F28" i="4" s="1"/>
  <c r="G28" i="4" s="1"/>
  <c r="H6" i="4"/>
  <c r="H85" i="4"/>
  <c r="E86" i="4"/>
  <c r="F86" i="4" s="1"/>
  <c r="G86" i="4" s="1"/>
  <c r="H86" i="4" s="1"/>
  <c r="H28" i="4" l="1"/>
  <c r="E29" i="4"/>
  <c r="F29" i="4" s="1"/>
  <c r="G29" i="4" s="1"/>
  <c r="H29" i="4" l="1"/>
  <c r="E30" i="4"/>
  <c r="F30" i="4" s="1"/>
  <c r="G30" i="4" s="1"/>
  <c r="H30" i="4" l="1"/>
  <c r="E31" i="4"/>
  <c r="F31" i="4" s="1"/>
  <c r="G31" i="4" s="1"/>
  <c r="E32" i="4" l="1"/>
  <c r="F32" i="4" s="1"/>
  <c r="G32" i="4"/>
  <c r="H31" i="4"/>
  <c r="H32" i="4" l="1"/>
  <c r="E33" i="4"/>
  <c r="F33" i="4" s="1"/>
  <c r="G33" i="4" s="1"/>
  <c r="H33" i="4" l="1"/>
  <c r="E34" i="4"/>
  <c r="F34" i="4" s="1"/>
  <c r="G34" i="4" s="1"/>
  <c r="G35" i="4" l="1"/>
  <c r="E35" i="4"/>
  <c r="F35" i="4" s="1"/>
  <c r="H34" i="4"/>
  <c r="E36" i="4" l="1"/>
  <c r="F36" i="4" s="1"/>
  <c r="G36" i="4" s="1"/>
  <c r="H35" i="4"/>
  <c r="H36" i="4" l="1"/>
  <c r="E37" i="4"/>
  <c r="F37" i="4" s="1"/>
  <c r="G37" i="4" s="1"/>
  <c r="H37" i="4" l="1"/>
  <c r="E38" i="4"/>
  <c r="F38" i="4" s="1"/>
  <c r="G38" i="4" s="1"/>
  <c r="H38" i="4" l="1"/>
  <c r="E39" i="4"/>
  <c r="F39" i="4" s="1"/>
  <c r="G39" i="4" s="1"/>
  <c r="H39" i="4" l="1"/>
  <c r="E40" i="4"/>
  <c r="F40" i="4" s="1"/>
  <c r="G40" i="4" s="1"/>
  <c r="H40" i="4" l="1"/>
  <c r="E41" i="4"/>
  <c r="F41" i="4" s="1"/>
  <c r="G41" i="4" s="1"/>
  <c r="H41" i="4" l="1"/>
  <c r="E42" i="4"/>
  <c r="F42" i="4" s="1"/>
  <c r="G42" i="4" s="1"/>
  <c r="E43" i="4" l="1"/>
  <c r="F43" i="4" s="1"/>
  <c r="G43" i="4" s="1"/>
  <c r="H42" i="4"/>
  <c r="G44" i="4" l="1"/>
  <c r="H43" i="4"/>
  <c r="E44" i="4"/>
  <c r="F44" i="4" s="1"/>
  <c r="E45" i="4" l="1"/>
  <c r="F45" i="4" s="1"/>
  <c r="H44" i="4"/>
  <c r="G45" i="4"/>
  <c r="H45" i="4" l="1"/>
  <c r="E46" i="4"/>
  <c r="F46" i="4" s="1"/>
  <c r="G46" i="4" s="1"/>
  <c r="H46" i="4" l="1"/>
  <c r="E47" i="4"/>
  <c r="F47" i="4" s="1"/>
  <c r="G47" i="4" s="1"/>
  <c r="H47" i="4" l="1"/>
  <c r="E48" i="4"/>
  <c r="F48" i="4" s="1"/>
  <c r="G48" i="4" s="1"/>
  <c r="E49" i="4" l="1"/>
  <c r="F49" i="4" s="1"/>
  <c r="G49" i="4" s="1"/>
  <c r="H48" i="4"/>
  <c r="H49" i="4" l="1"/>
  <c r="E50" i="4"/>
  <c r="F50" i="4" s="1"/>
  <c r="G50" i="4" s="1"/>
  <c r="E51" i="4" l="1"/>
  <c r="F51" i="4" s="1"/>
  <c r="G51" i="4" s="1"/>
  <c r="H50" i="4"/>
  <c r="H51" i="4" l="1"/>
  <c r="E52" i="4"/>
  <c r="F52" i="4" s="1"/>
  <c r="G52" i="4" s="1"/>
  <c r="E53" i="4" l="1"/>
  <c r="F53" i="4" s="1"/>
  <c r="H52" i="4"/>
  <c r="G53" i="4"/>
  <c r="H53" i="4" l="1"/>
  <c r="G54" i="4"/>
  <c r="E54" i="4"/>
  <c r="F54" i="4" s="1"/>
  <c r="E55" i="4" l="1"/>
  <c r="F55" i="4" s="1"/>
  <c r="G55" i="4" s="1"/>
  <c r="H54" i="4"/>
  <c r="E56" i="4" l="1"/>
  <c r="F56" i="4" s="1"/>
  <c r="G56" i="4" s="1"/>
  <c r="H55" i="4"/>
  <c r="E57" i="4" l="1"/>
  <c r="F57" i="4" s="1"/>
  <c r="G57" i="4" s="1"/>
  <c r="H56" i="4"/>
  <c r="E58" i="4" l="1"/>
  <c r="F58" i="4" s="1"/>
  <c r="G58" i="4" s="1"/>
  <c r="H57" i="4"/>
  <c r="E59" i="4" l="1"/>
  <c r="F59" i="4" s="1"/>
  <c r="G59" i="4" s="1"/>
  <c r="H58" i="4"/>
  <c r="E60" i="4" l="1"/>
  <c r="F60" i="4" s="1"/>
  <c r="G60" i="4" s="1"/>
  <c r="H59" i="4"/>
  <c r="E61" i="4" l="1"/>
  <c r="F61" i="4" s="1"/>
  <c r="G61" i="4" s="1"/>
  <c r="H60" i="4"/>
  <c r="H61" i="4" l="1"/>
  <c r="E62" i="4"/>
  <c r="F62" i="4" s="1"/>
  <c r="G62" i="4" s="1"/>
  <c r="H62" i="4" l="1"/>
  <c r="E63" i="4"/>
  <c r="F63" i="4" s="1"/>
  <c r="G63" i="4" s="1"/>
  <c r="H63" i="4" l="1"/>
  <c r="E64" i="4"/>
  <c r="F64" i="4" s="1"/>
  <c r="G64" i="4" s="1"/>
  <c r="E65" i="4" l="1"/>
  <c r="F65" i="4" s="1"/>
  <c r="G65" i="4" s="1"/>
  <c r="H64" i="4"/>
  <c r="E66" i="4" l="1"/>
  <c r="F66" i="4" s="1"/>
  <c r="G66" i="4" s="1"/>
  <c r="H65" i="4"/>
  <c r="E67" i="4" l="1"/>
  <c r="F67" i="4" s="1"/>
  <c r="G67" i="4" s="1"/>
  <c r="H66" i="4"/>
  <c r="E68" i="4" l="1"/>
  <c r="F68" i="4" s="1"/>
  <c r="G68" i="4" s="1"/>
  <c r="H67" i="4"/>
  <c r="H68" i="4" l="1"/>
  <c r="E69" i="4"/>
  <c r="F69" i="4" s="1"/>
  <c r="G69" i="4" s="1"/>
  <c r="H69" i="4" l="1"/>
  <c r="E70" i="4"/>
  <c r="F70" i="4" s="1"/>
  <c r="G70" i="4" s="1"/>
  <c r="H70" i="4" l="1"/>
  <c r="E71" i="4"/>
  <c r="F71" i="4" s="1"/>
  <c r="G71" i="4" s="1"/>
  <c r="H71" i="4" l="1"/>
  <c r="E72" i="4"/>
  <c r="F72" i="4" s="1"/>
  <c r="G72" i="4"/>
  <c r="E73" i="4" l="1"/>
  <c r="F73" i="4" s="1"/>
  <c r="G73" i="4" s="1"/>
  <c r="H72" i="4"/>
  <c r="E74" i="4" l="1"/>
  <c r="F74" i="4" s="1"/>
  <c r="G74" i="4" s="1"/>
  <c r="H73" i="4"/>
  <c r="E75" i="4" l="1"/>
  <c r="F75" i="4" s="1"/>
  <c r="G75" i="4" s="1"/>
  <c r="H74" i="4"/>
  <c r="H75" i="4" l="1"/>
  <c r="E76" i="4"/>
  <c r="F76" i="4" s="1"/>
  <c r="G76" i="4" s="1"/>
  <c r="H76" i="4" l="1"/>
  <c r="E77" i="4"/>
  <c r="F77" i="4" s="1"/>
  <c r="G77" i="4" s="1"/>
  <c r="E78" i="4" l="1"/>
  <c r="F78" i="4" s="1"/>
  <c r="G78" i="4" s="1"/>
  <c r="H77" i="4"/>
  <c r="E79" i="4" l="1"/>
  <c r="F79" i="4" s="1"/>
  <c r="G79" i="4" s="1"/>
  <c r="H78" i="4"/>
  <c r="H79" i="4" l="1"/>
  <c r="E80" i="4"/>
  <c r="F80" i="4" s="1"/>
  <c r="G80" i="4" s="1"/>
  <c r="H80" i="4" l="1"/>
  <c r="K15" i="4" s="1"/>
  <c r="K14" i="4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<sst xmlns="http://schemas.openxmlformats.org/spreadsheetml/2006/main" count="25" uniqueCount="24">
  <si>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</si>
  <si>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</si>
  <si>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</si>
  <si>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</si>
  <si>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</si>
  <si>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Day</t>
  </si>
  <si>
    <t>Repaid Principal</t>
  </si>
  <si>
    <t>Loan Principal</t>
  </si>
  <si>
    <t>EMI</t>
  </si>
  <si>
    <t>Profile Details</t>
  </si>
  <si>
    <t>Name:</t>
  </si>
  <si>
    <t>Aadhar:</t>
  </si>
  <si>
    <t>Address:</t>
  </si>
  <si>
    <t>Mobile:</t>
  </si>
  <si>
    <t>Daily Rate</t>
  </si>
  <si>
    <t>Days</t>
  </si>
  <si>
    <t>Latest Day</t>
  </si>
  <si>
    <t>Code</t>
  </si>
  <si>
    <t>Start Date</t>
  </si>
  <si>
    <t>End Date</t>
  </si>
  <si>
    <t>Reference Id</t>
  </si>
  <si>
    <t>Out(Int + Principal)</t>
  </si>
  <si>
    <t>Principal Outstanding</t>
  </si>
  <si>
    <t>Inaobi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</si>
</sst>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0" xfId="0" applyFont="1" applyFill="1" applyProtection="1">
      <protection locked="0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2" fillId="3" borderId="1" xfId="0" applyNumberFormat="1" applyFont="1" applyFill="1" applyBorder="1" applyAlignment="1" applyProtection="1">
      <alignment horizontal="center" vertical="center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1" fillId="2" borderId="0" xfId="0" applyFont="1" applyFill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left" vertical="center"/>
    </xf>
    <xf numFmtId="0" fontId="3" fillId="4" borderId="0" xfId="0" applyFont="1" applyFill="1" applyProtection="1"/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65" fontId="3" fillId="4" borderId="0" xfId="0" applyNumberFormat="1" applyFont="1" applyFill="1" applyProtection="1">
      <protection locked="0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abSelected="1" zoomScaleNormal="100" workbookViewId="0">
      <pane ySplit="1" topLeftCell="A66" activePane="bottomLeft" state="frozen"/>
      <selection pane="bottomLeft" activeCell="A81" sqref="A81"/>
    </sheetView>
  </sheetViews>
  <sheetFormatPr defaultRowHeight="16.5" x14ac:dyDescent="0.3"/>
  <cols>
    <col min="1" max="1" width="15.85546875" style="1" customWidth="1"/>
    <col min="2" max="2" width="8.5703125" style="1" customWidth="1"/>
    <col min="3" max="3" width="12.42578125" style="1" customWidth="1"/>
    <col min="4" max="7" width="14.7109375" style="1" customWidth="1"/>
    <col min="8" max="8" width="13" style="1" customWidth="1"/>
    <col min="9" max="9" width="1.5703125" style="1" customWidth="1"/>
    <col min="10" max="10" width="23.140625" style="1" customWidth="1"/>
    <col min="11" max="11" width="32.28515625" style="1" customWidth="1"/>
    <col min="12" max="12" width="10" style="1" bestFit="1" customWidth="1"/>
    <col min="13" max="16384" width="9.140625" style="1"/>
  </cols>
  <sheetData>
    <row r="1" spans="1:12" ht="33" x14ac:dyDescent="0.3">
      <c r="A1" s="6" t="s">
        <v>0</v>
      </c>
      <c r="B1" s="6" t="s">
        <v>5</v>
      </c>
      <c r="C1" s="6" t="s">
        <v>20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J1" s="7" t="s">
        <v>9</v>
      </c>
      <c r="K1" s="6"/>
    </row>
    <row r="2" spans="1:12" x14ac:dyDescent="0.3">
      <c r="A2" s="2">
        <v>46175</v>
      </c>
      <c r="B2" s="23">
        <f>IF(A2&lt;&gt;"",1,"")</f>
        <v>1</v>
      </c>
      <c r="C2" s="3"/>
      <c r="D2" s="4">
        <f t="shared" ref="D2:D33" si="0">IF(AND($A2&lt;&gt;"",$B2&lt;&gt;""),$K$9,"")</f>
        <v>100</v>
      </c>
      <c r="E2" s="4">
        <f>IF(AND($A2&lt;&gt;"",$B2&lt;&gt;""),$K$7*$K$8,"")</f>
        <v>23.642967269877253</v>
      </c>
      <c r="F2" s="4">
        <f>IF(AND($A2&lt;&gt;"",$B2&lt;&gt;""),D2-E2,"")</f>
        <v>76.357032730122739</v>
      </c>
      <c r="G2" s="4">
        <f>IF(AND($A2&lt;&gt;"",$B2&lt;&gt;""),$K$7-F2,"")</f>
        <v>6923.6429672698769</v>
      </c>
      <c r="H2" s="4">
        <f>IF(AND($A2&lt;&gt;"",$B2&lt;&gt;""),$K$7-G2,"")</f>
        <v>76.357032730123137</v>
      </c>
      <c r="J2" s="5" t="s">
        <v>17</v>
      </c>
      <c r="K2" s="26" t="str">
        <f ca="1">IF(K3&lt;&gt;"",
   "L" &amp; TEXT(K7,"0") &amp;
   IF(J10="Weeks","W","D") &amp; K10 &amp;
   "-" &amp; K3 &amp;
   "-N" &amp; RIGHT(CELL("filename",A1),LEN(CELL("filename",A1))-FIND("]",CELL("filename",A1))),
   "")</f>
        <v>L7000D80-Inaobi-NLoan1</v>
      </c>
    </row>
    <row r="3" spans="1:12" x14ac:dyDescent="0.3">
      <c r="A3" s="19">
        <v>46175</v>
      </c>
      <c r="B3" s="24">
        <f>IF(A3&lt;&gt;"",B2+1,"")</f>
        <v>2</v>
      </c>
      <c r="C3" s="20"/>
      <c r="D3" s="21">
        <f t="shared" si="0"/>
        <v>100</v>
      </c>
      <c r="E3" s="21">
        <f t="shared" ref="E3:E34" si="1">IF(AND($A3&lt;&gt;"",$B3&lt;&gt;""),G2*$K$8,"")</f>
        <v>23.385066294782504</v>
      </c>
      <c r="F3" s="21">
        <f>IF(AND($A3&lt;&gt;"",$B3&lt;&gt;""),D3-E3,"")</f>
        <v>76.614933705217496</v>
      </c>
      <c r="G3" s="21">
        <f>IF(AND($A3&lt;&gt;"",$B3&lt;&gt;""),G2-F3,"")</f>
        <v>6847.0280335646594</v>
      </c>
      <c r="H3" s="21">
        <f t="shared" ref="H3:H34" si="2">IF(AND($A3&lt;&gt;"",$B3&lt;&gt;""),$K$7-G3,"")</f>
        <v>152.97196643534062</v>
      </c>
      <c r="J3" s="5" t="s">
        <v>10</v>
      </c>
      <c r="K3" s="27" t="s">
        <v>23</v>
      </c>
    </row>
    <row r="4" spans="1:12" x14ac:dyDescent="0.3">
      <c r="A4" s="2">
        <v>46177</v>
      </c>
      <c r="B4" s="23">
        <f t="shared" ref="B4:B67" si="3">IF(A4&lt;&gt;"",B3+1,"")</f>
        <v>3</v>
      </c>
      <c r="C4" s="3"/>
      <c r="D4" s="4">
        <f t="shared" si="0"/>
        <v>100</v>
      </c>
      <c r="E4" s="4">
        <f t="shared" si="1"/>
        <v>23.12629424192875</v>
      </c>
      <c r="F4" s="4">
        <f>IF(AND($A4&lt;&gt;"",$B4&lt;&gt;""),D4-E4,"")</f>
        <v>76.873705758071253</v>
      </c>
      <c r="G4" s="4">
        <f>IF(AND($A4&lt;&gt;"",$B4&lt;&gt;""),G3-F4,"")</f>
        <v>6770.1543278065883</v>
      </c>
      <c r="H4" s="4">
        <f t="shared" si="2"/>
        <v>229.8456721934117</v>
      </c>
      <c r="J4" s="5" t="s">
        <v>11</v>
      </c>
      <c r="K4" s="27"/>
    </row>
    <row r="5" spans="1:12" x14ac:dyDescent="0.3">
      <c r="A5" s="19">
        <v>46177</v>
      </c>
      <c r="B5" s="24">
        <f t="shared" si="3"/>
        <v>4</v>
      </c>
      <c r="C5" s="20"/>
      <c r="D5" s="21">
        <f t="shared" si="0"/>
        <v>100</v>
      </c>
      <c r="E5" s="21">
        <f t="shared" si="1"/>
        <v>22.866648169192715</v>
      </c>
      <c r="F5" s="21">
        <f>IF(AND($A5&lt;&gt;"",$B5&lt;&gt;""),D5-E5,"")</f>
        <v>77.133351830807285</v>
      </c>
      <c r="G5" s="21">
        <f>IF(AND($A5&lt;&gt;"",$B5&lt;&gt;""),G4-F5,"")</f>
        <v>6693.0209759757809</v>
      </c>
      <c r="H5" s="21">
        <f t="shared" si="2"/>
        <v>306.97902402421914</v>
      </c>
      <c r="J5" s="5" t="s">
        <v>12</v>
      </c>
      <c r="K5" s="27"/>
    </row>
    <row r="6" spans="1:12" x14ac:dyDescent="0.3">
      <c r="A6" s="2">
        <v>46193</v>
      </c>
      <c r="B6" s="23">
        <f t="shared" si="3"/>
        <v>5</v>
      </c>
      <c r="C6" s="3"/>
      <c r="D6" s="4">
        <f t="shared" si="0"/>
        <v>100</v>
      </c>
      <c r="E6" s="4">
        <f t="shared" si="1"/>
        <v>22.606125124513902</v>
      </c>
      <c r="F6" s="4">
        <f>IF(AND($A6&lt;&gt;"",$B6&lt;&gt;""),D6-E6,"")</f>
        <v>77.393874875486091</v>
      </c>
      <c r="G6" s="4">
        <f t="shared" ref="G6:G69" si="4">IF(AND($A6&lt;&gt;"",$B6&lt;&gt;""),G5-F6,"")</f>
        <v>6615.6271011002946</v>
      </c>
      <c r="H6" s="4">
        <f t="shared" si="2"/>
        <v>384.37289889970543</v>
      </c>
      <c r="J6" s="5" t="s">
        <v>13</v>
      </c>
      <c r="K6" s="27"/>
    </row>
    <row r="7" spans="1:12" x14ac:dyDescent="0.3">
      <c r="A7" s="19">
        <v>46202</v>
      </c>
      <c r="B7" s="24">
        <f t="shared" si="3"/>
        <v>6</v>
      </c>
      <c r="C7" s="20"/>
      <c r="D7" s="21">
        <f t="shared" si="0"/>
        <v>100</v>
      </c>
      <c r="E7" s="21">
        <f t="shared" si="1"/>
        <v>22.344722145861031</v>
      </c>
      <c r="F7" s="21">
        <f t="shared" ref="F7:F70" si="5">IF(AND($A7&lt;&gt;"",$B7&lt;&gt;""),D7-E7,"")</f>
        <v>77.655277854138973</v>
      </c>
      <c r="G7" s="21">
        <f t="shared" si="4"/>
        <v>6537.9718232461555</v>
      </c>
      <c r="H7" s="21">
        <f t="shared" si="2"/>
        <v>462.02817675384449</v>
      </c>
      <c r="J7" s="5" t="s">
        <v>7</v>
      </c>
      <c r="K7" s="28">
        <v>7000</v>
      </c>
    </row>
    <row r="8" spans="1:12" x14ac:dyDescent="0.3">
      <c r="A8" s="2">
        <v>46202</v>
      </c>
      <c r="B8" s="23">
        <f t="shared" si="3"/>
        <v>7</v>
      </c>
      <c r="C8" s="3"/>
      <c r="D8" s="4">
        <f t="shared" si="0"/>
        <v>100</v>
      </c>
      <c r="E8" s="4">
        <f t="shared" si="1"/>
        <v>22.082436261198367</v>
      </c>
      <c r="F8" s="4">
        <f t="shared" si="5"/>
        <v>77.917563738801633</v>
      </c>
      <c r="G8" s="4">
        <f t="shared" si="4"/>
        <v>6460.0542595073539</v>
      </c>
      <c r="H8" s="4">
        <f t="shared" si="2"/>
        <v>539.94574049264611</v>
      </c>
      <c r="J8" s="5" t="s">
        <v>14</v>
      </c>
      <c r="K8" s="29">
        <f>RATE(K10,-K9,K7)</f>
        <v>3.3775667528396077E-3</v>
      </c>
    </row>
    <row r="9" spans="1:12" x14ac:dyDescent="0.3">
      <c r="A9" s="19">
        <v>46202</v>
      </c>
      <c r="B9" s="24">
        <f t="shared" si="3"/>
        <v>8</v>
      </c>
      <c r="C9" s="20"/>
      <c r="D9" s="21">
        <f t="shared" si="0"/>
        <v>100</v>
      </c>
      <c r="E9" s="21">
        <f t="shared" si="1"/>
        <v>21.819264488451928</v>
      </c>
      <c r="F9" s="21">
        <f t="shared" si="5"/>
        <v>78.180735511548079</v>
      </c>
      <c r="G9" s="21">
        <f t="shared" si="4"/>
        <v>6381.873523995806</v>
      </c>
      <c r="H9" s="21">
        <f t="shared" si="2"/>
        <v>618.12647600419405</v>
      </c>
      <c r="J9" s="5" t="s">
        <v>8</v>
      </c>
      <c r="K9" s="30">
        <v>100</v>
      </c>
    </row>
    <row r="10" spans="1:12" x14ac:dyDescent="0.3">
      <c r="A10" s="2">
        <v>46202</v>
      </c>
      <c r="B10" s="23">
        <f t="shared" si="3"/>
        <v>9</v>
      </c>
      <c r="C10" s="3"/>
      <c r="D10" s="4">
        <f t="shared" si="0"/>
        <v>100</v>
      </c>
      <c r="E10" s="4">
        <f t="shared" si="1"/>
        <v>21.555203835475577</v>
      </c>
      <c r="F10" s="4">
        <f t="shared" si="5"/>
        <v>78.444796164524419</v>
      </c>
      <c r="G10" s="4">
        <f t="shared" si="4"/>
        <v>6303.4287278312813</v>
      </c>
      <c r="H10" s="4">
        <f t="shared" si="2"/>
        <v>696.57127216871868</v>
      </c>
      <c r="J10" s="5" t="s">
        <v>15</v>
      </c>
      <c r="K10" s="31">
        <v>80</v>
      </c>
    </row>
    <row r="11" spans="1:12" ht="17.25" thickBot="1" x14ac:dyDescent="0.35">
      <c r="A11" s="19">
        <v>46202</v>
      </c>
      <c r="B11" s="24">
        <f t="shared" si="3"/>
        <v>10</v>
      </c>
      <c r="C11" s="20"/>
      <c r="D11" s="21">
        <f t="shared" si="0"/>
        <v>100</v>
      </c>
      <c r="E11" s="21">
        <f t="shared" si="1"/>
        <v>21.290251300017001</v>
      </c>
      <c r="F11" s="21">
        <f t="shared" si="5"/>
        <v>78.709748699982995</v>
      </c>
      <c r="G11" s="21">
        <f t="shared" si="4"/>
        <v>6224.7189791312985</v>
      </c>
      <c r="H11" s="21">
        <f t="shared" si="2"/>
        <v>775.28102086870149</v>
      </c>
      <c r="J11" s="8"/>
      <c r="L11" s="22"/>
    </row>
    <row r="12" spans="1:12" x14ac:dyDescent="0.3">
      <c r="A12" s="2">
        <v>46202</v>
      </c>
      <c r="B12" s="23">
        <f t="shared" si="3"/>
        <v>11</v>
      </c>
      <c r="C12" s="3"/>
      <c r="D12" s="4">
        <f t="shared" si="0"/>
        <v>100</v>
      </c>
      <c r="E12" s="4">
        <f t="shared" si="1"/>
        <v>21.024403869683578</v>
      </c>
      <c r="F12" s="4">
        <f t="shared" si="5"/>
        <v>78.975596130316418</v>
      </c>
      <c r="G12" s="4">
        <f t="shared" si="4"/>
        <v>6145.7433830009822</v>
      </c>
      <c r="H12" s="4">
        <f t="shared" si="2"/>
        <v>854.25661699901775</v>
      </c>
      <c r="J12" s="9" t="s">
        <v>16</v>
      </c>
      <c r="K12" s="10">
        <f>IFERROR(MAX($B:$B),"")</f>
        <v>80</v>
      </c>
    </row>
    <row r="13" spans="1:12" x14ac:dyDescent="0.3">
      <c r="A13" s="19">
        <v>46202</v>
      </c>
      <c r="B13" s="24">
        <f t="shared" si="3"/>
        <v>12</v>
      </c>
      <c r="C13" s="20"/>
      <c r="D13" s="21">
        <f t="shared" si="0"/>
        <v>100</v>
      </c>
      <c r="E13" s="21">
        <f t="shared" si="1"/>
        <v>20.757658521908134</v>
      </c>
      <c r="F13" s="21">
        <f t="shared" si="5"/>
        <v>79.242341478091873</v>
      </c>
      <c r="G13" s="21">
        <f t="shared" si="4"/>
        <v>6066.5010415228908</v>
      </c>
      <c r="H13" s="21">
        <f t="shared" si="2"/>
        <v>933.49895847710923</v>
      </c>
      <c r="J13" s="25" t="s">
        <v>21</v>
      </c>
      <c r="K13" s="12">
        <f>(K10*K9)-K9*K12</f>
        <v>0</v>
      </c>
    </row>
    <row r="14" spans="1:12" x14ac:dyDescent="0.3">
      <c r="A14" s="2">
        <v>46202</v>
      </c>
      <c r="B14" s="23">
        <f t="shared" si="3"/>
        <v>13</v>
      </c>
      <c r="C14" s="3"/>
      <c r="D14" s="4">
        <f t="shared" si="0"/>
        <v>100</v>
      </c>
      <c r="E14" s="4">
        <f t="shared" si="1"/>
        <v>20.490012223914569</v>
      </c>
      <c r="F14" s="4">
        <f t="shared" si="5"/>
        <v>79.509987776085438</v>
      </c>
      <c r="G14" s="4">
        <f t="shared" si="4"/>
        <v>5986.9910537468049</v>
      </c>
      <c r="H14" s="4">
        <f t="shared" si="2"/>
        <v>1013.0089462531951</v>
      </c>
      <c r="J14" s="11" t="s">
        <v>22</v>
      </c>
      <c r="K14" s="12">
        <f>IF(A2="", K9*K10, IFERROR(INDEX($G:$G, MATCH($K$12, $B:$B, 0)), 0))</f>
        <v>-1.2721557141048834E-10</v>
      </c>
    </row>
    <row r="15" spans="1:12" ht="17.25" thickBot="1" x14ac:dyDescent="0.35">
      <c r="A15" s="19">
        <v>46202</v>
      </c>
      <c r="B15" s="24">
        <f t="shared" si="3"/>
        <v>14</v>
      </c>
      <c r="C15" s="20"/>
      <c r="D15" s="21">
        <f t="shared" si="0"/>
        <v>100</v>
      </c>
      <c r="E15" s="21">
        <f t="shared" si="1"/>
        <v>20.221461932683379</v>
      </c>
      <c r="F15" s="21">
        <f t="shared" si="5"/>
        <v>79.778538067316617</v>
      </c>
      <c r="G15" s="21">
        <f t="shared" si="4"/>
        <v>5907.2125156794882</v>
      </c>
      <c r="H15" s="21">
        <f t="shared" si="2"/>
        <v>1092.7874843205118</v>
      </c>
      <c r="J15" s="13" t="s">
        <v>6</v>
      </c>
      <c r="K15" s="14">
        <f>IFERROR(INDEX($H:$H, MATCH($K$12, $B:$B, 0)), 0)</f>
        <v>7000.0000000001273</v>
      </c>
    </row>
    <row r="16" spans="1:12" x14ac:dyDescent="0.3">
      <c r="A16" s="2">
        <v>46202</v>
      </c>
      <c r="B16" s="23">
        <f t="shared" si="3"/>
        <v>15</v>
      </c>
      <c r="C16" s="3"/>
      <c r="D16" s="4">
        <f t="shared" si="0"/>
        <v>100</v>
      </c>
      <c r="E16" s="4">
        <f t="shared" si="1"/>
        <v>19.95200459491706</v>
      </c>
      <c r="F16" s="4">
        <f t="shared" si="5"/>
        <v>80.047995405082943</v>
      </c>
      <c r="G16" s="4">
        <f t="shared" si="4"/>
        <v>5827.1645202744048</v>
      </c>
      <c r="H16" s="4">
        <f t="shared" si="2"/>
        <v>1172.8354797255952</v>
      </c>
      <c r="J16" s="15" t="s">
        <v>18</v>
      </c>
      <c r="K16" s="16">
        <f>IF(A2,A2, "")</f>
        <v>46175</v>
      </c>
    </row>
    <row r="17" spans="1:11" x14ac:dyDescent="0.3">
      <c r="A17" s="19">
        <v>46202</v>
      </c>
      <c r="B17" s="24">
        <f t="shared" si="3"/>
        <v>16</v>
      </c>
      <c r="C17" s="20"/>
      <c r="D17" s="21">
        <f t="shared" si="0"/>
        <v>100</v>
      </c>
      <c r="E17" s="21">
        <f t="shared" si="1"/>
        <v>19.681637147005393</v>
      </c>
      <c r="F17" s="21">
        <f t="shared" si="5"/>
        <v>80.318362852994611</v>
      </c>
      <c r="G17" s="21">
        <f t="shared" si="4"/>
        <v>5746.8461574214098</v>
      </c>
      <c r="H17" s="21">
        <f t="shared" si="2"/>
        <v>1253.1538425785902</v>
      </c>
      <c r="J17" s="17" t="s">
        <v>19</v>
      </c>
      <c r="K17" s="18">
        <f xml:space="preserve"> IF(A2,(K16 + 120),"")</f>
        <v>46295</v>
      </c>
    </row>
    <row r="18" spans="1:11" x14ac:dyDescent="0.3">
      <c r="A18" s="2">
        <v>46202</v>
      </c>
      <c r="B18" s="23">
        <f t="shared" si="3"/>
        <v>17</v>
      </c>
      <c r="C18" s="3"/>
      <c r="D18" s="4">
        <f t="shared" si="0"/>
        <v>100</v>
      </c>
      <c r="E18" s="4">
        <f t="shared" si="1"/>
        <v>19.410356514990607</v>
      </c>
      <c r="F18" s="4">
        <f t="shared" si="5"/>
        <v>80.58964348500939</v>
      </c>
      <c r="G18" s="4">
        <f t="shared" si="4"/>
        <v>5666.2565139364006</v>
      </c>
      <c r="H18" s="4">
        <f t="shared" si="2"/>
        <v>1333.7434860635994</v>
      </c>
    </row>
    <row r="19" spans="1:11" x14ac:dyDescent="0.3">
      <c r="A19" s="19">
        <v>46202</v>
      </c>
      <c r="B19" s="24">
        <f t="shared" si="3"/>
        <v>18</v>
      </c>
      <c r="C19" s="20"/>
      <c r="D19" s="21">
        <f t="shared" si="0"/>
        <v>100</v>
      </c>
      <c r="E19" s="21">
        <f t="shared" si="1"/>
        <v>19.138159614532444</v>
      </c>
      <c r="F19" s="21">
        <f t="shared" si="5"/>
        <v>80.861840385467559</v>
      </c>
      <c r="G19" s="21">
        <f t="shared" si="4"/>
        <v>5585.3946735509326</v>
      </c>
      <c r="H19" s="21">
        <f t="shared" si="2"/>
        <v>1414.6053264490674</v>
      </c>
    </row>
    <row r="20" spans="1:11" x14ac:dyDescent="0.3">
      <c r="A20" s="2">
        <v>46202</v>
      </c>
      <c r="B20" s="23">
        <f t="shared" si="3"/>
        <v>19</v>
      </c>
      <c r="C20" s="3"/>
      <c r="D20" s="4">
        <f t="shared" si="0"/>
        <v>100</v>
      </c>
      <c r="E20" s="4">
        <f t="shared" si="1"/>
        <v>18.865043350873066</v>
      </c>
      <c r="F20" s="4">
        <f t="shared" si="5"/>
        <v>81.134956649126934</v>
      </c>
      <c r="G20" s="4">
        <f t="shared" si="4"/>
        <v>5504.2597169018054</v>
      </c>
      <c r="H20" s="4">
        <f t="shared" si="2"/>
        <v>1495.7402830981946</v>
      </c>
      <c r="J20" s="22"/>
      <c r="K20" s="22"/>
    </row>
    <row r="21" spans="1:11" x14ac:dyDescent="0.3">
      <c r="A21" s="19">
        <v>46202</v>
      </c>
      <c r="B21" s="24">
        <f t="shared" si="3"/>
        <v>20</v>
      </c>
      <c r="C21" s="20"/>
      <c r="D21" s="21">
        <f t="shared" si="0"/>
        <v>100</v>
      </c>
      <c r="E21" s="21">
        <f t="shared" si="1"/>
        <v>18.59100461880189</v>
      </c>
      <c r="F21" s="21">
        <f t="shared" si="5"/>
        <v>81.40899538119811</v>
      </c>
      <c r="G21" s="21">
        <f t="shared" si="4"/>
        <v>5422.8507215206073</v>
      </c>
      <c r="H21" s="21">
        <f t="shared" si="2"/>
        <v>1577.1492784793927</v>
      </c>
    </row>
    <row r="22" spans="1:11" x14ac:dyDescent="0.3">
      <c r="A22" s="2">
        <v>46202</v>
      </c>
      <c r="B22" s="23">
        <f t="shared" si="3"/>
        <v>21</v>
      </c>
      <c r="C22" s="3"/>
      <c r="D22" s="4">
        <f t="shared" si="0"/>
        <v>100</v>
      </c>
      <c r="E22" s="4">
        <f t="shared" si="1"/>
        <v>18.31604030262028</v>
      </c>
      <c r="F22" s="4">
        <f t="shared" si="5"/>
        <v>81.68395969737972</v>
      </c>
      <c r="G22" s="4">
        <f t="shared" si="4"/>
        <v>5341.1667618232277</v>
      </c>
      <c r="H22" s="4">
        <f t="shared" si="2"/>
        <v>1658.8332381767723</v>
      </c>
    </row>
    <row r="23" spans="1:11" x14ac:dyDescent="0.3">
      <c r="A23" s="19">
        <v>46202</v>
      </c>
      <c r="B23" s="24">
        <f t="shared" si="3"/>
        <v>22</v>
      </c>
      <c r="C23" s="20"/>
      <c r="D23" s="21">
        <f t="shared" si="0"/>
        <v>100</v>
      </c>
      <c r="E23" s="21">
        <f t="shared" si="1"/>
        <v>18.040147276106122</v>
      </c>
      <c r="F23" s="21">
        <f t="shared" si="5"/>
        <v>81.959852723893874</v>
      </c>
      <c r="G23" s="21">
        <f t="shared" si="4"/>
        <v>5259.2069090993336</v>
      </c>
      <c r="H23" s="21">
        <f t="shared" si="2"/>
        <v>1740.7930909006664</v>
      </c>
    </row>
    <row r="24" spans="1:11" x14ac:dyDescent="0.3">
      <c r="A24" s="2">
        <v>46202</v>
      </c>
      <c r="B24" s="23">
        <f t="shared" si="3"/>
        <v>23</v>
      </c>
      <c r="C24" s="3"/>
      <c r="D24" s="4">
        <f t="shared" si="0"/>
        <v>100</v>
      </c>
      <c r="E24" s="4">
        <f t="shared" si="1"/>
        <v>17.763322402478266</v>
      </c>
      <c r="F24" s="4">
        <f t="shared" si="5"/>
        <v>82.236677597521734</v>
      </c>
      <c r="G24" s="4">
        <f t="shared" si="4"/>
        <v>5176.9702315018121</v>
      </c>
      <c r="H24" s="4">
        <f t="shared" si="2"/>
        <v>1823.0297684981879</v>
      </c>
    </row>
    <row r="25" spans="1:11" x14ac:dyDescent="0.3">
      <c r="A25" s="19">
        <v>46202</v>
      </c>
      <c r="B25" s="24">
        <f t="shared" si="3"/>
        <v>24</v>
      </c>
      <c r="C25" s="20"/>
      <c r="D25" s="21">
        <f t="shared" si="0"/>
        <v>100</v>
      </c>
      <c r="E25" s="21">
        <f t="shared" si="1"/>
        <v>17.485562534360888</v>
      </c>
      <c r="F25" s="21">
        <f t="shared" si="5"/>
        <v>82.514437465639105</v>
      </c>
      <c r="G25" s="21">
        <f t="shared" si="4"/>
        <v>5094.4557940361728</v>
      </c>
      <c r="H25" s="21">
        <f t="shared" si="2"/>
        <v>1905.5442059638272</v>
      </c>
    </row>
    <row r="26" spans="1:11" x14ac:dyDescent="0.3">
      <c r="A26" s="2">
        <v>46202</v>
      </c>
      <c r="B26" s="23">
        <f t="shared" si="3"/>
        <v>25</v>
      </c>
      <c r="C26" s="3"/>
      <c r="D26" s="4">
        <f t="shared" si="0"/>
        <v>100</v>
      </c>
      <c r="E26" s="4">
        <f t="shared" si="1"/>
        <v>17.206864513747682</v>
      </c>
      <c r="F26" s="4">
        <f t="shared" si="5"/>
        <v>82.793135486252311</v>
      </c>
      <c r="G26" s="4">
        <f t="shared" si="4"/>
        <v>5011.6626585499207</v>
      </c>
      <c r="H26" s="4">
        <f t="shared" si="2"/>
        <v>1988.3373414500793</v>
      </c>
    </row>
    <row r="27" spans="1:11" x14ac:dyDescent="0.3">
      <c r="A27" s="19">
        <v>46202</v>
      </c>
      <c r="B27" s="24">
        <f t="shared" si="3"/>
        <v>26</v>
      </c>
      <c r="C27" s="20"/>
      <c r="D27" s="21">
        <f t="shared" si="0"/>
        <v>100</v>
      </c>
      <c r="E27" s="21">
        <f t="shared" si="1"/>
        <v>16.927225171965972</v>
      </c>
      <c r="F27" s="21">
        <f t="shared" si="5"/>
        <v>83.072774828034028</v>
      </c>
      <c r="G27" s="21">
        <f t="shared" si="4"/>
        <v>4928.5898837218865</v>
      </c>
      <c r="H27" s="21">
        <f t="shared" si="2"/>
        <v>2071.4101162781135</v>
      </c>
    </row>
    <row r="28" spans="1:11" x14ac:dyDescent="0.3">
      <c r="A28" s="2">
        <v>46202</v>
      </c>
      <c r="B28" s="23">
        <f t="shared" si="3"/>
        <v>27</v>
      </c>
      <c r="C28" s="3"/>
      <c r="D28" s="4">
        <f t="shared" si="0"/>
        <v>100</v>
      </c>
      <c r="E28" s="4">
        <f t="shared" si="1"/>
        <v>16.646641329640673</v>
      </c>
      <c r="F28" s="4">
        <f t="shared" si="5"/>
        <v>83.353358670359327</v>
      </c>
      <c r="G28" s="4">
        <f t="shared" si="4"/>
        <v>4845.2365250515268</v>
      </c>
      <c r="H28" s="4">
        <f t="shared" si="2"/>
        <v>2154.7634749484732</v>
      </c>
    </row>
    <row r="29" spans="1:11" x14ac:dyDescent="0.3">
      <c r="A29" s="19">
        <v>46202</v>
      </c>
      <c r="B29" s="24">
        <f t="shared" si="3"/>
        <v>28</v>
      </c>
      <c r="C29" s="20"/>
      <c r="D29" s="21">
        <f t="shared" si="0"/>
        <v>100</v>
      </c>
      <c r="E29" s="21">
        <f t="shared" si="1"/>
        <v>16.36510979665815</v>
      </c>
      <c r="F29" s="21">
        <f t="shared" si="5"/>
        <v>83.634890203341854</v>
      </c>
      <c r="G29" s="21">
        <f t="shared" si="4"/>
        <v>4761.6016348481853</v>
      </c>
      <c r="H29" s="21">
        <f t="shared" si="2"/>
        <v>2238.3983651518147</v>
      </c>
    </row>
    <row r="30" spans="1:11" x14ac:dyDescent="0.3">
      <c r="A30" s="2">
        <v>46202</v>
      </c>
      <c r="B30" s="23">
        <f t="shared" si="3"/>
        <v>29</v>
      </c>
      <c r="C30" s="3"/>
      <c r="D30" s="4">
        <f t="shared" si="0"/>
        <v>100</v>
      </c>
      <c r="E30" s="4">
        <f t="shared" si="1"/>
        <v>16.082627372129952</v>
      </c>
      <c r="F30" s="4">
        <f t="shared" si="5"/>
        <v>83.917372627870051</v>
      </c>
      <c r="G30" s="4">
        <f t="shared" si="4"/>
        <v>4677.6842622203148</v>
      </c>
      <c r="H30" s="4">
        <f t="shared" si="2"/>
        <v>2322.3157377796852</v>
      </c>
    </row>
    <row r="31" spans="1:11" x14ac:dyDescent="0.3">
      <c r="A31" s="19">
        <v>46202</v>
      </c>
      <c r="B31" s="24">
        <f t="shared" si="3"/>
        <v>30</v>
      </c>
      <c r="C31" s="20"/>
      <c r="D31" s="21">
        <f t="shared" si="0"/>
        <v>100</v>
      </c>
      <c r="E31" s="21">
        <f t="shared" si="1"/>
        <v>15.799190844356405</v>
      </c>
      <c r="F31" s="21">
        <f t="shared" si="5"/>
        <v>84.200809155643597</v>
      </c>
      <c r="G31" s="21">
        <f t="shared" si="4"/>
        <v>4593.4834530646713</v>
      </c>
      <c r="H31" s="21">
        <f t="shared" si="2"/>
        <v>2406.5165469353287</v>
      </c>
    </row>
    <row r="32" spans="1:11" x14ac:dyDescent="0.3">
      <c r="A32" s="2">
        <v>46202</v>
      </c>
      <c r="B32" s="23">
        <f t="shared" si="3"/>
        <v>31</v>
      </c>
      <c r="C32" s="3"/>
      <c r="D32" s="4">
        <f t="shared" si="0"/>
        <v>100</v>
      </c>
      <c r="E32" s="4">
        <f t="shared" si="1"/>
        <v>15.51479699079011</v>
      </c>
      <c r="F32" s="4">
        <f t="shared" si="5"/>
        <v>84.485203009209897</v>
      </c>
      <c r="G32" s="4">
        <f t="shared" si="4"/>
        <v>4508.9982500554615</v>
      </c>
      <c r="H32" s="4">
        <f t="shared" si="2"/>
        <v>2491.0017499445385</v>
      </c>
    </row>
    <row r="33" spans="1:8" x14ac:dyDescent="0.3">
      <c r="A33" s="19">
        <v>46202</v>
      </c>
      <c r="B33" s="24">
        <f t="shared" si="3"/>
        <v>32</v>
      </c>
      <c r="C33" s="20"/>
      <c r="D33" s="21">
        <f t="shared" si="0"/>
        <v>100</v>
      </c>
      <c r="E33" s="21">
        <f t="shared" si="1"/>
        <v>15.229442577999299</v>
      </c>
      <c r="F33" s="21">
        <f t="shared" si="5"/>
        <v>84.770557422000707</v>
      </c>
      <c r="G33" s="21">
        <f t="shared" si="4"/>
        <v>4424.2276926334607</v>
      </c>
      <c r="H33" s="21">
        <f t="shared" si="2"/>
        <v>2575.7723073665393</v>
      </c>
    </row>
    <row r="34" spans="1:8" x14ac:dyDescent="0.3">
      <c r="A34" s="2">
        <v>46202</v>
      </c>
      <c r="B34" s="23">
        <f t="shared" si="3"/>
        <v>33</v>
      </c>
      <c r="C34" s="3"/>
      <c r="D34" s="4">
        <f t="shared" ref="D34:D65" si="6">IF(AND($A34&lt;&gt;"",$B34&lt;&gt;""),$K$9,"")</f>
        <v>100</v>
      </c>
      <c r="E34" s="4">
        <f t="shared" si="1"/>
        <v>14.943124361631067</v>
      </c>
      <c r="F34" s="4">
        <f t="shared" si="5"/>
        <v>85.056875638368936</v>
      </c>
      <c r="G34" s="4">
        <f t="shared" si="4"/>
        <v>4339.1708169950916</v>
      </c>
      <c r="H34" s="4">
        <f t="shared" si="2"/>
        <v>2660.8291830049084</v>
      </c>
    </row>
    <row r="35" spans="1:8" x14ac:dyDescent="0.3">
      <c r="A35" s="19">
        <v>46202</v>
      </c>
      <c r="B35" s="24">
        <f t="shared" si="3"/>
        <v>34</v>
      </c>
      <c r="C35" s="20"/>
      <c r="D35" s="21">
        <f t="shared" si="6"/>
        <v>100</v>
      </c>
      <c r="E35" s="21">
        <f t="shared" ref="E35:E66" si="7">IF(AND($A35&lt;&gt;"",$B35&lt;&gt;""),G34*$K$8,"")</f>
        <v>14.655839086374499</v>
      </c>
      <c r="F35" s="21">
        <f t="shared" si="5"/>
        <v>85.344160913625501</v>
      </c>
      <c r="G35" s="21">
        <f t="shared" si="4"/>
        <v>4253.8266560814664</v>
      </c>
      <c r="H35" s="21">
        <f t="shared" ref="H35:H66" si="8">IF(AND($A35&lt;&gt;"",$B35&lt;&gt;""),$K$7-G35,"")</f>
        <v>2746.1733439185336</v>
      </c>
    </row>
    <row r="36" spans="1:8" x14ac:dyDescent="0.3">
      <c r="A36" s="2">
        <v>46202</v>
      </c>
      <c r="B36" s="23">
        <f t="shared" si="3"/>
        <v>35</v>
      </c>
      <c r="C36" s="3"/>
      <c r="D36" s="4">
        <f t="shared" si="6"/>
        <v>100</v>
      </c>
      <c r="E36" s="4">
        <f t="shared" si="7"/>
        <v>14.367583485923646</v>
      </c>
      <c r="F36" s="4">
        <f t="shared" si="5"/>
        <v>85.632416514076354</v>
      </c>
      <c r="G36" s="4">
        <f t="shared" si="4"/>
        <v>4168.1942395673896</v>
      </c>
      <c r="H36" s="4">
        <f t="shared" si="8"/>
        <v>2831.8057604326104</v>
      </c>
    </row>
    <row r="37" spans="1:8" x14ac:dyDescent="0.3">
      <c r="A37" s="19">
        <v>46202</v>
      </c>
      <c r="B37" s="24">
        <f t="shared" si="3"/>
        <v>36</v>
      </c>
      <c r="C37" s="20"/>
      <c r="D37" s="21">
        <f t="shared" si="6"/>
        <v>100</v>
      </c>
      <c r="E37" s="21">
        <f t="shared" si="7"/>
        <v>14.078354282940387</v>
      </c>
      <c r="F37" s="21">
        <f t="shared" si="5"/>
        <v>85.921645717059619</v>
      </c>
      <c r="G37" s="21">
        <f t="shared" si="4"/>
        <v>4082.2725938503299</v>
      </c>
      <c r="H37" s="21">
        <f t="shared" si="8"/>
        <v>2917.7274061496701</v>
      </c>
    </row>
    <row r="38" spans="1:8" x14ac:dyDescent="0.3">
      <c r="A38" s="2">
        <v>46202</v>
      </c>
      <c r="B38" s="23">
        <f t="shared" si="3"/>
        <v>37</v>
      </c>
      <c r="C38" s="3"/>
      <c r="D38" s="4">
        <f t="shared" si="6"/>
        <v>100</v>
      </c>
      <c r="E38" s="4">
        <f t="shared" si="7"/>
        <v>13.788148189017182</v>
      </c>
      <c r="F38" s="4">
        <f t="shared" si="5"/>
        <v>86.211851810982822</v>
      </c>
      <c r="G38" s="4">
        <f t="shared" si="4"/>
        <v>3996.0607420393471</v>
      </c>
      <c r="H38" s="4">
        <f t="shared" si="8"/>
        <v>3003.9392579606529</v>
      </c>
    </row>
    <row r="39" spans="1:8" x14ac:dyDescent="0.3">
      <c r="A39" s="19">
        <v>46202</v>
      </c>
      <c r="B39" s="24">
        <f t="shared" si="3"/>
        <v>38</v>
      </c>
      <c r="C39" s="20"/>
      <c r="D39" s="21">
        <f t="shared" si="6"/>
        <v>100</v>
      </c>
      <c r="E39" s="21">
        <f t="shared" si="7"/>
        <v>13.49696190463967</v>
      </c>
      <c r="F39" s="21">
        <f t="shared" si="5"/>
        <v>86.503038095360324</v>
      </c>
      <c r="G39" s="21">
        <f t="shared" si="4"/>
        <v>3909.5577039439868</v>
      </c>
      <c r="H39" s="21">
        <f t="shared" si="8"/>
        <v>3090.4422960560132</v>
      </c>
    </row>
    <row r="40" spans="1:8" x14ac:dyDescent="0.3">
      <c r="A40" s="2">
        <v>46202</v>
      </c>
      <c r="B40" s="23">
        <f t="shared" si="3"/>
        <v>39</v>
      </c>
      <c r="C40" s="3"/>
      <c r="D40" s="4">
        <f t="shared" si="6"/>
        <v>100</v>
      </c>
      <c r="E40" s="4">
        <f t="shared" si="7"/>
        <v>13.204792119149165</v>
      </c>
      <c r="F40" s="4">
        <f t="shared" si="5"/>
        <v>86.795207880850839</v>
      </c>
      <c r="G40" s="4">
        <f t="shared" si="4"/>
        <v>3822.762496063136</v>
      </c>
      <c r="H40" s="4">
        <f t="shared" si="8"/>
        <v>3177.237503936864</v>
      </c>
    </row>
    <row r="41" spans="1:8" x14ac:dyDescent="0.3">
      <c r="A41" s="19">
        <v>46202</v>
      </c>
      <c r="B41" s="24">
        <f t="shared" si="3"/>
        <v>40</v>
      </c>
      <c r="C41" s="20"/>
      <c r="D41" s="21">
        <f t="shared" si="6"/>
        <v>100</v>
      </c>
      <c r="E41" s="21">
        <f t="shared" si="7"/>
        <v>12.911635510705</v>
      </c>
      <c r="F41" s="21">
        <f t="shared" si="5"/>
        <v>87.088364489295003</v>
      </c>
      <c r="G41" s="21">
        <f t="shared" si="4"/>
        <v>3735.6741315738409</v>
      </c>
      <c r="H41" s="21">
        <f t="shared" si="8"/>
        <v>3264.3258684261591</v>
      </c>
    </row>
    <row r="42" spans="1:8" x14ac:dyDescent="0.3">
      <c r="A42" s="2">
        <v>46202</v>
      </c>
      <c r="B42" s="23">
        <f t="shared" si="3"/>
        <v>41</v>
      </c>
      <c r="C42" s="3"/>
      <c r="D42" s="4">
        <f t="shared" si="6"/>
        <v>100</v>
      </c>
      <c r="E42" s="4">
        <f t="shared" si="7"/>
        <v>12.61748874624678</v>
      </c>
      <c r="F42" s="4">
        <f t="shared" si="5"/>
        <v>87.382511253753222</v>
      </c>
      <c r="G42" s="4">
        <f t="shared" si="4"/>
        <v>3648.2916203200875</v>
      </c>
      <c r="H42" s="4">
        <f t="shared" si="8"/>
        <v>3351.7083796799125</v>
      </c>
    </row>
    <row r="43" spans="1:8" x14ac:dyDescent="0.3">
      <c r="A43" s="19">
        <v>46202</v>
      </c>
      <c r="B43" s="24">
        <f t="shared" si="3"/>
        <v>42</v>
      </c>
      <c r="C43" s="20"/>
      <c r="D43" s="21">
        <f t="shared" si="6"/>
        <v>100</v>
      </c>
      <c r="E43" s="21">
        <f t="shared" si="7"/>
        <v>12.322348481456469</v>
      </c>
      <c r="F43" s="21">
        <f t="shared" si="5"/>
        <v>87.677651518543527</v>
      </c>
      <c r="G43" s="21">
        <f t="shared" si="4"/>
        <v>3560.6139688015442</v>
      </c>
      <c r="H43" s="21">
        <f t="shared" si="8"/>
        <v>3439.3860311984558</v>
      </c>
    </row>
    <row r="44" spans="1:8" x14ac:dyDescent="0.3">
      <c r="A44" s="2">
        <v>46202</v>
      </c>
      <c r="B44" s="23">
        <f t="shared" si="3"/>
        <v>43</v>
      </c>
      <c r="C44" s="3"/>
      <c r="D44" s="4">
        <f t="shared" si="6"/>
        <v>100</v>
      </c>
      <c r="E44" s="4">
        <f t="shared" si="7"/>
        <v>12.02621136072038</v>
      </c>
      <c r="F44" s="4">
        <f t="shared" si="5"/>
        <v>87.973788639279618</v>
      </c>
      <c r="G44" s="4">
        <f t="shared" si="4"/>
        <v>3472.6401801622646</v>
      </c>
      <c r="H44" s="4">
        <f t="shared" si="8"/>
        <v>3527.3598198377354</v>
      </c>
    </row>
    <row r="45" spans="1:8" x14ac:dyDescent="0.3">
      <c r="A45" s="19">
        <v>46202</v>
      </c>
      <c r="B45" s="24">
        <f t="shared" si="3"/>
        <v>44</v>
      </c>
      <c r="C45" s="20"/>
      <c r="D45" s="21">
        <f t="shared" si="6"/>
        <v>100</v>
      </c>
      <c r="E45" s="21">
        <f t="shared" si="7"/>
        <v>11.72907401709101</v>
      </c>
      <c r="F45" s="21">
        <f t="shared" si="5"/>
        <v>88.270925982908992</v>
      </c>
      <c r="G45" s="21">
        <f t="shared" si="4"/>
        <v>3384.3692541793557</v>
      </c>
      <c r="H45" s="21">
        <f t="shared" si="8"/>
        <v>3615.6307458206443</v>
      </c>
    </row>
    <row r="46" spans="1:8" x14ac:dyDescent="0.3">
      <c r="A46" s="2">
        <v>46202</v>
      </c>
      <c r="B46" s="23">
        <f t="shared" si="3"/>
        <v>45</v>
      </c>
      <c r="C46" s="3"/>
      <c r="D46" s="4">
        <f t="shared" si="6"/>
        <v>100</v>
      </c>
      <c r="E46" s="4">
        <f t="shared" si="7"/>
        <v>11.430933072248772</v>
      </c>
      <c r="F46" s="4">
        <f t="shared" si="5"/>
        <v>88.569066927751223</v>
      </c>
      <c r="G46" s="4">
        <f t="shared" si="4"/>
        <v>3295.8001872516047</v>
      </c>
      <c r="H46" s="4">
        <f t="shared" si="8"/>
        <v>3704.1998127483953</v>
      </c>
    </row>
    <row r="47" spans="1:8" x14ac:dyDescent="0.3">
      <c r="A47" s="19">
        <v>46202</v>
      </c>
      <c r="B47" s="24">
        <f t="shared" si="3"/>
        <v>46</v>
      </c>
      <c r="C47" s="20"/>
      <c r="D47" s="21">
        <f t="shared" si="6"/>
        <v>100</v>
      </c>
      <c r="E47" s="21">
        <f t="shared" si="7"/>
        <v>11.131785136463574</v>
      </c>
      <c r="F47" s="21">
        <f t="shared" si="5"/>
        <v>88.868214863536423</v>
      </c>
      <c r="G47" s="21">
        <f t="shared" si="4"/>
        <v>3206.9319723880681</v>
      </c>
      <c r="H47" s="21">
        <f t="shared" si="8"/>
        <v>3793.0680276119319</v>
      </c>
    </row>
    <row r="48" spans="1:8" x14ac:dyDescent="0.3">
      <c r="A48" s="2">
        <v>46202</v>
      </c>
      <c r="B48" s="23">
        <f t="shared" si="3"/>
        <v>47</v>
      </c>
      <c r="C48" s="3"/>
      <c r="D48" s="4">
        <f t="shared" si="6"/>
        <v>100</v>
      </c>
      <c r="E48" s="4">
        <f t="shared" si="7"/>
        <v>10.831626808556285</v>
      </c>
      <c r="F48" s="4">
        <f t="shared" si="5"/>
        <v>89.16837319144372</v>
      </c>
      <c r="G48" s="4">
        <f t="shared" si="4"/>
        <v>3117.7635991966245</v>
      </c>
      <c r="H48" s="4">
        <f t="shared" si="8"/>
        <v>3882.2364008033755</v>
      </c>
    </row>
    <row r="49" spans="1:8" x14ac:dyDescent="0.3">
      <c r="A49" s="19">
        <v>46202</v>
      </c>
      <c r="B49" s="24">
        <f t="shared" si="3"/>
        <v>48</v>
      </c>
      <c r="C49" s="20"/>
      <c r="D49" s="21">
        <f t="shared" si="6"/>
        <v>100</v>
      </c>
      <c r="E49" s="21">
        <f t="shared" si="7"/>
        <v>10.530454675860071</v>
      </c>
      <c r="F49" s="21">
        <f t="shared" si="5"/>
        <v>89.469545324139929</v>
      </c>
      <c r="G49" s="21">
        <f t="shared" si="4"/>
        <v>3028.2940538724847</v>
      </c>
      <c r="H49" s="21">
        <f t="shared" si="8"/>
        <v>3971.7059461275153</v>
      </c>
    </row>
    <row r="50" spans="1:8" x14ac:dyDescent="0.3">
      <c r="A50" s="2">
        <v>46202</v>
      </c>
      <c r="B50" s="23">
        <f t="shared" si="3"/>
        <v>49</v>
      </c>
      <c r="C50" s="3"/>
      <c r="D50" s="4">
        <f t="shared" si="6"/>
        <v>100</v>
      </c>
      <c r="E50" s="4">
        <f t="shared" si="7"/>
        <v>10.228265314181581</v>
      </c>
      <c r="F50" s="4">
        <f t="shared" si="5"/>
        <v>89.771734685818416</v>
      </c>
      <c r="G50" s="4">
        <f t="shared" si="4"/>
        <v>2938.5223191866662</v>
      </c>
      <c r="H50" s="4">
        <f t="shared" si="8"/>
        <v>4061.4776808133338</v>
      </c>
    </row>
    <row r="51" spans="1:8" x14ac:dyDescent="0.3">
      <c r="A51" s="19">
        <v>46202</v>
      </c>
      <c r="B51" s="24">
        <f t="shared" si="3"/>
        <v>50</v>
      </c>
      <c r="C51" s="20"/>
      <c r="D51" s="21">
        <f t="shared" si="6"/>
        <v>100</v>
      </c>
      <c r="E51" s="21">
        <f t="shared" si="7"/>
        <v>9.9250552877620208</v>
      </c>
      <c r="F51" s="21">
        <f t="shared" si="5"/>
        <v>90.074944712237979</v>
      </c>
      <c r="G51" s="21">
        <f t="shared" si="4"/>
        <v>2848.4473744744282</v>
      </c>
      <c r="H51" s="21">
        <f t="shared" si="8"/>
        <v>4151.5526255255718</v>
      </c>
    </row>
    <row r="52" spans="1:8" x14ac:dyDescent="0.3">
      <c r="A52" s="2">
        <v>46202</v>
      </c>
      <c r="B52" s="23">
        <f t="shared" si="3"/>
        <v>51</v>
      </c>
      <c r="C52" s="3"/>
      <c r="D52" s="4">
        <f t="shared" si="6"/>
        <v>100</v>
      </c>
      <c r="E52" s="4">
        <f t="shared" si="7"/>
        <v>9.6208211492381004</v>
      </c>
      <c r="F52" s="4">
        <f t="shared" si="5"/>
        <v>90.379178850761903</v>
      </c>
      <c r="G52" s="4">
        <f t="shared" si="4"/>
        <v>2758.0681956236663</v>
      </c>
      <c r="H52" s="4">
        <f t="shared" si="8"/>
        <v>4241.9318043763342</v>
      </c>
    </row>
    <row r="53" spans="1:8" x14ac:dyDescent="0.3">
      <c r="A53" s="19">
        <v>46202</v>
      </c>
      <c r="B53" s="24">
        <f t="shared" si="3"/>
        <v>52</v>
      </c>
      <c r="C53" s="20"/>
      <c r="D53" s="21">
        <f t="shared" si="6"/>
        <v>100</v>
      </c>
      <c r="E53" s="21">
        <f t="shared" si="7"/>
        <v>9.3155594396028221</v>
      </c>
      <c r="F53" s="21">
        <f t="shared" si="5"/>
        <v>90.684440560397178</v>
      </c>
      <c r="G53" s="21">
        <f t="shared" si="4"/>
        <v>2667.3837550632693</v>
      </c>
      <c r="H53" s="21">
        <f t="shared" si="8"/>
        <v>4332.6162449367312</v>
      </c>
    </row>
    <row r="54" spans="1:8" x14ac:dyDescent="0.3">
      <c r="A54" s="2">
        <v>46202</v>
      </c>
      <c r="B54" s="23">
        <f t="shared" si="3"/>
        <v>53</v>
      </c>
      <c r="C54" s="3"/>
      <c r="D54" s="4">
        <f t="shared" si="6"/>
        <v>100</v>
      </c>
      <c r="E54" s="4">
        <f t="shared" si="7"/>
        <v>9.009266688166166</v>
      </c>
      <c r="F54" s="4">
        <f t="shared" si="5"/>
        <v>90.990733311833836</v>
      </c>
      <c r="G54" s="4">
        <f t="shared" si="4"/>
        <v>2576.3930217514353</v>
      </c>
      <c r="H54" s="4">
        <f t="shared" si="8"/>
        <v>4423.6069782485647</v>
      </c>
    </row>
    <row r="55" spans="1:8" x14ac:dyDescent="0.3">
      <c r="A55" s="19">
        <v>46202</v>
      </c>
      <c r="B55" s="24">
        <f t="shared" si="3"/>
        <v>54</v>
      </c>
      <c r="C55" s="20"/>
      <c r="D55" s="21">
        <f t="shared" si="6"/>
        <v>100</v>
      </c>
      <c r="E55" s="21">
        <f t="shared" si="7"/>
        <v>8.7019394125156211</v>
      </c>
      <c r="F55" s="21">
        <f t="shared" si="5"/>
        <v>91.298060587484372</v>
      </c>
      <c r="G55" s="21">
        <f t="shared" si="4"/>
        <v>2485.0949611639508</v>
      </c>
      <c r="H55" s="21">
        <f t="shared" si="8"/>
        <v>4514.9050388360492</v>
      </c>
    </row>
    <row r="56" spans="1:8" x14ac:dyDescent="0.3">
      <c r="A56" s="2">
        <v>46202</v>
      </c>
      <c r="B56" s="23">
        <f t="shared" si="3"/>
        <v>55</v>
      </c>
      <c r="C56" s="3"/>
      <c r="D56" s="4">
        <f t="shared" si="6"/>
        <v>100</v>
      </c>
      <c r="E56" s="4">
        <f t="shared" si="7"/>
        <v>8.3935741184765966</v>
      </c>
      <c r="F56" s="4">
        <f t="shared" si="5"/>
        <v>91.606425881523407</v>
      </c>
      <c r="G56" s="4">
        <f t="shared" si="4"/>
        <v>2393.4885352824272</v>
      </c>
      <c r="H56" s="4">
        <f t="shared" si="8"/>
        <v>4606.5114647175724</v>
      </c>
    </row>
    <row r="57" spans="1:8" x14ac:dyDescent="0.3">
      <c r="A57" s="19">
        <v>46202</v>
      </c>
      <c r="B57" s="24">
        <f t="shared" si="3"/>
        <v>56</v>
      </c>
      <c r="C57" s="20"/>
      <c r="D57" s="21">
        <f t="shared" si="6"/>
        <v>100</v>
      </c>
      <c r="E57" s="21">
        <f t="shared" si="7"/>
        <v>8.0841673000726963</v>
      </c>
      <c r="F57" s="21">
        <f t="shared" si="5"/>
        <v>91.915832699927307</v>
      </c>
      <c r="G57" s="21">
        <f t="shared" si="4"/>
        <v>2301.5727025824999</v>
      </c>
      <c r="H57" s="21">
        <f t="shared" si="8"/>
        <v>4698.4272974175001</v>
      </c>
    </row>
    <row r="58" spans="1:8" x14ac:dyDescent="0.3">
      <c r="A58" s="2">
        <v>46202</v>
      </c>
      <c r="B58" s="23">
        <f t="shared" si="3"/>
        <v>57</v>
      </c>
      <c r="C58" s="3"/>
      <c r="D58" s="4">
        <f t="shared" si="6"/>
        <v>100</v>
      </c>
      <c r="E58" s="4">
        <f t="shared" si="7"/>
        <v>7.7737154394858541</v>
      </c>
      <c r="F58" s="4">
        <f t="shared" si="5"/>
        <v>92.226284560514145</v>
      </c>
      <c r="G58" s="4">
        <f t="shared" si="4"/>
        <v>2209.3464180219858</v>
      </c>
      <c r="H58" s="4">
        <f t="shared" si="8"/>
        <v>4790.6535819780147</v>
      </c>
    </row>
    <row r="59" spans="1:8" x14ac:dyDescent="0.3">
      <c r="A59" s="19">
        <v>46202</v>
      </c>
      <c r="B59" s="24">
        <f t="shared" si="3"/>
        <v>58</v>
      </c>
      <c r="C59" s="20"/>
      <c r="D59" s="21">
        <f t="shared" si="6"/>
        <v>100</v>
      </c>
      <c r="E59" s="21">
        <f t="shared" si="7"/>
        <v>7.4622150070163373</v>
      </c>
      <c r="F59" s="21">
        <f t="shared" si="5"/>
        <v>92.53778499298366</v>
      </c>
      <c r="G59" s="21">
        <f t="shared" si="4"/>
        <v>2116.8086330290021</v>
      </c>
      <c r="H59" s="21">
        <f t="shared" si="8"/>
        <v>4883.1913669709975</v>
      </c>
    </row>
    <row r="60" spans="1:8" x14ac:dyDescent="0.3">
      <c r="A60" s="2">
        <v>46202</v>
      </c>
      <c r="B60" s="23">
        <f t="shared" si="3"/>
        <v>59</v>
      </c>
      <c r="C60" s="3"/>
      <c r="D60" s="4">
        <f t="shared" si="6"/>
        <v>100</v>
      </c>
      <c r="E60" s="4">
        <f t="shared" si="7"/>
        <v>7.1496624610426149</v>
      </c>
      <c r="F60" s="4">
        <f t="shared" si="5"/>
        <v>92.85033753895739</v>
      </c>
      <c r="G60" s="4">
        <f t="shared" si="4"/>
        <v>2023.9582954900447</v>
      </c>
      <c r="H60" s="4">
        <f t="shared" si="8"/>
        <v>4976.0417045099548</v>
      </c>
    </row>
    <row r="61" spans="1:8" x14ac:dyDescent="0.3">
      <c r="A61" s="19">
        <v>46202</v>
      </c>
      <c r="B61" s="24">
        <f t="shared" si="3"/>
        <v>60</v>
      </c>
      <c r="C61" s="20"/>
      <c r="D61" s="21">
        <f t="shared" si="6"/>
        <v>100</v>
      </c>
      <c r="E61" s="21">
        <f t="shared" si="7"/>
        <v>6.8360542479810977</v>
      </c>
      <c r="F61" s="21">
        <f t="shared" si="5"/>
        <v>93.163945752018904</v>
      </c>
      <c r="G61" s="21">
        <f t="shared" si="4"/>
        <v>1930.7943497380259</v>
      </c>
      <c r="H61" s="21">
        <f t="shared" si="8"/>
        <v>5069.2056502619744</v>
      </c>
    </row>
    <row r="62" spans="1:8" x14ac:dyDescent="0.3">
      <c r="A62" s="2">
        <v>46202</v>
      </c>
      <c r="B62" s="23">
        <f t="shared" si="3"/>
        <v>61</v>
      </c>
      <c r="C62" s="3"/>
      <c r="D62" s="4">
        <f t="shared" si="6"/>
        <v>100</v>
      </c>
      <c r="E62" s="4">
        <f t="shared" si="7"/>
        <v>6.5213868022457255</v>
      </c>
      <c r="F62" s="4">
        <f t="shared" si="5"/>
        <v>93.478613197754271</v>
      </c>
      <c r="G62" s="4">
        <f t="shared" si="4"/>
        <v>1837.3157365402717</v>
      </c>
      <c r="H62" s="4">
        <f t="shared" si="8"/>
        <v>5162.6842634597288</v>
      </c>
    </row>
    <row r="63" spans="1:8" x14ac:dyDescent="0.3">
      <c r="A63" s="19">
        <v>46202</v>
      </c>
      <c r="B63" s="24">
        <f t="shared" si="3"/>
        <v>62</v>
      </c>
      <c r="C63" s="20"/>
      <c r="D63" s="21">
        <f t="shared" si="6"/>
        <v>100</v>
      </c>
      <c r="E63" s="21">
        <f t="shared" si="7"/>
        <v>6.2056565462074378</v>
      </c>
      <c r="F63" s="21">
        <f t="shared" si="5"/>
        <v>93.794343453792564</v>
      </c>
      <c r="G63" s="21">
        <f t="shared" si="4"/>
        <v>1743.5213930864791</v>
      </c>
      <c r="H63" s="21">
        <f t="shared" si="8"/>
        <v>5256.4786069135207</v>
      </c>
    </row>
    <row r="64" spans="1:8" x14ac:dyDescent="0.3">
      <c r="A64" s="2">
        <v>46202</v>
      </c>
      <c r="B64" s="23">
        <f t="shared" si="3"/>
        <v>63</v>
      </c>
      <c r="C64" s="3"/>
      <c r="D64" s="4">
        <f t="shared" si="6"/>
        <v>100</v>
      </c>
      <c r="E64" s="4">
        <f t="shared" si="7"/>
        <v>5.8888598901534888</v>
      </c>
      <c r="F64" s="4">
        <f t="shared" si="5"/>
        <v>94.111140109846517</v>
      </c>
      <c r="G64" s="4">
        <f t="shared" si="4"/>
        <v>1649.4102529766326</v>
      </c>
      <c r="H64" s="4">
        <f t="shared" si="8"/>
        <v>5350.5897470233676</v>
      </c>
    </row>
    <row r="65" spans="1:8" x14ac:dyDescent="0.3">
      <c r="A65" s="19">
        <v>46202</v>
      </c>
      <c r="B65" s="24">
        <f t="shared" si="3"/>
        <v>64</v>
      </c>
      <c r="C65" s="20"/>
      <c r="D65" s="21">
        <f t="shared" si="6"/>
        <v>100</v>
      </c>
      <c r="E65" s="21">
        <f t="shared" si="7"/>
        <v>5.5709932322466411</v>
      </c>
      <c r="F65" s="21">
        <f t="shared" si="5"/>
        <v>94.429006767753364</v>
      </c>
      <c r="G65" s="21">
        <f t="shared" si="4"/>
        <v>1554.9812462088792</v>
      </c>
      <c r="H65" s="21">
        <f t="shared" si="8"/>
        <v>5445.0187537911206</v>
      </c>
    </row>
    <row r="66" spans="1:8" x14ac:dyDescent="0.3">
      <c r="A66" s="2">
        <v>46202</v>
      </c>
      <c r="B66" s="23">
        <f t="shared" si="3"/>
        <v>65</v>
      </c>
      <c r="C66" s="3"/>
      <c r="D66" s="4">
        <f t="shared" ref="D66:D97" si="9">IF(AND($A66&lt;&gt;"",$B66&lt;&gt;""),$K$9,"")</f>
        <v>100</v>
      </c>
      <c r="E66" s="4">
        <f t="shared" si="7"/>
        <v>5.2520529584842102</v>
      </c>
      <c r="F66" s="4">
        <f t="shared" si="5"/>
        <v>94.747947041515786</v>
      </c>
      <c r="G66" s="4">
        <f t="shared" si="4"/>
        <v>1460.2332991673634</v>
      </c>
      <c r="H66" s="4">
        <f t="shared" si="8"/>
        <v>5539.7667008326371</v>
      </c>
    </row>
    <row r="67" spans="1:8" x14ac:dyDescent="0.3">
      <c r="A67" s="19">
        <v>46202</v>
      </c>
      <c r="B67" s="24">
        <f t="shared" si="3"/>
        <v>66</v>
      </c>
      <c r="C67" s="20"/>
      <c r="D67" s="21">
        <f t="shared" si="9"/>
        <v>100</v>
      </c>
      <c r="E67" s="21">
        <f t="shared" ref="E67:E98" si="10">IF(AND($A67&lt;&gt;"",$B67&lt;&gt;""),G66*$K$8,"")</f>
        <v>4.9320354426569795</v>
      </c>
      <c r="F67" s="21">
        <f t="shared" si="5"/>
        <v>95.067964557343018</v>
      </c>
      <c r="G67" s="21">
        <f t="shared" si="4"/>
        <v>1365.1653346100204</v>
      </c>
      <c r="H67" s="21">
        <f t="shared" ref="H67:H98" si="11">IF(AND($A67&lt;&gt;"",$B67&lt;&gt;""),$K$7-G67,"")</f>
        <v>5634.8346653899798</v>
      </c>
    </row>
    <row r="68" spans="1:8" x14ac:dyDescent="0.3">
      <c r="A68" s="2">
        <v>46202</v>
      </c>
      <c r="B68" s="23">
        <f t="shared" ref="B68:B121" si="12">IF(A68&lt;&gt;"",B67+1,"")</f>
        <v>67</v>
      </c>
      <c r="C68" s="3"/>
      <c r="D68" s="4">
        <f t="shared" si="9"/>
        <v>100</v>
      </c>
      <c r="E68" s="4">
        <f t="shared" si="10"/>
        <v>4.6109370463079635</v>
      </c>
      <c r="F68" s="4">
        <f t="shared" si="5"/>
        <v>95.389062953692033</v>
      </c>
      <c r="G68" s="4">
        <f t="shared" si="4"/>
        <v>1269.7762716563284</v>
      </c>
      <c r="H68" s="4">
        <f t="shared" si="11"/>
        <v>5730.2237283436716</v>
      </c>
    </row>
    <row r="69" spans="1:8" x14ac:dyDescent="0.3">
      <c r="A69" s="19">
        <v>46202</v>
      </c>
      <c r="B69" s="24">
        <f t="shared" si="12"/>
        <v>68</v>
      </c>
      <c r="C69" s="20"/>
      <c r="D69" s="21">
        <f t="shared" si="9"/>
        <v>100</v>
      </c>
      <c r="E69" s="21">
        <f t="shared" si="10"/>
        <v>4.2887541186910489</v>
      </c>
      <c r="F69" s="21">
        <f t="shared" si="5"/>
        <v>95.711245881308955</v>
      </c>
      <c r="G69" s="21">
        <f t="shared" si="4"/>
        <v>1174.0650257750194</v>
      </c>
      <c r="H69" s="21">
        <f t="shared" si="11"/>
        <v>5825.9349742249806</v>
      </c>
    </row>
    <row r="70" spans="1:8" x14ac:dyDescent="0.3">
      <c r="A70" s="2">
        <v>46202</v>
      </c>
      <c r="B70" s="23">
        <f t="shared" si="12"/>
        <v>69</v>
      </c>
      <c r="C70" s="3"/>
      <c r="D70" s="4">
        <f t="shared" si="9"/>
        <v>100</v>
      </c>
      <c r="E70" s="4">
        <f t="shared" si="10"/>
        <v>3.9654829967294827</v>
      </c>
      <c r="F70" s="4">
        <f t="shared" si="5"/>
        <v>96.034517003270523</v>
      </c>
      <c r="G70" s="4">
        <f t="shared" ref="G70:G121" si="13">IF(AND($A70&lt;&gt;"",$B70&lt;&gt;""),G69-F70,"")</f>
        <v>1078.0305087717488</v>
      </c>
      <c r="H70" s="4">
        <f t="shared" si="11"/>
        <v>5921.9694912282512</v>
      </c>
    </row>
    <row r="71" spans="1:8" x14ac:dyDescent="0.3">
      <c r="A71" s="19">
        <v>46202</v>
      </c>
      <c r="B71" s="24">
        <f t="shared" si="12"/>
        <v>70</v>
      </c>
      <c r="C71" s="20"/>
      <c r="D71" s="21">
        <f t="shared" si="9"/>
        <v>100</v>
      </c>
      <c r="E71" s="21">
        <f t="shared" si="10"/>
        <v>3.6411200049742258</v>
      </c>
      <c r="F71" s="21">
        <f t="shared" ref="F71:F121" si="14">IF(AND($A71&lt;&gt;"",$B71&lt;&gt;""),D71-E71,"")</f>
        <v>96.358879995025774</v>
      </c>
      <c r="G71" s="21">
        <f t="shared" si="13"/>
        <v>981.67162877672308</v>
      </c>
      <c r="H71" s="21">
        <f t="shared" si="11"/>
        <v>6018.3283712232769</v>
      </c>
    </row>
    <row r="72" spans="1:8" x14ac:dyDescent="0.3">
      <c r="A72" s="2">
        <v>46202</v>
      </c>
      <c r="B72" s="23">
        <f t="shared" si="12"/>
        <v>71</v>
      </c>
      <c r="C72" s="3"/>
      <c r="D72" s="4">
        <f t="shared" si="9"/>
        <v>100</v>
      </c>
      <c r="E72" s="4">
        <f t="shared" si="10"/>
        <v>3.3156614555621653</v>
      </c>
      <c r="F72" s="4">
        <f t="shared" si="14"/>
        <v>96.684338544437836</v>
      </c>
      <c r="G72" s="4">
        <f t="shared" si="13"/>
        <v>884.9872902322852</v>
      </c>
      <c r="H72" s="4">
        <f t="shared" si="11"/>
        <v>6115.012709767715</v>
      </c>
    </row>
    <row r="73" spans="1:8" x14ac:dyDescent="0.3">
      <c r="A73" s="19">
        <v>46202</v>
      </c>
      <c r="B73" s="24">
        <f t="shared" si="12"/>
        <v>72</v>
      </c>
      <c r="C73" s="20"/>
      <c r="D73" s="21">
        <f t="shared" si="9"/>
        <v>100</v>
      </c>
      <c r="E73" s="21">
        <f t="shared" si="10"/>
        <v>2.9891036481741828</v>
      </c>
      <c r="F73" s="21">
        <f t="shared" si="14"/>
        <v>97.010896351825821</v>
      </c>
      <c r="G73" s="21">
        <f t="shared" si="13"/>
        <v>787.97639388045934</v>
      </c>
      <c r="H73" s="21">
        <f t="shared" si="11"/>
        <v>6212.023606119541</v>
      </c>
    </row>
    <row r="74" spans="1:8" x14ac:dyDescent="0.3">
      <c r="A74" s="2">
        <v>46202</v>
      </c>
      <c r="B74" s="23">
        <f t="shared" si="12"/>
        <v>73</v>
      </c>
      <c r="C74" s="3"/>
      <c r="D74" s="4">
        <f t="shared" si="9"/>
        <v>100</v>
      </c>
      <c r="E74" s="4">
        <f t="shared" si="10"/>
        <v>2.661442869993087</v>
      </c>
      <c r="F74" s="4">
        <f t="shared" si="14"/>
        <v>97.338557130006919</v>
      </c>
      <c r="G74" s="4">
        <f t="shared" si="13"/>
        <v>690.63783675045238</v>
      </c>
      <c r="H74" s="4">
        <f t="shared" si="11"/>
        <v>6309.3621632495478</v>
      </c>
    </row>
    <row r="75" spans="1:8" x14ac:dyDescent="0.3">
      <c r="A75" s="19">
        <v>46202</v>
      </c>
      <c r="B75" s="24">
        <f t="shared" si="12"/>
        <v>74</v>
      </c>
      <c r="C75" s="20"/>
      <c r="D75" s="21">
        <f t="shared" si="9"/>
        <v>100</v>
      </c>
      <c r="E75" s="21">
        <f t="shared" si="10"/>
        <v>2.3326753956613966</v>
      </c>
      <c r="F75" s="21">
        <f t="shared" si="14"/>
        <v>97.667324604338603</v>
      </c>
      <c r="G75" s="21">
        <f t="shared" si="13"/>
        <v>592.97051214611383</v>
      </c>
      <c r="H75" s="21">
        <f t="shared" si="11"/>
        <v>6407.0294878538862</v>
      </c>
    </row>
    <row r="76" spans="1:8" x14ac:dyDescent="0.3">
      <c r="A76" s="2">
        <v>46202</v>
      </c>
      <c r="B76" s="23">
        <f t="shared" si="12"/>
        <v>75</v>
      </c>
      <c r="C76" s="3"/>
      <c r="D76" s="4">
        <f t="shared" si="9"/>
        <v>100</v>
      </c>
      <c r="E76" s="4">
        <f t="shared" si="10"/>
        <v>2.0027974872389889</v>
      </c>
      <c r="F76" s="4">
        <f t="shared" si="14"/>
        <v>97.997202512761007</v>
      </c>
      <c r="G76" s="4">
        <f t="shared" si="13"/>
        <v>494.97330963335281</v>
      </c>
      <c r="H76" s="4">
        <f t="shared" si="11"/>
        <v>6505.026690366647</v>
      </c>
    </row>
    <row r="77" spans="1:8" x14ac:dyDescent="0.3">
      <c r="A77" s="19">
        <v>46202</v>
      </c>
      <c r="B77" s="24">
        <f t="shared" si="12"/>
        <v>76</v>
      </c>
      <c r="C77" s="20"/>
      <c r="D77" s="21">
        <f t="shared" si="9"/>
        <v>100</v>
      </c>
      <c r="E77" s="21">
        <f t="shared" si="10"/>
        <v>1.6718053941605973</v>
      </c>
      <c r="F77" s="21">
        <f t="shared" si="14"/>
        <v>98.3281946058394</v>
      </c>
      <c r="G77" s="21">
        <f t="shared" si="13"/>
        <v>396.64511502751338</v>
      </c>
      <c r="H77" s="21">
        <f t="shared" si="11"/>
        <v>6603.3548849724866</v>
      </c>
    </row>
    <row r="78" spans="1:8" x14ac:dyDescent="0.3">
      <c r="A78" s="2">
        <v>46202</v>
      </c>
      <c r="B78" s="23">
        <f t="shared" si="12"/>
        <v>77</v>
      </c>
      <c r="C78" s="3"/>
      <c r="D78" s="4">
        <f t="shared" si="9"/>
        <v>100</v>
      </c>
      <c r="E78" s="4">
        <f t="shared" si="10"/>
        <v>1.339695353193171</v>
      </c>
      <c r="F78" s="4">
        <f t="shared" si="14"/>
        <v>98.660304646806836</v>
      </c>
      <c r="G78" s="4">
        <f t="shared" si="13"/>
        <v>297.98481038070656</v>
      </c>
      <c r="H78" s="4">
        <f t="shared" si="11"/>
        <v>6702.0151896192938</v>
      </c>
    </row>
    <row r="79" spans="1:8" x14ac:dyDescent="0.3">
      <c r="A79" s="19">
        <v>46202</v>
      </c>
      <c r="B79" s="24">
        <f t="shared" si="12"/>
        <v>78</v>
      </c>
      <c r="C79" s="20"/>
      <c r="D79" s="21">
        <f t="shared" si="9"/>
        <v>100</v>
      </c>
      <c r="E79" s="21">
        <f t="shared" si="10"/>
        <v>1.0064635883930892</v>
      </c>
      <c r="F79" s="21">
        <f t="shared" si="14"/>
        <v>98.993536411606911</v>
      </c>
      <c r="G79" s="21">
        <f t="shared" si="13"/>
        <v>198.99127396909967</v>
      </c>
      <c r="H79" s="21">
        <f t="shared" si="11"/>
        <v>6801.0087260309001</v>
      </c>
    </row>
    <row r="80" spans="1:8" x14ac:dyDescent="0.3">
      <c r="A80" s="2">
        <v>46202</v>
      </c>
      <c r="B80" s="23">
        <f t="shared" si="12"/>
        <v>79</v>
      </c>
      <c r="C80" s="3"/>
      <c r="D80" s="4">
        <f t="shared" si="9"/>
        <v>100</v>
      </c>
      <c r="E80" s="4">
        <f t="shared" si="10"/>
        <v>0.67210631106322871</v>
      </c>
      <c r="F80" s="4">
        <f t="shared" si="14"/>
        <v>99.327893688936769</v>
      </c>
      <c r="G80" s="4">
        <f t="shared" si="13"/>
        <v>99.663380280162897</v>
      </c>
      <c r="H80" s="4">
        <f t="shared" si="11"/>
        <v>6900.3366197198375</v>
      </c>
    </row>
    <row r="81" spans="1:8" x14ac:dyDescent="0.3">
      <c r="A81" s="19">
        <v>46202</v>
      </c>
      <c r="B81" s="24">
        <f t="shared" si="12"/>
        <v>80</v>
      </c>
      <c r="C81" s="20"/>
      <c r="D81" s="21">
        <f t="shared" si="9"/>
        <v>100</v>
      </c>
      <c r="E81" s="21">
        <f t="shared" si="10"/>
        <v>0.3366197197098888</v>
      </c>
      <c r="F81" s="21">
        <f t="shared" si="14"/>
        <v>99.663380280290113</v>
      </c>
      <c r="G81" s="21">
        <f t="shared" si="13"/>
        <v>-1.2721557141048834E-10</v>
      </c>
      <c r="H81" s="21">
        <f t="shared" si="11"/>
        <v>7000.0000000001273</v>
      </c>
    </row>
    <row r="82" spans="1:8" x14ac:dyDescent="0.3">
      <c r="A82" s="2"/>
      <c r="B82" s="23" t="str">
        <f t="shared" si="12"/>
        <v/>
      </c>
      <c r="C82" s="3"/>
      <c r="D82" s="4" t="str">
        <f t="shared" si="9"/>
        <v/>
      </c>
      <c r="E82" s="4" t="str">
        <f t="shared" si="10"/>
        <v/>
      </c>
      <c r="F82" s="4" t="str">
        <f t="shared" si="14"/>
        <v/>
      </c>
      <c r="G82" s="4" t="str">
        <f t="shared" si="13"/>
        <v/>
      </c>
      <c r="H82" s="4" t="str">
        <f t="shared" si="11"/>
        <v/>
      </c>
    </row>
    <row r="83" spans="1:8" x14ac:dyDescent="0.3">
      <c r="A83" s="19"/>
      <c r="B83" s="24" t="str">
        <f t="shared" si="12"/>
        <v/>
      </c>
      <c r="C83" s="20"/>
      <c r="D83" s="21" t="str">
        <f t="shared" si="9"/>
        <v/>
      </c>
      <c r="E83" s="21" t="str">
        <f t="shared" si="10"/>
        <v/>
      </c>
      <c r="F83" s="21" t="str">
        <f t="shared" si="14"/>
        <v/>
      </c>
      <c r="G83" s="21" t="str">
        <f t="shared" si="13"/>
        <v/>
      </c>
      <c r="H83" s="21" t="str">
        <f t="shared" si="11"/>
        <v/>
      </c>
    </row>
    <row r="84" spans="1:8" x14ac:dyDescent="0.3">
      <c r="A84" s="2"/>
      <c r="B84" s="23" t="str">
        <f t="shared" si="12"/>
        <v/>
      </c>
      <c r="C84" s="3"/>
      <c r="D84" s="4" t="str">
        <f t="shared" si="9"/>
        <v/>
      </c>
      <c r="E84" s="4" t="str">
        <f t="shared" si="10"/>
        <v/>
      </c>
      <c r="F84" s="4" t="str">
        <f t="shared" si="14"/>
        <v/>
      </c>
      <c r="G84" s="4" t="str">
        <f t="shared" si="13"/>
        <v/>
      </c>
      <c r="H84" s="4" t="str">
        <f t="shared" si="11"/>
        <v/>
      </c>
    </row>
    <row r="85" spans="1:8" x14ac:dyDescent="0.3">
      <c r="A85" s="19"/>
      <c r="B85" s="24" t="str">
        <f t="shared" si="12"/>
        <v/>
      </c>
      <c r="C85" s="20"/>
      <c r="D85" s="21" t="str">
        <f t="shared" si="9"/>
        <v/>
      </c>
      <c r="E85" s="21" t="str">
        <f t="shared" si="10"/>
        <v/>
      </c>
      <c r="F85" s="21" t="str">
        <f t="shared" si="14"/>
        <v/>
      </c>
      <c r="G85" s="21" t="str">
        <f t="shared" si="13"/>
        <v/>
      </c>
      <c r="H85" s="21" t="str">
        <f t="shared" si="11"/>
        <v/>
      </c>
    </row>
    <row r="86" spans="1:8" x14ac:dyDescent="0.3">
      <c r="A86" s="2"/>
      <c r="B86" s="23" t="str">
        <f t="shared" si="12"/>
        <v/>
      </c>
      <c r="C86" s="3"/>
      <c r="D86" s="4" t="str">
        <f t="shared" si="9"/>
        <v/>
      </c>
      <c r="E86" s="4" t="str">
        <f t="shared" si="10"/>
        <v/>
      </c>
      <c r="F86" s="4" t="str">
        <f t="shared" si="14"/>
        <v/>
      </c>
      <c r="G86" s="4" t="str">
        <f t="shared" si="13"/>
        <v/>
      </c>
      <c r="H86" s="4" t="str">
        <f t="shared" si="11"/>
        <v/>
      </c>
    </row>
    <row r="87" spans="1:8" x14ac:dyDescent="0.3">
      <c r="A87" s="19"/>
      <c r="B87" s="24" t="str">
        <f t="shared" si="12"/>
        <v/>
      </c>
      <c r="C87" s="20"/>
      <c r="D87" s="21" t="str">
        <f t="shared" si="9"/>
        <v/>
      </c>
      <c r="E87" s="21" t="str">
        <f t="shared" si="10"/>
        <v/>
      </c>
      <c r="F87" s="21" t="str">
        <f t="shared" si="14"/>
        <v/>
      </c>
      <c r="G87" s="21" t="str">
        <f t="shared" si="13"/>
        <v/>
      </c>
      <c r="H87" s="21" t="str">
        <f t="shared" si="11"/>
        <v/>
      </c>
    </row>
    <row r="88" spans="1:8" x14ac:dyDescent="0.3">
      <c r="A88" s="2"/>
      <c r="B88" s="23" t="str">
        <f t="shared" si="12"/>
        <v/>
      </c>
      <c r="C88" s="3"/>
      <c r="D88" s="4" t="str">
        <f t="shared" si="9"/>
        <v/>
      </c>
      <c r="E88" s="4" t="str">
        <f t="shared" si="10"/>
        <v/>
      </c>
      <c r="F88" s="4" t="str">
        <f t="shared" si="14"/>
        <v/>
      </c>
      <c r="G88" s="4" t="str">
        <f t="shared" si="13"/>
        <v/>
      </c>
      <c r="H88" s="4" t="str">
        <f t="shared" si="11"/>
        <v/>
      </c>
    </row>
    <row r="89" spans="1:8" x14ac:dyDescent="0.3">
      <c r="A89" s="19"/>
      <c r="B89" s="24" t="str">
        <f t="shared" si="12"/>
        <v/>
      </c>
      <c r="C89" s="20"/>
      <c r="D89" s="21" t="str">
        <f t="shared" si="9"/>
        <v/>
      </c>
      <c r="E89" s="21" t="str">
        <f t="shared" si="10"/>
        <v/>
      </c>
      <c r="F89" s="21" t="str">
        <f t="shared" si="14"/>
        <v/>
      </c>
      <c r="G89" s="21" t="str">
        <f t="shared" si="13"/>
        <v/>
      </c>
      <c r="H89" s="21" t="str">
        <f t="shared" si="11"/>
        <v/>
      </c>
    </row>
    <row r="90" spans="1:8" x14ac:dyDescent="0.3">
      <c r="A90" s="2"/>
      <c r="B90" s="23" t="str">
        <f t="shared" si="12"/>
        <v/>
      </c>
      <c r="C90" s="3"/>
      <c r="D90" s="4" t="str">
        <f t="shared" si="9"/>
        <v/>
      </c>
      <c r="E90" s="4" t="str">
        <f t="shared" si="10"/>
        <v/>
      </c>
      <c r="F90" s="4" t="str">
        <f t="shared" si="14"/>
        <v/>
      </c>
      <c r="G90" s="4" t="str">
        <f t="shared" si="13"/>
        <v/>
      </c>
      <c r="H90" s="4" t="str">
        <f t="shared" si="11"/>
        <v/>
      </c>
    </row>
    <row r="91" spans="1:8" x14ac:dyDescent="0.3">
      <c r="A91" s="19"/>
      <c r="B91" s="24" t="str">
        <f t="shared" si="12"/>
        <v/>
      </c>
      <c r="C91" s="20"/>
      <c r="D91" s="21" t="str">
        <f t="shared" si="9"/>
        <v/>
      </c>
      <c r="E91" s="21" t="str">
        <f t="shared" si="10"/>
        <v/>
      </c>
      <c r="F91" s="21" t="str">
        <f t="shared" si="14"/>
        <v/>
      </c>
      <c r="G91" s="21" t="str">
        <f t="shared" si="13"/>
        <v/>
      </c>
      <c r="H91" s="21" t="str">
        <f t="shared" si="11"/>
        <v/>
      </c>
    </row>
    <row r="92" spans="1:8" x14ac:dyDescent="0.3">
      <c r="A92" s="2"/>
      <c r="B92" s="23" t="str">
        <f t="shared" si="12"/>
        <v/>
      </c>
      <c r="C92" s="3"/>
      <c r="D92" s="4" t="str">
        <f t="shared" si="9"/>
        <v/>
      </c>
      <c r="E92" s="4" t="str">
        <f t="shared" si="10"/>
        <v/>
      </c>
      <c r="F92" s="4" t="str">
        <f t="shared" si="14"/>
        <v/>
      </c>
      <c r="G92" s="4" t="str">
        <f t="shared" si="13"/>
        <v/>
      </c>
      <c r="H92" s="4" t="str">
        <f t="shared" si="11"/>
        <v/>
      </c>
    </row>
    <row r="93" spans="1:8" x14ac:dyDescent="0.3">
      <c r="A93" s="19"/>
      <c r="B93" s="24" t="str">
        <f t="shared" si="12"/>
        <v/>
      </c>
      <c r="C93" s="20"/>
      <c r="D93" s="21" t="str">
        <f t="shared" si="9"/>
        <v/>
      </c>
      <c r="E93" s="21" t="str">
        <f t="shared" si="10"/>
        <v/>
      </c>
      <c r="F93" s="21" t="str">
        <f t="shared" si="14"/>
        <v/>
      </c>
      <c r="G93" s="21" t="str">
        <f t="shared" si="13"/>
        <v/>
      </c>
      <c r="H93" s="21" t="str">
        <f t="shared" si="11"/>
        <v/>
      </c>
    </row>
    <row r="94" spans="1:8" x14ac:dyDescent="0.3">
      <c r="A94" s="2"/>
      <c r="B94" s="23" t="str">
        <f t="shared" si="12"/>
        <v/>
      </c>
      <c r="C94" s="3"/>
      <c r="D94" s="4" t="str">
        <f t="shared" si="9"/>
        <v/>
      </c>
      <c r="E94" s="4" t="str">
        <f t="shared" si="10"/>
        <v/>
      </c>
      <c r="F94" s="4" t="str">
        <f t="shared" si="14"/>
        <v/>
      </c>
      <c r="G94" s="4" t="str">
        <f t="shared" si="13"/>
        <v/>
      </c>
      <c r="H94" s="4" t="str">
        <f t="shared" si="11"/>
        <v/>
      </c>
    </row>
    <row r="95" spans="1:8" x14ac:dyDescent="0.3">
      <c r="A95" s="19"/>
      <c r="B95" s="24" t="str">
        <f t="shared" si="12"/>
        <v/>
      </c>
      <c r="C95" s="20"/>
      <c r="D95" s="21" t="str">
        <f t="shared" si="9"/>
        <v/>
      </c>
      <c r="E95" s="21" t="str">
        <f t="shared" si="10"/>
        <v/>
      </c>
      <c r="F95" s="21" t="str">
        <f t="shared" si="14"/>
        <v/>
      </c>
      <c r="G95" s="21" t="str">
        <f t="shared" si="13"/>
        <v/>
      </c>
      <c r="H95" s="21" t="str">
        <f t="shared" si="11"/>
        <v/>
      </c>
    </row>
    <row r="96" spans="1:8" x14ac:dyDescent="0.3">
      <c r="A96" s="2"/>
      <c r="B96" s="23" t="str">
        <f t="shared" si="12"/>
        <v/>
      </c>
      <c r="C96" s="3"/>
      <c r="D96" s="4" t="str">
        <f t="shared" si="9"/>
        <v/>
      </c>
      <c r="E96" s="4" t="str">
        <f t="shared" si="10"/>
        <v/>
      </c>
      <c r="F96" s="4" t="str">
        <f t="shared" si="14"/>
        <v/>
      </c>
      <c r="G96" s="4" t="str">
        <f t="shared" si="13"/>
        <v/>
      </c>
      <c r="H96" s="4" t="str">
        <f t="shared" si="11"/>
        <v/>
      </c>
    </row>
    <row r="97" spans="1:8" x14ac:dyDescent="0.3">
      <c r="A97" s="19"/>
      <c r="B97" s="24" t="str">
        <f t="shared" si="12"/>
        <v/>
      </c>
      <c r="C97" s="20"/>
      <c r="D97" s="21" t="str">
        <f t="shared" si="9"/>
        <v/>
      </c>
      <c r="E97" s="21" t="str">
        <f t="shared" si="10"/>
        <v/>
      </c>
      <c r="F97" s="21" t="str">
        <f t="shared" si="14"/>
        <v/>
      </c>
      <c r="G97" s="21" t="str">
        <f t="shared" si="13"/>
        <v/>
      </c>
      <c r="H97" s="21" t="str">
        <f t="shared" si="11"/>
        <v/>
      </c>
    </row>
    <row r="98" spans="1:8" x14ac:dyDescent="0.3">
      <c r="A98" s="2"/>
      <c r="B98" s="23" t="str">
        <f t="shared" si="12"/>
        <v/>
      </c>
      <c r="C98" s="3"/>
      <c r="D98" s="4" t="str">
        <f t="shared" ref="D98:D121" si="15">IF(AND($A98&lt;&gt;"",$B98&lt;&gt;""),$K$9,"")</f>
        <v/>
      </c>
      <c r="E98" s="4" t="str">
        <f t="shared" si="10"/>
        <v/>
      </c>
      <c r="F98" s="4" t="str">
        <f t="shared" si="14"/>
        <v/>
      </c>
      <c r="G98" s="4" t="str">
        <f t="shared" si="13"/>
        <v/>
      </c>
      <c r="H98" s="4" t="str">
        <f t="shared" si="11"/>
        <v/>
      </c>
    </row>
    <row r="99" spans="1:8" x14ac:dyDescent="0.3">
      <c r="A99" s="19"/>
      <c r="B99" s="24" t="str">
        <f t="shared" si="12"/>
        <v/>
      </c>
      <c r="C99" s="20"/>
      <c r="D99" s="21" t="str">
        <f t="shared" si="15"/>
        <v/>
      </c>
      <c r="E99" s="21" t="str">
        <f t="shared" ref="E99:E121" si="16">IF(AND($A99&lt;&gt;"",$B99&lt;&gt;""),G98*$K$8,"")</f>
        <v/>
      </c>
      <c r="F99" s="21" t="str">
        <f t="shared" si="14"/>
        <v/>
      </c>
      <c r="G99" s="21" t="str">
        <f t="shared" si="13"/>
        <v/>
      </c>
      <c r="H99" s="21" t="str">
        <f t="shared" ref="H99:H121" si="17">IF(AND($A99&lt;&gt;"",$B99&lt;&gt;""),$K$7-G99,"")</f>
        <v/>
      </c>
    </row>
    <row r="100" spans="1:8" x14ac:dyDescent="0.3">
      <c r="A100" s="2"/>
      <c r="B100" s="23" t="str">
        <f t="shared" si="12"/>
        <v/>
      </c>
      <c r="C100" s="3"/>
      <c r="D100" s="4" t="str">
        <f t="shared" si="15"/>
        <v/>
      </c>
      <c r="E100" s="4" t="str">
        <f t="shared" si="16"/>
        <v/>
      </c>
      <c r="F100" s="4" t="str">
        <f t="shared" si="14"/>
        <v/>
      </c>
      <c r="G100" s="4" t="str">
        <f t="shared" si="13"/>
        <v/>
      </c>
      <c r="H100" s="4" t="str">
        <f t="shared" si="17"/>
        <v/>
      </c>
    </row>
    <row r="101" spans="1:8" x14ac:dyDescent="0.3">
      <c r="A101" s="19"/>
      <c r="B101" s="24" t="str">
        <f t="shared" si="12"/>
        <v/>
      </c>
      <c r="C101" s="20"/>
      <c r="D101" s="21" t="str">
        <f t="shared" si="15"/>
        <v/>
      </c>
      <c r="E101" s="21" t="str">
        <f t="shared" si="16"/>
        <v/>
      </c>
      <c r="F101" s="21" t="str">
        <f t="shared" si="14"/>
        <v/>
      </c>
      <c r="G101" s="21" t="str">
        <f t="shared" si="13"/>
        <v/>
      </c>
      <c r="H101" s="21" t="str">
        <f t="shared" si="17"/>
        <v/>
      </c>
    </row>
    <row r="102" spans="1:8" x14ac:dyDescent="0.3">
      <c r="A102" s="2"/>
      <c r="B102" s="23" t="str">
        <f t="shared" si="12"/>
        <v/>
      </c>
      <c r="C102" s="3"/>
      <c r="D102" s="4" t="str">
        <f t="shared" si="15"/>
        <v/>
      </c>
      <c r="E102" s="4" t="str">
        <f t="shared" si="16"/>
        <v/>
      </c>
      <c r="F102" s="4" t="str">
        <f t="shared" si="14"/>
        <v/>
      </c>
      <c r="G102" s="4" t="str">
        <f t="shared" si="13"/>
        <v/>
      </c>
      <c r="H102" s="4" t="str">
        <f t="shared" si="17"/>
        <v/>
      </c>
    </row>
    <row r="103" spans="1:8" x14ac:dyDescent="0.3">
      <c r="A103" s="19"/>
      <c r="B103" s="24" t="str">
        <f t="shared" si="12"/>
        <v/>
      </c>
      <c r="C103" s="20"/>
      <c r="D103" s="21" t="str">
        <f t="shared" si="15"/>
        <v/>
      </c>
      <c r="E103" s="21" t="str">
        <f t="shared" si="16"/>
        <v/>
      </c>
      <c r="F103" s="21" t="str">
        <f t="shared" si="14"/>
        <v/>
      </c>
      <c r="G103" s="21" t="str">
        <f t="shared" si="13"/>
        <v/>
      </c>
      <c r="H103" s="21" t="str">
        <f t="shared" si="17"/>
        <v/>
      </c>
    </row>
    <row r="104" spans="1:8" x14ac:dyDescent="0.3">
      <c r="A104" s="2"/>
      <c r="B104" s="23" t="str">
        <f t="shared" si="12"/>
        <v/>
      </c>
      <c r="C104" s="3"/>
      <c r="D104" s="4" t="str">
        <f t="shared" si="15"/>
        <v/>
      </c>
      <c r="E104" s="4" t="str">
        <f t="shared" si="16"/>
        <v/>
      </c>
      <c r="F104" s="4" t="str">
        <f t="shared" si="14"/>
        <v/>
      </c>
      <c r="G104" s="4" t="str">
        <f t="shared" si="13"/>
        <v/>
      </c>
      <c r="H104" s="4" t="str">
        <f t="shared" si="17"/>
        <v/>
      </c>
    </row>
    <row r="105" spans="1:8" x14ac:dyDescent="0.3">
      <c r="A105" s="19"/>
      <c r="B105" s="24" t="str">
        <f t="shared" si="12"/>
        <v/>
      </c>
      <c r="C105" s="20"/>
      <c r="D105" s="21" t="str">
        <f t="shared" si="15"/>
        <v/>
      </c>
      <c r="E105" s="21" t="str">
        <f t="shared" si="16"/>
        <v/>
      </c>
      <c r="F105" s="21" t="str">
        <f t="shared" si="14"/>
        <v/>
      </c>
      <c r="G105" s="21" t="str">
        <f t="shared" si="13"/>
        <v/>
      </c>
      <c r="H105" s="21" t="str">
        <f t="shared" si="17"/>
        <v/>
      </c>
    </row>
    <row r="106" spans="1:8" x14ac:dyDescent="0.3">
      <c r="A106" s="2"/>
      <c r="B106" s="23" t="str">
        <f t="shared" si="12"/>
        <v/>
      </c>
      <c r="C106" s="3"/>
      <c r="D106" s="4" t="str">
        <f t="shared" si="15"/>
        <v/>
      </c>
      <c r="E106" s="4" t="str">
        <f t="shared" si="16"/>
        <v/>
      </c>
      <c r="F106" s="4" t="str">
        <f t="shared" si="14"/>
        <v/>
      </c>
      <c r="G106" s="4" t="str">
        <f t="shared" si="13"/>
        <v/>
      </c>
      <c r="H106" s="4" t="str">
        <f t="shared" si="17"/>
        <v/>
      </c>
    </row>
    <row r="107" spans="1:8" x14ac:dyDescent="0.3">
      <c r="A107" s="19"/>
      <c r="B107" s="24" t="str">
        <f t="shared" si="12"/>
        <v/>
      </c>
      <c r="C107" s="20"/>
      <c r="D107" s="21" t="str">
        <f t="shared" si="15"/>
        <v/>
      </c>
      <c r="E107" s="21" t="str">
        <f t="shared" si="16"/>
        <v/>
      </c>
      <c r="F107" s="21" t="str">
        <f t="shared" si="14"/>
        <v/>
      </c>
      <c r="G107" s="21" t="str">
        <f t="shared" si="13"/>
        <v/>
      </c>
      <c r="H107" s="21" t="str">
        <f t="shared" si="17"/>
        <v/>
      </c>
    </row>
    <row r="108" spans="1:8" x14ac:dyDescent="0.3">
      <c r="A108" s="2"/>
      <c r="B108" s="23" t="str">
        <f t="shared" si="12"/>
        <v/>
      </c>
      <c r="C108" s="3"/>
      <c r="D108" s="4" t="str">
        <f t="shared" si="15"/>
        <v/>
      </c>
      <c r="E108" s="4" t="str">
        <f t="shared" si="16"/>
        <v/>
      </c>
      <c r="F108" s="4" t="str">
        <f t="shared" si="14"/>
        <v/>
      </c>
      <c r="G108" s="4" t="str">
        <f t="shared" si="13"/>
        <v/>
      </c>
      <c r="H108" s="4" t="str">
        <f t="shared" si="17"/>
        <v/>
      </c>
    </row>
    <row r="109" spans="1:8" x14ac:dyDescent="0.3">
      <c r="A109" s="19"/>
      <c r="B109" s="24" t="str">
        <f t="shared" si="12"/>
        <v/>
      </c>
      <c r="C109" s="20"/>
      <c r="D109" s="21" t="str">
        <f t="shared" si="15"/>
        <v/>
      </c>
      <c r="E109" s="21" t="str">
        <f t="shared" si="16"/>
        <v/>
      </c>
      <c r="F109" s="21" t="str">
        <f t="shared" si="14"/>
        <v/>
      </c>
      <c r="G109" s="21" t="str">
        <f t="shared" si="13"/>
        <v/>
      </c>
      <c r="H109" s="21" t="str">
        <f t="shared" si="17"/>
        <v/>
      </c>
    </row>
    <row r="110" spans="1:8" x14ac:dyDescent="0.3">
      <c r="A110" s="2"/>
      <c r="B110" s="23" t="str">
        <f t="shared" si="12"/>
        <v/>
      </c>
      <c r="C110" s="3"/>
      <c r="D110" s="4" t="str">
        <f t="shared" si="15"/>
        <v/>
      </c>
      <c r="E110" s="4" t="str">
        <f t="shared" si="16"/>
        <v/>
      </c>
      <c r="F110" s="4" t="str">
        <f t="shared" si="14"/>
        <v/>
      </c>
      <c r="G110" s="4" t="str">
        <f t="shared" si="13"/>
        <v/>
      </c>
      <c r="H110" s="4" t="str">
        <f t="shared" si="17"/>
        <v/>
      </c>
    </row>
    <row r="111" spans="1:8" x14ac:dyDescent="0.3">
      <c r="A111" s="19"/>
      <c r="B111" s="24" t="str">
        <f t="shared" si="12"/>
        <v/>
      </c>
      <c r="C111" s="20"/>
      <c r="D111" s="21" t="str">
        <f t="shared" si="15"/>
        <v/>
      </c>
      <c r="E111" s="21" t="str">
        <f t="shared" si="16"/>
        <v/>
      </c>
      <c r="F111" s="21" t="str">
        <f t="shared" si="14"/>
        <v/>
      </c>
      <c r="G111" s="21" t="str">
        <f t="shared" si="13"/>
        <v/>
      </c>
      <c r="H111" s="21" t="str">
        <f t="shared" si="17"/>
        <v/>
      </c>
    </row>
    <row r="112" spans="1:8" x14ac:dyDescent="0.3">
      <c r="A112" s="2"/>
      <c r="B112" s="23" t="str">
        <f t="shared" si="12"/>
        <v/>
      </c>
      <c r="C112" s="3"/>
      <c r="D112" s="4" t="str">
        <f t="shared" si="15"/>
        <v/>
      </c>
      <c r="E112" s="4" t="str">
        <f t="shared" si="16"/>
        <v/>
      </c>
      <c r="F112" s="4" t="str">
        <f t="shared" si="14"/>
        <v/>
      </c>
      <c r="G112" s="4" t="str">
        <f t="shared" si="13"/>
        <v/>
      </c>
      <c r="H112" s="4" t="str">
        <f t="shared" si="17"/>
        <v/>
      </c>
    </row>
    <row r="113" spans="1:8" x14ac:dyDescent="0.3">
      <c r="A113" s="19"/>
      <c r="B113" s="24" t="str">
        <f t="shared" si="12"/>
        <v/>
      </c>
      <c r="C113" s="20"/>
      <c r="D113" s="21" t="str">
        <f t="shared" si="15"/>
        <v/>
      </c>
      <c r="E113" s="21" t="str">
        <f t="shared" si="16"/>
        <v/>
      </c>
      <c r="F113" s="21" t="str">
        <f t="shared" si="14"/>
        <v/>
      </c>
      <c r="G113" s="21" t="str">
        <f t="shared" si="13"/>
        <v/>
      </c>
      <c r="H113" s="21" t="str">
        <f t="shared" si="17"/>
        <v/>
      </c>
    </row>
    <row r="114" spans="1:8" x14ac:dyDescent="0.3">
      <c r="A114" s="2"/>
      <c r="B114" s="23" t="str">
        <f t="shared" si="12"/>
        <v/>
      </c>
      <c r="C114" s="3"/>
      <c r="D114" s="4" t="str">
        <f t="shared" si="15"/>
        <v/>
      </c>
      <c r="E114" s="4" t="str">
        <f t="shared" si="16"/>
        <v/>
      </c>
      <c r="F114" s="4" t="str">
        <f t="shared" si="14"/>
        <v/>
      </c>
      <c r="G114" s="4" t="str">
        <f t="shared" si="13"/>
        <v/>
      </c>
      <c r="H114" s="4" t="str">
        <f t="shared" si="17"/>
        <v/>
      </c>
    </row>
    <row r="115" spans="1:8" x14ac:dyDescent="0.3">
      <c r="A115" s="19"/>
      <c r="B115" s="24" t="str">
        <f t="shared" si="12"/>
        <v/>
      </c>
      <c r="C115" s="20"/>
      <c r="D115" s="21" t="str">
        <f t="shared" si="15"/>
        <v/>
      </c>
      <c r="E115" s="21" t="str">
        <f t="shared" si="16"/>
        <v/>
      </c>
      <c r="F115" s="21" t="str">
        <f t="shared" si="14"/>
        <v/>
      </c>
      <c r="G115" s="21" t="str">
        <f t="shared" si="13"/>
        <v/>
      </c>
      <c r="H115" s="21" t="str">
        <f t="shared" si="17"/>
        <v/>
      </c>
    </row>
    <row r="116" spans="1:8" x14ac:dyDescent="0.3">
      <c r="A116" s="2"/>
      <c r="B116" s="23" t="str">
        <f t="shared" si="12"/>
        <v/>
      </c>
      <c r="C116" s="3"/>
      <c r="D116" s="4" t="str">
        <f t="shared" si="15"/>
        <v/>
      </c>
      <c r="E116" s="4" t="str">
        <f t="shared" si="16"/>
        <v/>
      </c>
      <c r="F116" s="4" t="str">
        <f t="shared" si="14"/>
        <v/>
      </c>
      <c r="G116" s="4" t="str">
        <f t="shared" si="13"/>
        <v/>
      </c>
      <c r="H116" s="4" t="str">
        <f t="shared" si="17"/>
        <v/>
      </c>
    </row>
    <row r="117" spans="1:8" x14ac:dyDescent="0.3">
      <c r="A117" s="19"/>
      <c r="B117" s="24" t="str">
        <f t="shared" si="12"/>
        <v/>
      </c>
      <c r="C117" s="20"/>
      <c r="D117" s="21" t="str">
        <f t="shared" si="15"/>
        <v/>
      </c>
      <c r="E117" s="21" t="str">
        <f t="shared" si="16"/>
        <v/>
      </c>
      <c r="F117" s="21" t="str">
        <f t="shared" si="14"/>
        <v/>
      </c>
      <c r="G117" s="21" t="str">
        <f t="shared" si="13"/>
        <v/>
      </c>
      <c r="H117" s="21" t="str">
        <f t="shared" si="17"/>
        <v/>
      </c>
    </row>
    <row r="118" spans="1:8" x14ac:dyDescent="0.3">
      <c r="A118" s="2"/>
      <c r="B118" s="23" t="str">
        <f t="shared" si="12"/>
        <v/>
      </c>
      <c r="C118" s="3"/>
      <c r="D118" s="4" t="str">
        <f t="shared" si="15"/>
        <v/>
      </c>
      <c r="E118" s="4" t="str">
        <f t="shared" si="16"/>
        <v/>
      </c>
      <c r="F118" s="4" t="str">
        <f t="shared" si="14"/>
        <v/>
      </c>
      <c r="G118" s="4" t="str">
        <f t="shared" si="13"/>
        <v/>
      </c>
      <c r="H118" s="4" t="str">
        <f t="shared" si="17"/>
        <v/>
      </c>
    </row>
    <row r="119" spans="1:8" x14ac:dyDescent="0.3">
      <c r="A119" s="19"/>
      <c r="B119" s="24" t="str">
        <f t="shared" si="12"/>
        <v/>
      </c>
      <c r="C119" s="20"/>
      <c r="D119" s="21" t="str">
        <f t="shared" si="15"/>
        <v/>
      </c>
      <c r="E119" s="21" t="str">
        <f t="shared" si="16"/>
        <v/>
      </c>
      <c r="F119" s="21" t="str">
        <f t="shared" si="14"/>
        <v/>
      </c>
      <c r="G119" s="21" t="str">
        <f t="shared" si="13"/>
        <v/>
      </c>
      <c r="H119" s="21" t="str">
        <f t="shared" si="17"/>
        <v/>
      </c>
    </row>
    <row r="120" spans="1:8" x14ac:dyDescent="0.3">
      <c r="A120" s="2"/>
      <c r="B120" s="23" t="str">
        <f t="shared" si="12"/>
        <v/>
      </c>
      <c r="C120" s="3"/>
      <c r="D120" s="4" t="str">
        <f t="shared" si="15"/>
        <v/>
      </c>
      <c r="E120" s="4" t="str">
        <f t="shared" si="16"/>
        <v/>
      </c>
      <c r="F120" s="4" t="str">
        <f t="shared" si="14"/>
        <v/>
      </c>
      <c r="G120" s="4" t="str">
        <f t="shared" si="13"/>
        <v/>
      </c>
      <c r="H120" s="4" t="str">
        <f t="shared" si="17"/>
        <v/>
      </c>
    </row>
    <row r="121" spans="1:8" x14ac:dyDescent="0.3">
      <c r="A121" s="19"/>
      <c r="B121" s="24" t="str">
        <f t="shared" si="12"/>
        <v/>
      </c>
      <c r="C121" s="20"/>
      <c r="D121" s="21" t="str">
        <f t="shared" si="15"/>
        <v/>
      </c>
      <c r="E121" s="21" t="str">
        <f t="shared" si="16"/>
        <v/>
      </c>
      <c r="F121" s="21" t="str">
        <f t="shared" si="14"/>
        <v/>
      </c>
      <c r="G121" s="21" t="str">
        <f t="shared" si="13"/>
        <v/>
      </c>
      <c r="H121" s="21" t="str">
        <f t="shared" si="17"/>
        <v/>
      </c>
    </row>
  </sheetData>
  <sheetProtection algorithmName="SHA-512" hashValue="Scovss+FDrSjsjYz9C70ilhxNcQT5XsBfg2q59sZHeWY9Y+TowGhjJBuC4u07JaHVqkiWg2B/Xg+TnX7ej4YNQ==" saltValue="VwwKwpC6oQESXCvOSWfx7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2026-07-02T04:40:01Z</dcterms:modified>
</cp:coreProperties>
</file>