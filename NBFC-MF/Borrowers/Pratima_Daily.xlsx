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209" sheetId="5" r:id="rId2"/>
    <sheet name="221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6" l="1"/>
  <c r="F121" i="6" s="1"/>
  <c r="B120" i="6"/>
  <c r="F120" i="6" s="1"/>
  <c r="B119" i="6"/>
  <c r="F119" i="6" s="1"/>
  <c r="B118" i="6"/>
  <c r="G118" i="6" s="1"/>
  <c r="B117" i="6"/>
  <c r="F117" i="6" s="1"/>
  <c r="B116" i="6"/>
  <c r="E116" i="6" s="1"/>
  <c r="B115" i="6"/>
  <c r="F115" i="6" s="1"/>
  <c r="B114" i="6"/>
  <c r="B113" i="6"/>
  <c r="F113" i="6" s="1"/>
  <c r="B112" i="6"/>
  <c r="F112" i="6" s="1"/>
  <c r="B111" i="6"/>
  <c r="F111" i="6" s="1"/>
  <c r="B110" i="6"/>
  <c r="G110" i="6" s="1"/>
  <c r="B109" i="6"/>
  <c r="F109" i="6" s="1"/>
  <c r="B108" i="6"/>
  <c r="E108" i="6" s="1"/>
  <c r="B107" i="6"/>
  <c r="F107" i="6" s="1"/>
  <c r="B106" i="6"/>
  <c r="B105" i="6"/>
  <c r="F105" i="6" s="1"/>
  <c r="B104" i="6"/>
  <c r="F104" i="6" s="1"/>
  <c r="B103" i="6"/>
  <c r="F103" i="6" s="1"/>
  <c r="B102" i="6"/>
  <c r="G102" i="6" s="1"/>
  <c r="B101" i="6"/>
  <c r="F101" i="6" s="1"/>
  <c r="B100" i="6"/>
  <c r="E100" i="6" s="1"/>
  <c r="B99" i="6"/>
  <c r="B98" i="6"/>
  <c r="B97" i="6"/>
  <c r="F97" i="6" s="1"/>
  <c r="B96" i="6"/>
  <c r="F96" i="6" s="1"/>
  <c r="B95" i="6"/>
  <c r="F95" i="6" s="1"/>
  <c r="B94" i="6"/>
  <c r="G94" i="6" s="1"/>
  <c r="B93" i="6"/>
  <c r="F93" i="6" s="1"/>
  <c r="B92" i="6"/>
  <c r="E92" i="6" s="1"/>
  <c r="B91" i="6"/>
  <c r="H91" i="6" s="1"/>
  <c r="B90" i="6"/>
  <c r="B89" i="6"/>
  <c r="F89" i="6" s="1"/>
  <c r="B88" i="6"/>
  <c r="F88" i="6" s="1"/>
  <c r="B87" i="6"/>
  <c r="F87" i="6" s="1"/>
  <c r="B86" i="6"/>
  <c r="G86" i="6" s="1"/>
  <c r="B85" i="6"/>
  <c r="F85" i="6" s="1"/>
  <c r="B84" i="6"/>
  <c r="E84" i="6" s="1"/>
  <c r="B83" i="6"/>
  <c r="B82" i="6"/>
  <c r="B81" i="6"/>
  <c r="F81" i="6" s="1"/>
  <c r="B80" i="6"/>
  <c r="F80" i="6" s="1"/>
  <c r="B79" i="6"/>
  <c r="F79" i="6" s="1"/>
  <c r="B78" i="6"/>
  <c r="G78" i="6" s="1"/>
  <c r="B77" i="6"/>
  <c r="F77" i="6" s="1"/>
  <c r="B76" i="6"/>
  <c r="G76" i="6" s="1"/>
  <c r="B75" i="6"/>
  <c r="H75" i="6" s="1"/>
  <c r="B74" i="6"/>
  <c r="B73" i="6"/>
  <c r="F73" i="6" s="1"/>
  <c r="B72" i="6"/>
  <c r="F72" i="6" s="1"/>
  <c r="B71" i="6"/>
  <c r="H71" i="6" s="1"/>
  <c r="B70" i="6"/>
  <c r="F70" i="6" s="1"/>
  <c r="B69" i="6"/>
  <c r="F69" i="6" s="1"/>
  <c r="B68" i="6"/>
  <c r="E68" i="6" s="1"/>
  <c r="B67" i="6"/>
  <c r="H67" i="6" s="1"/>
  <c r="B66" i="6"/>
  <c r="B65" i="6"/>
  <c r="F65" i="6" s="1"/>
  <c r="B64" i="6"/>
  <c r="G64" i="6" s="1"/>
  <c r="F63" i="6"/>
  <c r="B63" i="6"/>
  <c r="G63" i="6" s="1"/>
  <c r="B62" i="6"/>
  <c r="G62" i="6" s="1"/>
  <c r="K17" i="6"/>
  <c r="K16" i="6"/>
  <c r="K8" i="6"/>
  <c r="B3" i="6"/>
  <c r="K2" i="6"/>
  <c r="B2" i="6"/>
  <c r="D2" i="6" s="1"/>
  <c r="H63" i="6" l="1"/>
  <c r="D105" i="6"/>
  <c r="E111" i="6"/>
  <c r="F64" i="6"/>
  <c r="E79" i="6"/>
  <c r="G105" i="6"/>
  <c r="G73" i="6"/>
  <c r="G65" i="6"/>
  <c r="E72" i="6"/>
  <c r="E64" i="6"/>
  <c r="G72" i="6"/>
  <c r="G81" i="6"/>
  <c r="G113" i="6"/>
  <c r="D121" i="6"/>
  <c r="D97" i="6"/>
  <c r="E103" i="6"/>
  <c r="F62" i="6"/>
  <c r="D89" i="6"/>
  <c r="E95" i="6"/>
  <c r="G97" i="6"/>
  <c r="D64" i="6"/>
  <c r="D65" i="6"/>
  <c r="D73" i="6"/>
  <c r="D81" i="6"/>
  <c r="E87" i="6"/>
  <c r="G89" i="6"/>
  <c r="D113" i="6"/>
  <c r="E119" i="6"/>
  <c r="G121" i="6"/>
  <c r="E2" i="6"/>
  <c r="D62" i="6"/>
  <c r="H64" i="6"/>
  <c r="F68" i="6"/>
  <c r="E69" i="6"/>
  <c r="F76" i="6"/>
  <c r="E77" i="6"/>
  <c r="G80" i="6"/>
  <c r="F84" i="6"/>
  <c r="E85" i="6"/>
  <c r="G88" i="6"/>
  <c r="F92" i="6"/>
  <c r="E93" i="6"/>
  <c r="G96" i="6"/>
  <c r="F100" i="6"/>
  <c r="E101" i="6"/>
  <c r="G104" i="6"/>
  <c r="F108" i="6"/>
  <c r="E109" i="6"/>
  <c r="G112" i="6"/>
  <c r="F116" i="6"/>
  <c r="E117" i="6"/>
  <c r="G120" i="6"/>
  <c r="H62" i="6"/>
  <c r="D69" i="6"/>
  <c r="E76" i="6"/>
  <c r="F86" i="6"/>
  <c r="E62" i="6"/>
  <c r="D63" i="6"/>
  <c r="G68" i="6"/>
  <c r="G69" i="6"/>
  <c r="G77" i="6"/>
  <c r="G84" i="6"/>
  <c r="G85" i="6"/>
  <c r="G92" i="6"/>
  <c r="G93" i="6"/>
  <c r="G100" i="6"/>
  <c r="G101" i="6"/>
  <c r="G108" i="6"/>
  <c r="G109" i="6"/>
  <c r="G116" i="6"/>
  <c r="G117" i="6"/>
  <c r="D77" i="6"/>
  <c r="F78" i="6"/>
  <c r="E80" i="6"/>
  <c r="D85" i="6"/>
  <c r="E88" i="6"/>
  <c r="D93" i="6"/>
  <c r="F94" i="6"/>
  <c r="E96" i="6"/>
  <c r="D101" i="6"/>
  <c r="F102" i="6"/>
  <c r="E104" i="6"/>
  <c r="D109" i="6"/>
  <c r="F110" i="6"/>
  <c r="E112" i="6"/>
  <c r="D117" i="6"/>
  <c r="F118" i="6"/>
  <c r="E120" i="6"/>
  <c r="F2" i="6"/>
  <c r="G2" i="6" s="1"/>
  <c r="H66" i="6"/>
  <c r="D66" i="6"/>
  <c r="G66" i="6"/>
  <c r="E66" i="6"/>
  <c r="E71" i="6"/>
  <c r="H74" i="6"/>
  <c r="D74" i="6"/>
  <c r="G74" i="6"/>
  <c r="F74" i="6"/>
  <c r="E74" i="6"/>
  <c r="F99" i="6"/>
  <c r="G99" i="6"/>
  <c r="E99" i="6"/>
  <c r="D99" i="6"/>
  <c r="D3" i="6"/>
  <c r="B4" i="6"/>
  <c r="F66" i="6"/>
  <c r="H70" i="6"/>
  <c r="D70" i="6"/>
  <c r="E70" i="6"/>
  <c r="G70" i="6"/>
  <c r="F75" i="6"/>
  <c r="G75" i="6"/>
  <c r="E75" i="6"/>
  <c r="D75" i="6"/>
  <c r="H82" i="6"/>
  <c r="D82" i="6"/>
  <c r="G82" i="6"/>
  <c r="F82" i="6"/>
  <c r="E82" i="6"/>
  <c r="H99" i="6"/>
  <c r="F67" i="6"/>
  <c r="G67" i="6"/>
  <c r="D67" i="6"/>
  <c r="F83" i="6"/>
  <c r="G83" i="6"/>
  <c r="E83" i="6"/>
  <c r="D83" i="6"/>
  <c r="H90" i="6"/>
  <c r="D90" i="6"/>
  <c r="G90" i="6"/>
  <c r="F90" i="6"/>
  <c r="E90" i="6"/>
  <c r="E67" i="6"/>
  <c r="F71" i="6"/>
  <c r="D71" i="6"/>
  <c r="G71" i="6"/>
  <c r="H83" i="6"/>
  <c r="F91" i="6"/>
  <c r="G91" i="6"/>
  <c r="E91" i="6"/>
  <c r="D91" i="6"/>
  <c r="H98" i="6"/>
  <c r="D98" i="6"/>
  <c r="G98" i="6"/>
  <c r="F98" i="6"/>
  <c r="E98" i="6"/>
  <c r="H106" i="6"/>
  <c r="D106" i="6"/>
  <c r="H107" i="6"/>
  <c r="H114" i="6"/>
  <c r="D114" i="6"/>
  <c r="H115" i="6"/>
  <c r="E63" i="6"/>
  <c r="E65" i="6"/>
  <c r="H68" i="6"/>
  <c r="D68" i="6"/>
  <c r="H69" i="6"/>
  <c r="E73" i="6"/>
  <c r="H76" i="6"/>
  <c r="D76" i="6"/>
  <c r="H77" i="6"/>
  <c r="G79" i="6"/>
  <c r="E81" i="6"/>
  <c r="H84" i="6"/>
  <c r="D84" i="6"/>
  <c r="H85" i="6"/>
  <c r="G87" i="6"/>
  <c r="E89" i="6"/>
  <c r="H92" i="6"/>
  <c r="D92" i="6"/>
  <c r="H93" i="6"/>
  <c r="G95" i="6"/>
  <c r="E97" i="6"/>
  <c r="H100" i="6"/>
  <c r="D100" i="6"/>
  <c r="H101" i="6"/>
  <c r="G103" i="6"/>
  <c r="E105" i="6"/>
  <c r="E106" i="6"/>
  <c r="D107" i="6"/>
  <c r="H108" i="6"/>
  <c r="D108" i="6"/>
  <c r="H109" i="6"/>
  <c r="G111" i="6"/>
  <c r="E113" i="6"/>
  <c r="E114" i="6"/>
  <c r="D115" i="6"/>
  <c r="H116" i="6"/>
  <c r="D116" i="6"/>
  <c r="H117" i="6"/>
  <c r="G119" i="6"/>
  <c r="E121" i="6"/>
  <c r="H78" i="6"/>
  <c r="D78" i="6"/>
  <c r="H79" i="6"/>
  <c r="H86" i="6"/>
  <c r="D86" i="6"/>
  <c r="H87" i="6"/>
  <c r="H94" i="6"/>
  <c r="D94" i="6"/>
  <c r="H95" i="6"/>
  <c r="H102" i="6"/>
  <c r="D102" i="6"/>
  <c r="H103" i="6"/>
  <c r="F106" i="6"/>
  <c r="E107" i="6"/>
  <c r="H110" i="6"/>
  <c r="D110" i="6"/>
  <c r="H111" i="6"/>
  <c r="F114" i="6"/>
  <c r="E115" i="6"/>
  <c r="H118" i="6"/>
  <c r="D118" i="6"/>
  <c r="H119" i="6"/>
  <c r="H65" i="6"/>
  <c r="H72" i="6"/>
  <c r="D72" i="6"/>
  <c r="H73" i="6"/>
  <c r="E78" i="6"/>
  <c r="D79" i="6"/>
  <c r="H80" i="6"/>
  <c r="D80" i="6"/>
  <c r="H81" i="6"/>
  <c r="E86" i="6"/>
  <c r="D87" i="6"/>
  <c r="H88" i="6"/>
  <c r="D88" i="6"/>
  <c r="H89" i="6"/>
  <c r="E94" i="6"/>
  <c r="D95" i="6"/>
  <c r="H96" i="6"/>
  <c r="D96" i="6"/>
  <c r="H97" i="6"/>
  <c r="E102" i="6"/>
  <c r="D103" i="6"/>
  <c r="H104" i="6"/>
  <c r="D104" i="6"/>
  <c r="H105" i="6"/>
  <c r="G106" i="6"/>
  <c r="G107" i="6"/>
  <c r="E110" i="6"/>
  <c r="D111" i="6"/>
  <c r="H112" i="6"/>
  <c r="D112" i="6"/>
  <c r="H113" i="6"/>
  <c r="G114" i="6"/>
  <c r="G115" i="6"/>
  <c r="E118" i="6"/>
  <c r="D119" i="6"/>
  <c r="H120" i="6"/>
  <c r="D120" i="6"/>
  <c r="H121" i="6"/>
  <c r="B121" i="5"/>
  <c r="F121" i="5" s="1"/>
  <c r="B120" i="5"/>
  <c r="G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F113" i="5" s="1"/>
  <c r="B112" i="5"/>
  <c r="G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F105" i="5" s="1"/>
  <c r="B104" i="5"/>
  <c r="G104" i="5" s="1"/>
  <c r="B103" i="5"/>
  <c r="F103" i="5" s="1"/>
  <c r="B102" i="5"/>
  <c r="G102" i="5" s="1"/>
  <c r="B101" i="5"/>
  <c r="F101" i="5" s="1"/>
  <c r="B100" i="5"/>
  <c r="E100" i="5" s="1"/>
  <c r="B99" i="5"/>
  <c r="B98" i="5"/>
  <c r="B97" i="5"/>
  <c r="F97" i="5" s="1"/>
  <c r="B96" i="5"/>
  <c r="G96" i="5" s="1"/>
  <c r="B95" i="5"/>
  <c r="F95" i="5" s="1"/>
  <c r="B94" i="5"/>
  <c r="G94" i="5" s="1"/>
  <c r="B93" i="5"/>
  <c r="F93" i="5" s="1"/>
  <c r="B92" i="5"/>
  <c r="E92" i="5" s="1"/>
  <c r="B91" i="5"/>
  <c r="H91" i="5" s="1"/>
  <c r="B90" i="5"/>
  <c r="B89" i="5"/>
  <c r="F89" i="5" s="1"/>
  <c r="B88" i="5"/>
  <c r="G88" i="5" s="1"/>
  <c r="B87" i="5"/>
  <c r="F87" i="5" s="1"/>
  <c r="B86" i="5"/>
  <c r="G86" i="5" s="1"/>
  <c r="B85" i="5"/>
  <c r="F85" i="5" s="1"/>
  <c r="B84" i="5"/>
  <c r="G84" i="5" s="1"/>
  <c r="B83" i="5"/>
  <c r="H83" i="5" s="1"/>
  <c r="B82" i="5"/>
  <c r="B81" i="5"/>
  <c r="F81" i="5" s="1"/>
  <c r="B80" i="5"/>
  <c r="G80" i="5" s="1"/>
  <c r="B79" i="5"/>
  <c r="F79" i="5" s="1"/>
  <c r="B78" i="5"/>
  <c r="G78" i="5" s="1"/>
  <c r="B77" i="5"/>
  <c r="F77" i="5" s="1"/>
  <c r="B76" i="5"/>
  <c r="G76" i="5" s="1"/>
  <c r="B75" i="5"/>
  <c r="B74" i="5"/>
  <c r="B73" i="5"/>
  <c r="F73" i="5" s="1"/>
  <c r="B72" i="5"/>
  <c r="G72" i="5" s="1"/>
  <c r="B71" i="5"/>
  <c r="F71" i="5" s="1"/>
  <c r="B70" i="5"/>
  <c r="G70" i="5" s="1"/>
  <c r="B69" i="5"/>
  <c r="F69" i="5" s="1"/>
  <c r="B68" i="5"/>
  <c r="G68" i="5" s="1"/>
  <c r="B67" i="5"/>
  <c r="K16" i="5"/>
  <c r="K17" i="5" s="1"/>
  <c r="K8" i="5"/>
  <c r="B3" i="5"/>
  <c r="K2" i="5"/>
  <c r="B2" i="5"/>
  <c r="D2" i="5" s="1"/>
  <c r="H2" i="6" l="1"/>
  <c r="E3" i="6"/>
  <c r="F3" i="6" s="1"/>
  <c r="G3" i="6" s="1"/>
  <c r="B5" i="6"/>
  <c r="D4" i="6"/>
  <c r="D85" i="5"/>
  <c r="D111" i="5"/>
  <c r="E111" i="5"/>
  <c r="E87" i="5"/>
  <c r="F76" i="5"/>
  <c r="D89" i="5"/>
  <c r="D103" i="5"/>
  <c r="F78" i="5"/>
  <c r="E84" i="5"/>
  <c r="E86" i="5"/>
  <c r="E95" i="5"/>
  <c r="D119" i="5"/>
  <c r="F70" i="5"/>
  <c r="D71" i="5"/>
  <c r="E77" i="5"/>
  <c r="D79" i="5"/>
  <c r="F84" i="5"/>
  <c r="E85" i="5"/>
  <c r="F86" i="5"/>
  <c r="E88" i="5"/>
  <c r="E103" i="5"/>
  <c r="E119" i="5"/>
  <c r="G85" i="5"/>
  <c r="D95" i="5"/>
  <c r="E2" i="5"/>
  <c r="F2" i="5" s="1"/>
  <c r="G2" i="5" s="1"/>
  <c r="F92" i="5"/>
  <c r="E93" i="5"/>
  <c r="F94" i="5"/>
  <c r="F100" i="5"/>
  <c r="E101" i="5"/>
  <c r="F102" i="5"/>
  <c r="F108" i="5"/>
  <c r="E109" i="5"/>
  <c r="F110" i="5"/>
  <c r="F116" i="5"/>
  <c r="E117" i="5"/>
  <c r="F118" i="5"/>
  <c r="E68" i="5"/>
  <c r="D69" i="5"/>
  <c r="E70" i="5"/>
  <c r="E71" i="5"/>
  <c r="D73" i="5"/>
  <c r="E76" i="5"/>
  <c r="D77" i="5"/>
  <c r="E78" i="5"/>
  <c r="E79" i="5"/>
  <c r="D81" i="5"/>
  <c r="D87" i="5"/>
  <c r="G92" i="5"/>
  <c r="G93" i="5"/>
  <c r="E96" i="5"/>
  <c r="G100" i="5"/>
  <c r="G101" i="5"/>
  <c r="E104" i="5"/>
  <c r="G108" i="5"/>
  <c r="G109" i="5"/>
  <c r="E112" i="5"/>
  <c r="G116" i="5"/>
  <c r="G117" i="5"/>
  <c r="E120" i="5"/>
  <c r="F68" i="5"/>
  <c r="E69" i="5"/>
  <c r="G69" i="5"/>
  <c r="E72" i="5"/>
  <c r="G77" i="5"/>
  <c r="E80" i="5"/>
  <c r="D93" i="5"/>
  <c r="E94" i="5"/>
  <c r="D97" i="5"/>
  <c r="D101" i="5"/>
  <c r="E102" i="5"/>
  <c r="D105" i="5"/>
  <c r="D109" i="5"/>
  <c r="E110" i="5"/>
  <c r="D113" i="5"/>
  <c r="D117" i="5"/>
  <c r="E118" i="5"/>
  <c r="D121" i="5"/>
  <c r="F67" i="5"/>
  <c r="G67" i="5"/>
  <c r="E67" i="5"/>
  <c r="D67" i="5"/>
  <c r="H74" i="5"/>
  <c r="D74" i="5"/>
  <c r="G74" i="5"/>
  <c r="F74" i="5"/>
  <c r="E74" i="5"/>
  <c r="F99" i="5"/>
  <c r="G99" i="5"/>
  <c r="E99" i="5"/>
  <c r="D99" i="5"/>
  <c r="D3" i="5"/>
  <c r="B4" i="5"/>
  <c r="H67" i="5"/>
  <c r="F75" i="5"/>
  <c r="G75" i="5"/>
  <c r="E75" i="5"/>
  <c r="D75" i="5"/>
  <c r="H82" i="5"/>
  <c r="D82" i="5"/>
  <c r="G82" i="5"/>
  <c r="F82" i="5"/>
  <c r="E82" i="5"/>
  <c r="H99" i="5"/>
  <c r="H75" i="5"/>
  <c r="F83" i="5"/>
  <c r="G83" i="5"/>
  <c r="E83" i="5"/>
  <c r="D83" i="5"/>
  <c r="H90" i="5"/>
  <c r="D90" i="5"/>
  <c r="G90" i="5"/>
  <c r="F90" i="5"/>
  <c r="E90" i="5"/>
  <c r="F91" i="5"/>
  <c r="G91" i="5"/>
  <c r="E91" i="5"/>
  <c r="D91" i="5"/>
  <c r="H98" i="5"/>
  <c r="D98" i="5"/>
  <c r="G98" i="5"/>
  <c r="F98" i="5"/>
  <c r="E98" i="5"/>
  <c r="H106" i="5"/>
  <c r="D106" i="5"/>
  <c r="H107" i="5"/>
  <c r="H114" i="5"/>
  <c r="D114" i="5"/>
  <c r="H115" i="5"/>
  <c r="H68" i="5"/>
  <c r="D68" i="5"/>
  <c r="H69" i="5"/>
  <c r="G71" i="5"/>
  <c r="F72" i="5"/>
  <c r="E73" i="5"/>
  <c r="H76" i="5"/>
  <c r="D76" i="5"/>
  <c r="H77" i="5"/>
  <c r="G79" i="5"/>
  <c r="F80" i="5"/>
  <c r="E81" i="5"/>
  <c r="H84" i="5"/>
  <c r="D84" i="5"/>
  <c r="H85" i="5"/>
  <c r="G87" i="5"/>
  <c r="F88" i="5"/>
  <c r="E89" i="5"/>
  <c r="H92" i="5"/>
  <c r="D92" i="5"/>
  <c r="H93" i="5"/>
  <c r="G95" i="5"/>
  <c r="F96" i="5"/>
  <c r="E97" i="5"/>
  <c r="H100" i="5"/>
  <c r="D100" i="5"/>
  <c r="H101" i="5"/>
  <c r="G103" i="5"/>
  <c r="F104" i="5"/>
  <c r="E105" i="5"/>
  <c r="E106" i="5"/>
  <c r="D107" i="5"/>
  <c r="H108" i="5"/>
  <c r="D108" i="5"/>
  <c r="H109" i="5"/>
  <c r="G111" i="5"/>
  <c r="F112" i="5"/>
  <c r="E113" i="5"/>
  <c r="E114" i="5"/>
  <c r="D115" i="5"/>
  <c r="H116" i="5"/>
  <c r="D116" i="5"/>
  <c r="H117" i="5"/>
  <c r="G119" i="5"/>
  <c r="F120" i="5"/>
  <c r="E121" i="5"/>
  <c r="H70" i="5"/>
  <c r="D70" i="5"/>
  <c r="H71" i="5"/>
  <c r="G73" i="5"/>
  <c r="H78" i="5"/>
  <c r="D78" i="5"/>
  <c r="H79" i="5"/>
  <c r="G81" i="5"/>
  <c r="H86" i="5"/>
  <c r="D86" i="5"/>
  <c r="H87" i="5"/>
  <c r="G89" i="5"/>
  <c r="H94" i="5"/>
  <c r="D94" i="5"/>
  <c r="H95" i="5"/>
  <c r="G97" i="5"/>
  <c r="H102" i="5"/>
  <c r="D102" i="5"/>
  <c r="H103" i="5"/>
  <c r="G105" i="5"/>
  <c r="F106" i="5"/>
  <c r="E107" i="5"/>
  <c r="H110" i="5"/>
  <c r="D110" i="5"/>
  <c r="H111" i="5"/>
  <c r="G113" i="5"/>
  <c r="F114" i="5"/>
  <c r="E115" i="5"/>
  <c r="H118" i="5"/>
  <c r="D118" i="5"/>
  <c r="H119" i="5"/>
  <c r="G121" i="5"/>
  <c r="H72" i="5"/>
  <c r="D72" i="5"/>
  <c r="H73" i="5"/>
  <c r="H80" i="5"/>
  <c r="D80" i="5"/>
  <c r="H81" i="5"/>
  <c r="H88" i="5"/>
  <c r="D88" i="5"/>
  <c r="H89" i="5"/>
  <c r="H96" i="5"/>
  <c r="D96" i="5"/>
  <c r="H97" i="5"/>
  <c r="H104" i="5"/>
  <c r="D104" i="5"/>
  <c r="H105" i="5"/>
  <c r="G106" i="5"/>
  <c r="G107" i="5"/>
  <c r="H112" i="5"/>
  <c r="D112" i="5"/>
  <c r="H113" i="5"/>
  <c r="G114" i="5"/>
  <c r="G115" i="5"/>
  <c r="H120" i="5"/>
  <c r="D120" i="5"/>
  <c r="H121" i="5"/>
  <c r="B2" i="4"/>
  <c r="B3" i="4" s="1"/>
  <c r="B4" i="4" s="1"/>
  <c r="B5" i="4" s="1"/>
  <c r="B6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H3" i="6" l="1"/>
  <c r="E4" i="6"/>
  <c r="F4" i="6" s="1"/>
  <c r="G4" i="6" s="1"/>
  <c r="H4" i="6" s="1"/>
  <c r="D5" i="6"/>
  <c r="B6" i="6"/>
  <c r="H2" i="5"/>
  <c r="E3" i="5"/>
  <c r="F3" i="5" s="1"/>
  <c r="G3" i="5" s="1"/>
  <c r="B5" i="5"/>
  <c r="D4" i="5"/>
  <c r="K16" i="4"/>
  <c r="K17" i="4" s="1"/>
  <c r="B7" i="6" l="1"/>
  <c r="D6" i="6"/>
  <c r="E5" i="6"/>
  <c r="F5" i="6" s="1"/>
  <c r="G5" i="6" s="1"/>
  <c r="H5" i="6" s="1"/>
  <c r="H3" i="5"/>
  <c r="E4" i="5"/>
  <c r="F4" i="5" s="1"/>
  <c r="G4" i="5" s="1"/>
  <c r="H4" i="5" s="1"/>
  <c r="D5" i="5"/>
  <c r="B6" i="5"/>
  <c r="K2" i="4"/>
  <c r="E6" i="6" l="1"/>
  <c r="F6" i="6" s="1"/>
  <c r="G6" i="6" s="1"/>
  <c r="D7" i="6"/>
  <c r="B8" i="6"/>
  <c r="B7" i="5"/>
  <c r="D6" i="5"/>
  <c r="E5" i="5"/>
  <c r="F5" i="5" s="1"/>
  <c r="G5" i="5" s="1"/>
  <c r="H5" i="5" s="1"/>
  <c r="K12" i="4"/>
  <c r="K13" i="4" s="1"/>
  <c r="E13" i="4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H6" i="6" l="1"/>
  <c r="E7" i="6"/>
  <c r="F7" i="6" s="1"/>
  <c r="G7" i="6" s="1"/>
  <c r="B9" i="6"/>
  <c r="D8" i="6"/>
  <c r="E6" i="5"/>
  <c r="F6" i="5" s="1"/>
  <c r="G6" i="5" s="1"/>
  <c r="H6" i="5" s="1"/>
  <c r="D7" i="5"/>
  <c r="B8" i="5"/>
  <c r="F63" i="4"/>
  <c r="G63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7" i="6" l="1"/>
  <c r="E8" i="6"/>
  <c r="F8" i="6" s="1"/>
  <c r="G8" i="6" s="1"/>
  <c r="B10" i="6"/>
  <c r="D9" i="6"/>
  <c r="E7" i="5"/>
  <c r="F7" i="5" s="1"/>
  <c r="G7" i="5" s="1"/>
  <c r="B9" i="5"/>
  <c r="D8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4" i="4"/>
  <c r="E15" i="4"/>
  <c r="F15" i="4" s="1"/>
  <c r="G15" i="4" s="1"/>
  <c r="E7" i="4"/>
  <c r="F7" i="4" s="1"/>
  <c r="G7" i="4" s="1"/>
  <c r="H8" i="6" l="1"/>
  <c r="E9" i="6"/>
  <c r="F9" i="6" s="1"/>
  <c r="G9" i="6" s="1"/>
  <c r="B11" i="6"/>
  <c r="D10" i="6"/>
  <c r="H7" i="5"/>
  <c r="E8" i="5"/>
  <c r="F8" i="5" s="1"/>
  <c r="G8" i="5" s="1"/>
  <c r="B10" i="5"/>
  <c r="D9" i="5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H9" i="6" l="1"/>
  <c r="E10" i="6"/>
  <c r="F10" i="6" s="1"/>
  <c r="G10" i="6" s="1"/>
  <c r="B12" i="6"/>
  <c r="D11" i="6"/>
  <c r="H8" i="5"/>
  <c r="E9" i="5"/>
  <c r="F9" i="5" s="1"/>
  <c r="G9" i="5" s="1"/>
  <c r="H9" i="5" s="1"/>
  <c r="B11" i="5"/>
  <c r="D10" i="5"/>
  <c r="E91" i="4"/>
  <c r="F91" i="4" s="1"/>
  <c r="G91" i="4" s="1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H10" i="6" l="1"/>
  <c r="E11" i="6"/>
  <c r="F11" i="6" s="1"/>
  <c r="G11" i="6" s="1"/>
  <c r="B13" i="6"/>
  <c r="D12" i="6"/>
  <c r="E10" i="5"/>
  <c r="F10" i="5" s="1"/>
  <c r="G10" i="5" s="1"/>
  <c r="B12" i="5"/>
  <c r="D11" i="5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H11" i="6" l="1"/>
  <c r="E12" i="6"/>
  <c r="F12" i="6" s="1"/>
  <c r="G12" i="6" s="1"/>
  <c r="B14" i="6"/>
  <c r="D13" i="6"/>
  <c r="H10" i="5"/>
  <c r="E11" i="5"/>
  <c r="F11" i="5" s="1"/>
  <c r="G11" i="5" s="1"/>
  <c r="B13" i="5"/>
  <c r="D12" i="5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H12" i="6" l="1"/>
  <c r="E13" i="6"/>
  <c r="F13" i="6" s="1"/>
  <c r="G13" i="6" s="1"/>
  <c r="B15" i="6"/>
  <c r="D14" i="6"/>
  <c r="H11" i="5"/>
  <c r="E12" i="5"/>
  <c r="F12" i="5" s="1"/>
  <c r="G12" i="5" s="1"/>
  <c r="B14" i="5"/>
  <c r="D13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H13" i="6" l="1"/>
  <c r="E14" i="6"/>
  <c r="F14" i="6" s="1"/>
  <c r="G14" i="6" s="1"/>
  <c r="D15" i="6"/>
  <c r="B16" i="6"/>
  <c r="H12" i="5"/>
  <c r="E13" i="5"/>
  <c r="F13" i="5"/>
  <c r="G13" i="5" s="1"/>
  <c r="H13" i="5" s="1"/>
  <c r="B15" i="5"/>
  <c r="D14" i="5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4" i="6" l="1"/>
  <c r="E15" i="6"/>
  <c r="F15" i="6" s="1"/>
  <c r="G15" i="6" s="1"/>
  <c r="B17" i="6"/>
  <c r="D16" i="6"/>
  <c r="E14" i="5"/>
  <c r="F14" i="5" s="1"/>
  <c r="G14" i="5" s="1"/>
  <c r="H14" i="5" s="1"/>
  <c r="D15" i="5"/>
  <c r="B16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5" i="6" l="1"/>
  <c r="E16" i="6"/>
  <c r="F16" i="6" s="1"/>
  <c r="G16" i="6" s="1"/>
  <c r="H16" i="6" s="1"/>
  <c r="B18" i="6"/>
  <c r="D17" i="6"/>
  <c r="E15" i="5"/>
  <c r="F15" i="5" s="1"/>
  <c r="G15" i="5" s="1"/>
  <c r="H15" i="5" s="1"/>
  <c r="B17" i="5"/>
  <c r="D16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E17" i="6" l="1"/>
  <c r="F17" i="6" s="1"/>
  <c r="G17" i="6" s="1"/>
  <c r="B19" i="6"/>
  <c r="D18" i="6"/>
  <c r="E16" i="5"/>
  <c r="F16" i="5" s="1"/>
  <c r="G16" i="5" s="1"/>
  <c r="H16" i="5" s="1"/>
  <c r="B18" i="5"/>
  <c r="D17" i="5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7" i="6" l="1"/>
  <c r="E18" i="6"/>
  <c r="F18" i="6" s="1"/>
  <c r="G18" i="6" s="1"/>
  <c r="H18" i="6" s="1"/>
  <c r="B20" i="6"/>
  <c r="D19" i="6"/>
  <c r="E17" i="5"/>
  <c r="F17" i="5" s="1"/>
  <c r="G17" i="5" s="1"/>
  <c r="H17" i="5" s="1"/>
  <c r="B19" i="5"/>
  <c r="D18" i="5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1" i="6" l="1"/>
  <c r="D20" i="6"/>
  <c r="E19" i="6"/>
  <c r="F19" i="6" s="1"/>
  <c r="G19" i="6" s="1"/>
  <c r="H19" i="6" s="1"/>
  <c r="E18" i="5"/>
  <c r="F18" i="5"/>
  <c r="G18" i="5" s="1"/>
  <c r="H18" i="5" s="1"/>
  <c r="B20" i="5"/>
  <c r="D19" i="5"/>
  <c r="H99" i="4"/>
  <c r="E100" i="4"/>
  <c r="F100" i="4" s="1"/>
  <c r="G100" i="4" s="1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E20" i="6" l="1"/>
  <c r="F20" i="6" s="1"/>
  <c r="G20" i="6" s="1"/>
  <c r="H20" i="6" s="1"/>
  <c r="B22" i="6"/>
  <c r="D21" i="6"/>
  <c r="E19" i="5"/>
  <c r="F19" i="5"/>
  <c r="G19" i="5" s="1"/>
  <c r="H19" i="5" s="1"/>
  <c r="B21" i="5"/>
  <c r="D20" i="5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E21" i="6" l="1"/>
  <c r="F21" i="6" s="1"/>
  <c r="G21" i="6" s="1"/>
  <c r="B23" i="6"/>
  <c r="D22" i="6"/>
  <c r="E20" i="5"/>
  <c r="F20" i="5" s="1"/>
  <c r="G20" i="5" s="1"/>
  <c r="H20" i="5" s="1"/>
  <c r="B22" i="5"/>
  <c r="E21" i="5"/>
  <c r="F21" i="5" s="1"/>
  <c r="G21" i="5" s="1"/>
  <c r="H21" i="5" s="1"/>
  <c r="D21" i="5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1" i="6" l="1"/>
  <c r="E22" i="6"/>
  <c r="F22" i="6" s="1"/>
  <c r="G22" i="6" s="1"/>
  <c r="B24" i="6"/>
  <c r="D23" i="6"/>
  <c r="E22" i="5"/>
  <c r="B23" i="5"/>
  <c r="D22" i="5"/>
  <c r="E103" i="4"/>
  <c r="F103" i="4" s="1"/>
  <c r="G103" i="4" s="1"/>
  <c r="H102" i="4"/>
  <c r="H78" i="4"/>
  <c r="E79" i="4"/>
  <c r="F79" i="4" s="1"/>
  <c r="G79" i="4" s="1"/>
  <c r="G45" i="4"/>
  <c r="E45" i="4"/>
  <c r="F45" i="4" s="1"/>
  <c r="H44" i="4"/>
  <c r="H22" i="6" l="1"/>
  <c r="E23" i="6"/>
  <c r="F23" i="6" s="1"/>
  <c r="G23" i="6" s="1"/>
  <c r="B25" i="6"/>
  <c r="D24" i="6"/>
  <c r="F22" i="5"/>
  <c r="G22" i="5" s="1"/>
  <c r="H22" i="5" s="1"/>
  <c r="B24" i="5"/>
  <c r="E23" i="5"/>
  <c r="D23" i="5"/>
  <c r="F23" i="5" s="1"/>
  <c r="G23" i="5" s="1"/>
  <c r="H23" i="5" s="1"/>
  <c r="H103" i="4"/>
  <c r="E104" i="4"/>
  <c r="F104" i="4" s="1"/>
  <c r="G104" i="4"/>
  <c r="H79" i="4"/>
  <c r="E80" i="4"/>
  <c r="F80" i="4" s="1"/>
  <c r="G80" i="4" s="1"/>
  <c r="H45" i="4"/>
  <c r="E46" i="4"/>
  <c r="F46" i="4" s="1"/>
  <c r="G46" i="4" s="1"/>
  <c r="H46" i="4" s="1"/>
  <c r="H23" i="6" l="1"/>
  <c r="E24" i="6"/>
  <c r="F24" i="6" s="1"/>
  <c r="G24" i="6" s="1"/>
  <c r="B26" i="6"/>
  <c r="D25" i="6"/>
  <c r="H104" i="4"/>
  <c r="E105" i="4"/>
  <c r="F105" i="4" s="1"/>
  <c r="G105" i="4" s="1"/>
  <c r="E24" i="5"/>
  <c r="B25" i="5"/>
  <c r="D24" i="5"/>
  <c r="H80" i="4"/>
  <c r="E81" i="4"/>
  <c r="F81" i="4" s="1"/>
  <c r="G81" i="4" s="1"/>
  <c r="H24" i="6" l="1"/>
  <c r="E25" i="6"/>
  <c r="F25" i="6" s="1"/>
  <c r="G25" i="6" s="1"/>
  <c r="B27" i="6"/>
  <c r="D26" i="6"/>
  <c r="F24" i="5"/>
  <c r="G24" i="5" s="1"/>
  <c r="H24" i="5" s="1"/>
  <c r="H105" i="4"/>
  <c r="E106" i="4"/>
  <c r="F106" i="4" s="1"/>
  <c r="G106" i="4" s="1"/>
  <c r="B26" i="5"/>
  <c r="E25" i="5"/>
  <c r="D25" i="5"/>
  <c r="F25" i="5" s="1"/>
  <c r="G25" i="5" s="1"/>
  <c r="H25" i="5" s="1"/>
  <c r="H81" i="4"/>
  <c r="E82" i="4"/>
  <c r="F82" i="4" s="1"/>
  <c r="G82" i="4" s="1"/>
  <c r="F3" i="4"/>
  <c r="G3" i="4" s="1"/>
  <c r="H25" i="6" l="1"/>
  <c r="E26" i="6"/>
  <c r="F26" i="6" s="1"/>
  <c r="G26" i="6" s="1"/>
  <c r="B28" i="6"/>
  <c r="D27" i="6"/>
  <c r="E107" i="4"/>
  <c r="F107" i="4" s="1"/>
  <c r="G107" i="4" s="1"/>
  <c r="H106" i="4"/>
  <c r="B27" i="5"/>
  <c r="D26" i="5"/>
  <c r="E26" i="5"/>
  <c r="E4" i="4"/>
  <c r="H3" i="4"/>
  <c r="H82" i="4"/>
  <c r="E83" i="4"/>
  <c r="F83" i="4" s="1"/>
  <c r="G83" i="4" s="1"/>
  <c r="F4" i="4"/>
  <c r="G4" i="4" s="1"/>
  <c r="H26" i="6" l="1"/>
  <c r="E27" i="6"/>
  <c r="F27" i="6" s="1"/>
  <c r="G27" i="6" s="1"/>
  <c r="B29" i="6"/>
  <c r="D28" i="6"/>
  <c r="H107" i="4"/>
  <c r="E108" i="4"/>
  <c r="F108" i="4" s="1"/>
  <c r="G108" i="4" s="1"/>
  <c r="F26" i="5"/>
  <c r="G26" i="5" s="1"/>
  <c r="H26" i="5" s="1"/>
  <c r="B28" i="5"/>
  <c r="D27" i="5"/>
  <c r="E5" i="4"/>
  <c r="F5" i="4" s="1"/>
  <c r="G5" i="4" s="1"/>
  <c r="H4" i="4"/>
  <c r="H83" i="4"/>
  <c r="E84" i="4"/>
  <c r="F84" i="4" s="1"/>
  <c r="G84" i="4" s="1"/>
  <c r="H27" i="6" l="1"/>
  <c r="E28" i="6"/>
  <c r="F28" i="6" s="1"/>
  <c r="G28" i="6"/>
  <c r="H28" i="6" s="1"/>
  <c r="B30" i="6"/>
  <c r="D29" i="6"/>
  <c r="E27" i="5"/>
  <c r="E109" i="4"/>
  <c r="F109" i="4" s="1"/>
  <c r="H108" i="4"/>
  <c r="G109" i="4"/>
  <c r="F27" i="5"/>
  <c r="G27" i="5" s="1"/>
  <c r="H27" i="5" s="1"/>
  <c r="B29" i="5"/>
  <c r="D28" i="5"/>
  <c r="H5" i="4"/>
  <c r="E6" i="4"/>
  <c r="F6" i="4" s="1"/>
  <c r="G6" i="4" s="1"/>
  <c r="H84" i="4"/>
  <c r="E85" i="4"/>
  <c r="F85" i="4" s="1"/>
  <c r="G85" i="4" s="1"/>
  <c r="B31" i="6" l="1"/>
  <c r="D30" i="6"/>
  <c r="E29" i="6"/>
  <c r="F29" i="6" s="1"/>
  <c r="G29" i="6" s="1"/>
  <c r="H109" i="4"/>
  <c r="E110" i="4"/>
  <c r="F110" i="4" s="1"/>
  <c r="G110" i="4" s="1"/>
  <c r="E28" i="5"/>
  <c r="F28" i="5" s="1"/>
  <c r="G28" i="5" s="1"/>
  <c r="H28" i="5" s="1"/>
  <c r="B30" i="5"/>
  <c r="D29" i="5"/>
  <c r="H6" i="4"/>
  <c r="H85" i="4"/>
  <c r="E86" i="4"/>
  <c r="F86" i="4" s="1"/>
  <c r="G86" i="4" s="1"/>
  <c r="H86" i="4" s="1"/>
  <c r="H29" i="6" l="1"/>
  <c r="E30" i="6"/>
  <c r="F30" i="6" s="1"/>
  <c r="G30" i="6" s="1"/>
  <c r="B32" i="6"/>
  <c r="D31" i="6"/>
  <c r="E29" i="5"/>
  <c r="F29" i="5" s="1"/>
  <c r="G29" i="5" s="1"/>
  <c r="H29" i="5" s="1"/>
  <c r="G111" i="4"/>
  <c r="E111" i="4"/>
  <c r="F111" i="4" s="1"/>
  <c r="H110" i="4"/>
  <c r="E30" i="5"/>
  <c r="B31" i="5"/>
  <c r="D30" i="5"/>
  <c r="H30" i="6" l="1"/>
  <c r="E31" i="6"/>
  <c r="F31" i="6" s="1"/>
  <c r="G31" i="6" s="1"/>
  <c r="B33" i="6"/>
  <c r="D32" i="6"/>
  <c r="F30" i="5"/>
  <c r="G30" i="5" s="1"/>
  <c r="H30" i="5" s="1"/>
  <c r="E112" i="4"/>
  <c r="F112" i="4" s="1"/>
  <c r="G112" i="4" s="1"/>
  <c r="H111" i="4"/>
  <c r="B32" i="5"/>
  <c r="E31" i="5"/>
  <c r="D31" i="5"/>
  <c r="F31" i="5" s="1"/>
  <c r="G31" i="5" s="1"/>
  <c r="H31" i="5" s="1"/>
  <c r="H31" i="6" l="1"/>
  <c r="E32" i="6"/>
  <c r="F32" i="6" s="1"/>
  <c r="G32" i="6" s="1"/>
  <c r="B34" i="6"/>
  <c r="D33" i="6"/>
  <c r="E113" i="4"/>
  <c r="F113" i="4" s="1"/>
  <c r="G113" i="4" s="1"/>
  <c r="H112" i="4"/>
  <c r="E32" i="5"/>
  <c r="B33" i="5"/>
  <c r="D32" i="5"/>
  <c r="H32" i="6" l="1"/>
  <c r="E33" i="6"/>
  <c r="F33" i="6" s="1"/>
  <c r="G33" i="6" s="1"/>
  <c r="B35" i="6"/>
  <c r="D34" i="6"/>
  <c r="F32" i="5"/>
  <c r="G32" i="5" s="1"/>
  <c r="H32" i="5" s="1"/>
  <c r="E114" i="4"/>
  <c r="F114" i="4" s="1"/>
  <c r="G114" i="4"/>
  <c r="H113" i="4"/>
  <c r="B34" i="5"/>
  <c r="E33" i="5"/>
  <c r="D33" i="5"/>
  <c r="F33" i="5" s="1"/>
  <c r="G33" i="5" s="1"/>
  <c r="H33" i="5" s="1"/>
  <c r="H33" i="6" l="1"/>
  <c r="E34" i="6"/>
  <c r="F34" i="6" s="1"/>
  <c r="G34" i="6" s="1"/>
  <c r="B36" i="6"/>
  <c r="D35" i="6"/>
  <c r="H114" i="4"/>
  <c r="E115" i="4"/>
  <c r="F115" i="4" s="1"/>
  <c r="G115" i="4" s="1"/>
  <c r="D34" i="5"/>
  <c r="E34" i="5"/>
  <c r="F34" i="5" s="1"/>
  <c r="G34" i="5" s="1"/>
  <c r="H34" i="5" s="1"/>
  <c r="B35" i="5"/>
  <c r="H34" i="6" l="1"/>
  <c r="E35" i="6"/>
  <c r="F35" i="6" s="1"/>
  <c r="G35" i="6" s="1"/>
  <c r="B37" i="6"/>
  <c r="D36" i="6"/>
  <c r="E116" i="4"/>
  <c r="F116" i="4" s="1"/>
  <c r="G116" i="4" s="1"/>
  <c r="H115" i="4"/>
  <c r="B36" i="5"/>
  <c r="E35" i="5"/>
  <c r="D35" i="5"/>
  <c r="H35" i="6" l="1"/>
  <c r="E36" i="6"/>
  <c r="F36" i="6" s="1"/>
  <c r="G36" i="6"/>
  <c r="H36" i="6" s="1"/>
  <c r="B38" i="6"/>
  <c r="D37" i="6"/>
  <c r="F35" i="5"/>
  <c r="G35" i="5" s="1"/>
  <c r="H35" i="5" s="1"/>
  <c r="E117" i="4"/>
  <c r="F117" i="4" s="1"/>
  <c r="G117" i="4" s="1"/>
  <c r="H116" i="4"/>
  <c r="D36" i="5"/>
  <c r="B37" i="5"/>
  <c r="E36" i="5"/>
  <c r="E37" i="6" l="1"/>
  <c r="F37" i="6" s="1"/>
  <c r="G37" i="6" s="1"/>
  <c r="H37" i="6" s="1"/>
  <c r="B39" i="6"/>
  <c r="D38" i="6"/>
  <c r="E118" i="4"/>
  <c r="F118" i="4" s="1"/>
  <c r="G118" i="4" s="1"/>
  <c r="H117" i="4"/>
  <c r="F36" i="5"/>
  <c r="G36" i="5" s="1"/>
  <c r="H36" i="5" s="1"/>
  <c r="B38" i="5"/>
  <c r="D37" i="5"/>
  <c r="E38" i="6" l="1"/>
  <c r="F38" i="6" s="1"/>
  <c r="G38" i="6" s="1"/>
  <c r="H38" i="6" s="1"/>
  <c r="B40" i="6"/>
  <c r="D39" i="6"/>
  <c r="E37" i="5"/>
  <c r="H118" i="4"/>
  <c r="E119" i="4"/>
  <c r="F119" i="4" s="1"/>
  <c r="G119" i="4" s="1"/>
  <c r="F37" i="5"/>
  <c r="G37" i="5" s="1"/>
  <c r="H37" i="5" s="1"/>
  <c r="D38" i="5"/>
  <c r="B39" i="5"/>
  <c r="E39" i="6" l="1"/>
  <c r="F39" i="6" s="1"/>
  <c r="G39" i="6" s="1"/>
  <c r="H39" i="6" s="1"/>
  <c r="B41" i="6"/>
  <c r="D40" i="6"/>
  <c r="E38" i="5"/>
  <c r="F38" i="5"/>
  <c r="G38" i="5" s="1"/>
  <c r="H38" i="5" s="1"/>
  <c r="H119" i="4"/>
  <c r="E120" i="4"/>
  <c r="F120" i="4" s="1"/>
  <c r="G120" i="4" s="1"/>
  <c r="B40" i="5"/>
  <c r="E39" i="5"/>
  <c r="D39" i="5"/>
  <c r="F39" i="5" s="1"/>
  <c r="G39" i="5" s="1"/>
  <c r="H39" i="5" s="1"/>
  <c r="E40" i="6" l="1"/>
  <c r="F40" i="6" s="1"/>
  <c r="G40" i="6" s="1"/>
  <c r="B42" i="6"/>
  <c r="D41" i="6"/>
  <c r="E121" i="4"/>
  <c r="F121" i="4" s="1"/>
  <c r="G121" i="4" s="1"/>
  <c r="H120" i="4"/>
  <c r="D40" i="5"/>
  <c r="B41" i="5"/>
  <c r="E40" i="5"/>
  <c r="H40" i="6" l="1"/>
  <c r="E41" i="6"/>
  <c r="F41" i="6"/>
  <c r="G41" i="6" s="1"/>
  <c r="H41" i="6" s="1"/>
  <c r="B43" i="6"/>
  <c r="D42" i="6"/>
  <c r="H121" i="4"/>
  <c r="K15" i="4" s="1"/>
  <c r="K14" i="4"/>
  <c r="F40" i="5"/>
  <c r="G40" i="5" s="1"/>
  <c r="H40" i="5" s="1"/>
  <c r="B42" i="5"/>
  <c r="D41" i="5"/>
  <c r="E42" i="6" l="1"/>
  <c r="F42" i="6" s="1"/>
  <c r="G42" i="6" s="1"/>
  <c r="H42" i="6" s="1"/>
  <c r="B44" i="6"/>
  <c r="E43" i="6"/>
  <c r="D43" i="6"/>
  <c r="E41" i="5"/>
  <c r="F41" i="5"/>
  <c r="G41" i="5" s="1"/>
  <c r="H41" i="5" s="1"/>
  <c r="D42" i="5"/>
  <c r="E42" i="5"/>
  <c r="B43" i="5"/>
  <c r="F43" i="6" l="1"/>
  <c r="G43" i="6" s="1"/>
  <c r="H43" i="6" s="1"/>
  <c r="B45" i="6"/>
  <c r="E44" i="6"/>
  <c r="D44" i="6"/>
  <c r="F44" i="6" s="1"/>
  <c r="G44" i="6" s="1"/>
  <c r="H44" i="6" s="1"/>
  <c r="F42" i="5"/>
  <c r="G42" i="5" s="1"/>
  <c r="H42" i="5" s="1"/>
  <c r="B44" i="5"/>
  <c r="D43" i="5"/>
  <c r="B46" i="6" l="1"/>
  <c r="E45" i="6"/>
  <c r="D45" i="6"/>
  <c r="F45" i="6" s="1"/>
  <c r="G45" i="6" s="1"/>
  <c r="H45" i="6" s="1"/>
  <c r="E43" i="5"/>
  <c r="F43" i="5" s="1"/>
  <c r="G43" i="5" s="1"/>
  <c r="H43" i="5" s="1"/>
  <c r="D44" i="5"/>
  <c r="B45" i="5"/>
  <c r="B47" i="6" l="1"/>
  <c r="E46" i="6"/>
  <c r="D46" i="6"/>
  <c r="F46" i="6" s="1"/>
  <c r="G46" i="6" s="1"/>
  <c r="H46" i="6" s="1"/>
  <c r="E44" i="5"/>
  <c r="F44" i="5" s="1"/>
  <c r="G44" i="5" s="1"/>
  <c r="B46" i="5"/>
  <c r="D45" i="5"/>
  <c r="B48" i="6" l="1"/>
  <c r="E47" i="6"/>
  <c r="D47" i="6"/>
  <c r="H44" i="5"/>
  <c r="E45" i="5"/>
  <c r="F45" i="5" s="1"/>
  <c r="G45" i="5" s="1"/>
  <c r="H45" i="5" s="1"/>
  <c r="D46" i="5"/>
  <c r="B47" i="5"/>
  <c r="F47" i="6" l="1"/>
  <c r="G47" i="6" s="1"/>
  <c r="H47" i="6" s="1"/>
  <c r="B49" i="6"/>
  <c r="E48" i="6"/>
  <c r="D48" i="6"/>
  <c r="E46" i="5"/>
  <c r="F46" i="5" s="1"/>
  <c r="G46" i="5" s="1"/>
  <c r="H46" i="5" s="1"/>
  <c r="B48" i="5"/>
  <c r="D47" i="5"/>
  <c r="F48" i="6" l="1"/>
  <c r="G48" i="6" s="1"/>
  <c r="H48" i="6" s="1"/>
  <c r="B50" i="6"/>
  <c r="E49" i="6"/>
  <c r="D49" i="6"/>
  <c r="F49" i="6" s="1"/>
  <c r="G49" i="6" s="1"/>
  <c r="H49" i="6" s="1"/>
  <c r="E47" i="5"/>
  <c r="F47" i="5" s="1"/>
  <c r="G47" i="5" s="1"/>
  <c r="D48" i="5"/>
  <c r="B49" i="5"/>
  <c r="B51" i="6" l="1"/>
  <c r="E50" i="6"/>
  <c r="D50" i="6"/>
  <c r="F50" i="6" s="1"/>
  <c r="G50" i="6" s="1"/>
  <c r="H50" i="6" s="1"/>
  <c r="H47" i="5"/>
  <c r="E48" i="5"/>
  <c r="F48" i="5" s="1"/>
  <c r="G48" i="5" s="1"/>
  <c r="B50" i="5"/>
  <c r="D49" i="5"/>
  <c r="B52" i="6" l="1"/>
  <c r="E51" i="6"/>
  <c r="D51" i="6"/>
  <c r="F51" i="6" s="1"/>
  <c r="G51" i="6" s="1"/>
  <c r="H51" i="6" s="1"/>
  <c r="H48" i="5"/>
  <c r="E49" i="5"/>
  <c r="F49" i="5" s="1"/>
  <c r="G49" i="5" s="1"/>
  <c r="D50" i="5"/>
  <c r="B51" i="5"/>
  <c r="B53" i="6" l="1"/>
  <c r="E52" i="6"/>
  <c r="D52" i="6"/>
  <c r="F52" i="6" s="1"/>
  <c r="G52" i="6" s="1"/>
  <c r="H52" i="6" s="1"/>
  <c r="H49" i="5"/>
  <c r="E50" i="5"/>
  <c r="F50" i="5"/>
  <c r="G50" i="5" s="1"/>
  <c r="H50" i="5" s="1"/>
  <c r="B52" i="5"/>
  <c r="D51" i="5"/>
  <c r="B54" i="6" l="1"/>
  <c r="E53" i="6"/>
  <c r="D53" i="6"/>
  <c r="E51" i="5"/>
  <c r="F51" i="5" s="1"/>
  <c r="G51" i="5" s="1"/>
  <c r="H51" i="5" s="1"/>
  <c r="D52" i="5"/>
  <c r="B53" i="5"/>
  <c r="F53" i="6" l="1"/>
  <c r="G53" i="6" s="1"/>
  <c r="H53" i="6" s="1"/>
  <c r="B55" i="6"/>
  <c r="D54" i="6"/>
  <c r="E52" i="5"/>
  <c r="F52" i="5" s="1"/>
  <c r="G52" i="5" s="1"/>
  <c r="B54" i="5"/>
  <c r="D53" i="5"/>
  <c r="E54" i="6" l="1"/>
  <c r="F54" i="6"/>
  <c r="G54" i="6" s="1"/>
  <c r="H54" i="6" s="1"/>
  <c r="B56" i="6"/>
  <c r="E55" i="6"/>
  <c r="D55" i="6"/>
  <c r="H52" i="5"/>
  <c r="E53" i="5"/>
  <c r="F53" i="5" s="1"/>
  <c r="G53" i="5" s="1"/>
  <c r="D54" i="5"/>
  <c r="B55" i="5"/>
  <c r="F55" i="6" l="1"/>
  <c r="G55" i="6" s="1"/>
  <c r="H55" i="6" s="1"/>
  <c r="B57" i="6"/>
  <c r="D56" i="6"/>
  <c r="H53" i="5"/>
  <c r="E54" i="5"/>
  <c r="F54" i="5" s="1"/>
  <c r="G54" i="5" s="1"/>
  <c r="B56" i="5"/>
  <c r="D55" i="5"/>
  <c r="E56" i="6" l="1"/>
  <c r="F56" i="6"/>
  <c r="G56" i="6" s="1"/>
  <c r="H56" i="6" s="1"/>
  <c r="B58" i="6"/>
  <c r="E57" i="6"/>
  <c r="D57" i="6"/>
  <c r="H54" i="5"/>
  <c r="E55" i="5"/>
  <c r="F55" i="5" s="1"/>
  <c r="G55" i="5" s="1"/>
  <c r="B57" i="5"/>
  <c r="D56" i="5"/>
  <c r="F57" i="6" l="1"/>
  <c r="G57" i="6" s="1"/>
  <c r="H57" i="6" s="1"/>
  <c r="B59" i="6"/>
  <c r="D58" i="6"/>
  <c r="H55" i="5"/>
  <c r="E56" i="5"/>
  <c r="F56" i="5" s="1"/>
  <c r="G56" i="5" s="1"/>
  <c r="B58" i="5"/>
  <c r="D57" i="5"/>
  <c r="E58" i="6" l="1"/>
  <c r="F58" i="6" s="1"/>
  <c r="G58" i="6" s="1"/>
  <c r="B60" i="6"/>
  <c r="D59" i="6"/>
  <c r="H56" i="5"/>
  <c r="E57" i="5"/>
  <c r="F57" i="5" s="1"/>
  <c r="G57" i="5" s="1"/>
  <c r="B59" i="5"/>
  <c r="D58" i="5"/>
  <c r="H58" i="6" l="1"/>
  <c r="E59" i="6"/>
  <c r="F59" i="6" s="1"/>
  <c r="G59" i="6" s="1"/>
  <c r="H59" i="6" s="1"/>
  <c r="B61" i="6"/>
  <c r="D60" i="6"/>
  <c r="H57" i="5"/>
  <c r="E58" i="5"/>
  <c r="F58" i="5" s="1"/>
  <c r="G58" i="5" s="1"/>
  <c r="B60" i="5"/>
  <c r="D59" i="5"/>
  <c r="E60" i="6" l="1"/>
  <c r="F60" i="6" s="1"/>
  <c r="G60" i="6" s="1"/>
  <c r="H60" i="6" s="1"/>
  <c r="D61" i="6"/>
  <c r="K12" i="6"/>
  <c r="H58" i="5"/>
  <c r="E59" i="5"/>
  <c r="F59" i="5" s="1"/>
  <c r="G59" i="5" s="1"/>
  <c r="B61" i="5"/>
  <c r="D60" i="5"/>
  <c r="E61" i="6" l="1"/>
  <c r="F61" i="6" s="1"/>
  <c r="G61" i="6" s="1"/>
  <c r="H61" i="6" s="1"/>
  <c r="K15" i="6" s="1"/>
  <c r="K13" i="6"/>
  <c r="H59" i="5"/>
  <c r="E60" i="5"/>
  <c r="F60" i="5" s="1"/>
  <c r="G60" i="5" s="1"/>
  <c r="H60" i="5" s="1"/>
  <c r="B62" i="5"/>
  <c r="D61" i="5"/>
  <c r="K14" i="6" l="1"/>
  <c r="E61" i="5"/>
  <c r="F61" i="5"/>
  <c r="G61" i="5" s="1"/>
  <c r="H61" i="5" s="1"/>
  <c r="B63" i="5"/>
  <c r="E62" i="5"/>
  <c r="F62" i="5" s="1"/>
  <c r="G62" i="5" s="1"/>
  <c r="H62" i="5" s="1"/>
  <c r="D62" i="5"/>
  <c r="B64" i="5" l="1"/>
  <c r="E63" i="5"/>
  <c r="D63" i="5"/>
  <c r="F63" i="5" s="1"/>
  <c r="G63" i="5" s="1"/>
  <c r="H63" i="5" s="1"/>
  <c r="B65" i="5" l="1"/>
  <c r="E64" i="5"/>
  <c r="D64" i="5"/>
  <c r="F64" i="5" s="1"/>
  <c r="G64" i="5" s="1"/>
  <c r="H64" i="5" s="1"/>
  <c r="E65" i="5" l="1"/>
  <c r="B66" i="5"/>
  <c r="D65" i="5"/>
  <c r="F65" i="5" l="1"/>
  <c r="G65" i="5" s="1"/>
  <c r="H65" i="5" s="1"/>
  <c r="D66" i="5"/>
  <c r="E66" i="5"/>
  <c r="F66" i="5" s="1"/>
  <c r="G66" i="5" s="1"/>
  <c r="H66" i="5" s="1"/>
  <c r="K12" i="5"/>
  <c r="K15" i="5" l="1"/>
  <c r="K14" i="5"/>
  <c r="K13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<sst xmlns="http://schemas.openxmlformats.org/spreadsheetml/2006/main" count="75" uniqueCount="24">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</sst>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7" activePane="bottomLeft" state="frozen"/>
      <selection pane="bottomLeft" activeCell="A88" sqref="A88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46217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46217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46220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46220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46221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46223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46223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46224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46225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46226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46228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46228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46230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46230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46231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46232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46233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46234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46235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46236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46237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46238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46239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46240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46241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46242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46243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46244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46245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46246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46248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46250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46251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46254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46255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46256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46257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46258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46259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46260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46261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46262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46263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46264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46265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46267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46268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46269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46270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46272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46272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46272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46272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46272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46272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46272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46272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46272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46272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46272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46272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46272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46272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46272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46272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46272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46272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46272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46272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46272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46272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46272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46272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46272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46272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46272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46272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46272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46272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46272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46272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46272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46272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46272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43" workbookViewId="0">
      <selection activeCell="A60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46246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30.917065806268933</v>
      </c>
      <c r="F2" s="4">
        <f>IF(AND($A2&lt;&gt;"",$B2&lt;&gt;""),D2-E2,"")</f>
        <v>69.082934193731063</v>
      </c>
      <c r="G2" s="4">
        <f>IF(AND($A2&lt;&gt;"",$B2&lt;&gt;""),$K$7-F2,"")</f>
        <v>4930.9170658062685</v>
      </c>
      <c r="H2" s="4">
        <f>IF(AND($A2&lt;&gt;"",$B2&lt;&gt;""),$K$7-G2,"")</f>
        <v>69.082934193731489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L5000D60-Pratima-N209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30.489897481757385</v>
      </c>
      <c r="F3" s="21">
        <f>IF(AND($A3&lt;&gt;"",$B3&lt;&gt;""),D3-E3,"")</f>
        <v>69.510102518242618</v>
      </c>
      <c r="G3" s="21">
        <f>IF(AND($A3&lt;&gt;"",$B3&lt;&gt;""),G2-F3,"")</f>
        <v>4861.4069632880255</v>
      </c>
      <c r="H3" s="21">
        <f t="shared" ref="H3:H66" si="2">IF(AND($A3&lt;&gt;"",$B3&lt;&gt;""),$K$7-G3,"")</f>
        <v>138.59303671197449</v>
      </c>
      <c r="J3" s="5" t="s">
        <v>10</v>
      </c>
      <c r="K3" s="27" t="s">
        <v>21</v>
      </c>
    </row>
    <row r="4" spans="1:12" x14ac:dyDescent="0.3">
      <c r="A4" s="2">
        <v>46250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30.060087799005981</v>
      </c>
      <c r="F4" s="4">
        <f>IF(AND($A4&lt;&gt;"",$B4&lt;&gt;""),D4-E4,"")</f>
        <v>69.939912200994016</v>
      </c>
      <c r="G4" s="4">
        <f>IF(AND($A4&lt;&gt;"",$B4&lt;&gt;""),G3-F4,"")</f>
        <v>4791.4670510870319</v>
      </c>
      <c r="H4" s="4">
        <f t="shared" si="2"/>
        <v>208.5329489129681</v>
      </c>
      <c r="J4" s="5" t="s">
        <v>11</v>
      </c>
      <c r="K4" s="27"/>
    </row>
    <row r="5" spans="1:12" x14ac:dyDescent="0.3">
      <c r="A5" s="19">
        <v>46251</v>
      </c>
      <c r="B5" s="24">
        <f t="shared" si="3"/>
        <v>4</v>
      </c>
      <c r="C5" s="20"/>
      <c r="D5" s="21">
        <f t="shared" si="0"/>
        <v>100</v>
      </c>
      <c r="E5" s="21">
        <f t="shared" si="1"/>
        <v>29.627620425405425</v>
      </c>
      <c r="F5" s="21">
        <f>IF(AND($A5&lt;&gt;"",$B5&lt;&gt;""),D5-E5,"")</f>
        <v>70.372379574594575</v>
      </c>
      <c r="G5" s="21">
        <f>IF(AND($A5&lt;&gt;"",$B5&lt;&gt;""),G4-F5,"")</f>
        <v>4721.0946715124373</v>
      </c>
      <c r="H5" s="21">
        <f t="shared" si="2"/>
        <v>278.90532848756266</v>
      </c>
      <c r="J5" s="5" t="s">
        <v>12</v>
      </c>
      <c r="K5" s="27"/>
    </row>
    <row r="6" spans="1:12" x14ac:dyDescent="0.3">
      <c r="A6" s="2">
        <v>46254</v>
      </c>
      <c r="B6" s="23">
        <f t="shared" si="3"/>
        <v>5</v>
      </c>
      <c r="C6" s="3"/>
      <c r="D6" s="4">
        <f t="shared" si="0"/>
        <v>100</v>
      </c>
      <c r="E6" s="4">
        <f t="shared" si="1"/>
        <v>29.192478927355129</v>
      </c>
      <c r="F6" s="4">
        <f>IF(AND($A6&lt;&gt;"",$B6&lt;&gt;""),D6-E6,"")</f>
        <v>70.807521072644874</v>
      </c>
      <c r="G6" s="4">
        <f t="shared" ref="G6:G69" si="4">IF(AND($A6&lt;&gt;"",$B6&lt;&gt;""),G5-F6,"")</f>
        <v>4650.2871504397926</v>
      </c>
      <c r="H6" s="4">
        <f t="shared" si="2"/>
        <v>349.71284956020736</v>
      </c>
      <c r="J6" s="5" t="s">
        <v>13</v>
      </c>
      <c r="K6" s="27"/>
    </row>
    <row r="7" spans="1:12" x14ac:dyDescent="0.3">
      <c r="A7" s="19">
        <v>46255</v>
      </c>
      <c r="B7" s="24">
        <f t="shared" si="3"/>
        <v>6</v>
      </c>
      <c r="C7" s="20"/>
      <c r="D7" s="21">
        <f t="shared" si="0"/>
        <v>100</v>
      </c>
      <c r="E7" s="21">
        <f t="shared" si="1"/>
        <v>28.754646769638782</v>
      </c>
      <c r="F7" s="21">
        <f t="shared" ref="F7:F70" si="5">IF(AND($A7&lt;&gt;"",$B7&lt;&gt;""),D7-E7,"")</f>
        <v>71.245353230361218</v>
      </c>
      <c r="G7" s="21">
        <f t="shared" si="4"/>
        <v>4579.041797209431</v>
      </c>
      <c r="H7" s="21">
        <f t="shared" si="2"/>
        <v>420.95820279056898</v>
      </c>
      <c r="J7" s="5" t="s">
        <v>7</v>
      </c>
      <c r="K7" s="28">
        <v>5000</v>
      </c>
    </row>
    <row r="8" spans="1:12" x14ac:dyDescent="0.3">
      <c r="A8" s="2">
        <v>46256</v>
      </c>
      <c r="B8" s="23">
        <f t="shared" si="3"/>
        <v>7</v>
      </c>
      <c r="C8" s="3"/>
      <c r="D8" s="4">
        <f t="shared" si="0"/>
        <v>100</v>
      </c>
      <c r="E8" s="4">
        <f t="shared" si="1"/>
        <v>28.31410731479599</v>
      </c>
      <c r="F8" s="4">
        <f t="shared" si="5"/>
        <v>71.68589268520401</v>
      </c>
      <c r="G8" s="4">
        <f t="shared" si="4"/>
        <v>4507.3559045242273</v>
      </c>
      <c r="H8" s="4">
        <f t="shared" si="2"/>
        <v>492.6440954757727</v>
      </c>
      <c r="J8" s="5" t="s">
        <v>14</v>
      </c>
      <c r="K8" s="29">
        <f>RATE(K10,-K9,K7)</f>
        <v>6.1834131612537868E-3</v>
      </c>
    </row>
    <row r="9" spans="1:12" x14ac:dyDescent="0.3">
      <c r="A9" s="19">
        <v>46257</v>
      </c>
      <c r="B9" s="24">
        <f t="shared" si="3"/>
        <v>8</v>
      </c>
      <c r="C9" s="20"/>
      <c r="D9" s="21">
        <f t="shared" si="0"/>
        <v>100</v>
      </c>
      <c r="E9" s="21">
        <f t="shared" si="1"/>
        <v>27.870843822490073</v>
      </c>
      <c r="F9" s="21">
        <f t="shared" si="5"/>
        <v>72.129156177509927</v>
      </c>
      <c r="G9" s="21">
        <f t="shared" si="4"/>
        <v>4435.2267483467176</v>
      </c>
      <c r="H9" s="21">
        <f t="shared" si="2"/>
        <v>564.77325165328239</v>
      </c>
      <c r="J9" s="5" t="s">
        <v>8</v>
      </c>
      <c r="K9" s="30">
        <v>100</v>
      </c>
    </row>
    <row r="10" spans="1:12" x14ac:dyDescent="0.3">
      <c r="A10" s="2">
        <v>46258</v>
      </c>
      <c r="B10" s="23">
        <f t="shared" si="3"/>
        <v>9</v>
      </c>
      <c r="C10" s="3"/>
      <c r="D10" s="4">
        <f t="shared" si="0"/>
        <v>100</v>
      </c>
      <c r="E10" s="4">
        <f t="shared" si="1"/>
        <v>27.424839448871932</v>
      </c>
      <c r="F10" s="4">
        <f t="shared" si="5"/>
        <v>72.575160551128064</v>
      </c>
      <c r="G10" s="4">
        <f t="shared" si="4"/>
        <v>4362.6515877955899</v>
      </c>
      <c r="H10" s="4">
        <f t="shared" si="2"/>
        <v>637.34841220441012</v>
      </c>
      <c r="J10" s="5" t="s">
        <v>15</v>
      </c>
      <c r="K10" s="31">
        <v>60</v>
      </c>
    </row>
    <row r="11" spans="1:12" ht="17.25" thickBot="1" x14ac:dyDescent="0.35">
      <c r="A11" s="19">
        <v>46259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26.97607724593998</v>
      </c>
      <c r="F11" s="21">
        <f t="shared" si="5"/>
        <v>73.023922754060024</v>
      </c>
      <c r="G11" s="21">
        <f t="shared" si="4"/>
        <v>4289.6276650415302</v>
      </c>
      <c r="H11" s="21">
        <f t="shared" si="2"/>
        <v>710.37233495846976</v>
      </c>
      <c r="J11" s="8"/>
      <c r="L11" s="22"/>
    </row>
    <row r="12" spans="1:12" x14ac:dyDescent="0.3">
      <c r="A12" s="2">
        <v>46260</v>
      </c>
      <c r="B12" s="23">
        <f t="shared" si="3"/>
        <v>11</v>
      </c>
      <c r="C12" s="3"/>
      <c r="D12" s="4">
        <f t="shared" si="0"/>
        <v>100</v>
      </c>
      <c r="E12" s="4">
        <f t="shared" si="1"/>
        <v>26.524540160896148</v>
      </c>
      <c r="F12" s="4">
        <f t="shared" si="5"/>
        <v>73.475459839103848</v>
      </c>
      <c r="G12" s="4">
        <f t="shared" si="4"/>
        <v>4216.1522052024266</v>
      </c>
      <c r="H12" s="4">
        <f t="shared" si="2"/>
        <v>783.84779479757344</v>
      </c>
      <c r="J12" s="9" t="s">
        <v>16</v>
      </c>
      <c r="K12" s="10">
        <f>IFERROR(MAX($B:$B),"")</f>
        <v>60</v>
      </c>
    </row>
    <row r="13" spans="1:12" x14ac:dyDescent="0.3">
      <c r="A13" s="19">
        <v>46261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26.070211035497859</v>
      </c>
      <c r="F13" s="21">
        <f t="shared" si="5"/>
        <v>73.929788964502137</v>
      </c>
      <c r="G13" s="21">
        <f t="shared" si="4"/>
        <v>4142.2224162379243</v>
      </c>
      <c r="H13" s="21">
        <f t="shared" si="2"/>
        <v>857.77758376207566</v>
      </c>
      <c r="J13" s="25" t="s">
        <v>22</v>
      </c>
      <c r="K13" s="12">
        <f>(K10*K9)-K9*K12</f>
        <v>0</v>
      </c>
    </row>
    <row r="14" spans="1:12" x14ac:dyDescent="0.3">
      <c r="A14" s="2">
        <v>46262</v>
      </c>
      <c r="B14" s="23">
        <f t="shared" si="3"/>
        <v>13</v>
      </c>
      <c r="C14" s="3"/>
      <c r="D14" s="4">
        <f t="shared" si="0"/>
        <v>100</v>
      </c>
      <c r="E14" s="4">
        <f t="shared" si="1"/>
        <v>25.613072605406042</v>
      </c>
      <c r="F14" s="4">
        <f t="shared" si="5"/>
        <v>74.386927394593954</v>
      </c>
      <c r="G14" s="4">
        <f t="shared" si="4"/>
        <v>4067.8354888433305</v>
      </c>
      <c r="H14" s="4">
        <f t="shared" si="2"/>
        <v>932.1645111566695</v>
      </c>
      <c r="J14" s="11" t="s">
        <v>23</v>
      </c>
      <c r="K14" s="12">
        <f>IF(A2="", K9*K10, IFERROR(INDEX($G:$G, MATCH($K$12, $B:$B, 0)), 0))</f>
        <v>-3.4034997042908799E-11</v>
      </c>
    </row>
    <row r="15" spans="1:12" ht="17.25" thickBot="1" x14ac:dyDescent="0.35">
      <c r="A15" s="19">
        <v>46263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25.153107499529082</v>
      </c>
      <c r="F15" s="21">
        <f t="shared" si="5"/>
        <v>74.846892500470915</v>
      </c>
      <c r="G15" s="21">
        <f t="shared" si="4"/>
        <v>3992.9885963428596</v>
      </c>
      <c r="H15" s="21">
        <f t="shared" si="2"/>
        <v>1007.0114036571404</v>
      </c>
      <c r="J15" s="13" t="s">
        <v>6</v>
      </c>
      <c r="K15" s="14">
        <f>IFERROR(INDEX($H:$H, MATCH($K$12, $B:$B, 0)), 0)</f>
        <v>5000.0000000000337</v>
      </c>
    </row>
    <row r="16" spans="1:12" x14ac:dyDescent="0.3">
      <c r="A16" s="2">
        <v>46264</v>
      </c>
      <c r="B16" s="23">
        <f t="shared" si="3"/>
        <v>15</v>
      </c>
      <c r="C16" s="3"/>
      <c r="D16" s="4">
        <f t="shared" si="0"/>
        <v>100</v>
      </c>
      <c r="E16" s="4">
        <f t="shared" si="1"/>
        <v>24.690298239362722</v>
      </c>
      <c r="F16" s="4">
        <f t="shared" si="5"/>
        <v>75.309701760637282</v>
      </c>
      <c r="G16" s="4">
        <f t="shared" si="4"/>
        <v>3917.6788945822223</v>
      </c>
      <c r="H16" s="4">
        <f t="shared" si="2"/>
        <v>1082.3211054177777</v>
      </c>
      <c r="J16" s="15" t="s">
        <v>18</v>
      </c>
      <c r="K16" s="16">
        <f>IF(A2,A2, "")</f>
        <v>46246</v>
      </c>
    </row>
    <row r="17" spans="1:11" x14ac:dyDescent="0.3">
      <c r="A17" s="19">
        <v>46265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24.224627238325901</v>
      </c>
      <c r="F17" s="21">
        <f t="shared" si="5"/>
        <v>75.775372761674106</v>
      </c>
      <c r="G17" s="21">
        <f t="shared" si="4"/>
        <v>3841.9035218205481</v>
      </c>
      <c r="H17" s="21">
        <f t="shared" si="2"/>
        <v>1158.0964781794519</v>
      </c>
      <c r="J17" s="17" t="s">
        <v>19</v>
      </c>
      <c r="K17" s="18">
        <f xml:space="preserve"> IF(A2,(K16 + 120),"")</f>
        <v>46366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100</v>
      </c>
      <c r="E18" s="4">
        <f t="shared" si="1"/>
        <v>23.756076801092451</v>
      </c>
      <c r="F18" s="4">
        <f t="shared" si="5"/>
        <v>76.243923198907552</v>
      </c>
      <c r="G18" s="4">
        <f t="shared" si="4"/>
        <v>3765.6595986216407</v>
      </c>
      <c r="H18" s="4">
        <f t="shared" si="2"/>
        <v>1234.3404013783593</v>
      </c>
    </row>
    <row r="19" spans="1:11" x14ac:dyDescent="0.3">
      <c r="A19" s="19">
        <v>46268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23.284629122918705</v>
      </c>
      <c r="F19" s="21">
        <f t="shared" si="5"/>
        <v>76.715370877081298</v>
      </c>
      <c r="G19" s="21">
        <f t="shared" si="4"/>
        <v>3688.9442277445596</v>
      </c>
      <c r="H19" s="21">
        <f t="shared" si="2"/>
        <v>1311.0557722554404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100</v>
      </c>
      <c r="E20" s="4">
        <f t="shared" si="1"/>
        <v>22.810266288966897</v>
      </c>
      <c r="F20" s="4">
        <f t="shared" si="5"/>
        <v>77.189733711033099</v>
      </c>
      <c r="G20" s="4">
        <f t="shared" si="4"/>
        <v>3611.7544940335265</v>
      </c>
      <c r="H20" s="4">
        <f t="shared" si="2"/>
        <v>1388.2455059664735</v>
      </c>
      <c r="J20" s="22"/>
      <c r="K20" s="22"/>
    </row>
    <row r="21" spans="1:11" x14ac:dyDescent="0.3">
      <c r="A21" s="19">
        <v>46270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22.332970273624419</v>
      </c>
      <c r="F21" s="21">
        <f t="shared" si="5"/>
        <v>77.667029726375574</v>
      </c>
      <c r="G21" s="21">
        <f t="shared" si="4"/>
        <v>3534.0874643071511</v>
      </c>
      <c r="H21" s="21">
        <f t="shared" si="2"/>
        <v>1465.9125356928489</v>
      </c>
    </row>
    <row r="22" spans="1:11" x14ac:dyDescent="0.3">
      <c r="A22" s="2">
        <v>46272</v>
      </c>
      <c r="B22" s="23">
        <f t="shared" si="3"/>
        <v>21</v>
      </c>
      <c r="C22" s="3"/>
      <c r="D22" s="4">
        <f t="shared" si="0"/>
        <v>100</v>
      </c>
      <c r="E22" s="4">
        <f t="shared" si="1"/>
        <v>21.852722939818861</v>
      </c>
      <c r="F22" s="4">
        <f t="shared" si="5"/>
        <v>78.147277060181139</v>
      </c>
      <c r="G22" s="4">
        <f t="shared" si="4"/>
        <v>3455.9401872469698</v>
      </c>
      <c r="H22" s="4">
        <f t="shared" si="2"/>
        <v>1544.0598127530302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21.36950603832879</v>
      </c>
      <c r="F23" s="21">
        <f t="shared" si="5"/>
        <v>78.630493961671206</v>
      </c>
      <c r="G23" s="21">
        <f t="shared" si="4"/>
        <v>3377.3096932852986</v>
      </c>
      <c r="H23" s="21">
        <f t="shared" si="2"/>
        <v>1622.6903067147014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100</v>
      </c>
      <c r="E24" s="4">
        <f t="shared" si="1"/>
        <v>20.883301207090305</v>
      </c>
      <c r="F24" s="4">
        <f t="shared" si="5"/>
        <v>79.116698792909688</v>
      </c>
      <c r="G24" s="4">
        <f t="shared" si="4"/>
        <v>3298.1929944923891</v>
      </c>
      <c r="H24" s="4">
        <f t="shared" si="2"/>
        <v>1701.8070055076109</v>
      </c>
    </row>
    <row r="25" spans="1:11" x14ac:dyDescent="0.3">
      <c r="A25" s="19">
        <v>46272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20.394089970499277</v>
      </c>
      <c r="F25" s="21">
        <f t="shared" si="5"/>
        <v>79.60591002950072</v>
      </c>
      <c r="G25" s="21">
        <f t="shared" si="4"/>
        <v>3218.5870844628885</v>
      </c>
      <c r="H25" s="21">
        <f t="shared" si="2"/>
        <v>1781.4129155371115</v>
      </c>
    </row>
    <row r="26" spans="1:11" x14ac:dyDescent="0.3">
      <c r="A26" s="2">
        <v>46272</v>
      </c>
      <c r="B26" s="23">
        <f t="shared" si="3"/>
        <v>25</v>
      </c>
      <c r="C26" s="3"/>
      <c r="D26" s="4">
        <f t="shared" si="0"/>
        <v>100</v>
      </c>
      <c r="E26" s="4">
        <f t="shared" si="1"/>
        <v>19.901853738709278</v>
      </c>
      <c r="F26" s="4">
        <f t="shared" si="5"/>
        <v>80.098146261290722</v>
      </c>
      <c r="G26" s="4">
        <f t="shared" si="4"/>
        <v>3138.4889382015976</v>
      </c>
      <c r="H26" s="4">
        <f t="shared" si="2"/>
        <v>1861.5110617984024</v>
      </c>
    </row>
    <row r="27" spans="1:11" x14ac:dyDescent="0.3">
      <c r="A27" s="19">
        <v>46272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19.406573806925181</v>
      </c>
      <c r="F27" s="21">
        <f t="shared" si="5"/>
        <v>80.593426193074819</v>
      </c>
      <c r="G27" s="21">
        <f t="shared" si="4"/>
        <v>3057.8955120085229</v>
      </c>
      <c r="H27" s="21">
        <f t="shared" si="2"/>
        <v>1942.1044879914771</v>
      </c>
    </row>
    <row r="28" spans="1:11" x14ac:dyDescent="0.3">
      <c r="A28" s="2">
        <v>46272</v>
      </c>
      <c r="B28" s="23">
        <f t="shared" si="3"/>
        <v>27</v>
      </c>
      <c r="C28" s="3"/>
      <c r="D28" s="4">
        <f t="shared" si="0"/>
        <v>100</v>
      </c>
      <c r="E28" s="4">
        <f t="shared" si="1"/>
        <v>18.908231354692386</v>
      </c>
      <c r="F28" s="4">
        <f t="shared" si="5"/>
        <v>81.09176864530761</v>
      </c>
      <c r="G28" s="4">
        <f t="shared" si="4"/>
        <v>2976.8037433632153</v>
      </c>
      <c r="H28" s="4">
        <f t="shared" si="2"/>
        <v>2023.1962566367847</v>
      </c>
    </row>
    <row r="29" spans="1:11" x14ac:dyDescent="0.3">
      <c r="A29" s="19">
        <v>46272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18.406807445181645</v>
      </c>
      <c r="F29" s="21">
        <f t="shared" si="5"/>
        <v>81.593192554818359</v>
      </c>
      <c r="G29" s="21">
        <f t="shared" si="4"/>
        <v>2895.2105508083969</v>
      </c>
      <c r="H29" s="21">
        <f t="shared" si="2"/>
        <v>2104.7894491916031</v>
      </c>
    </row>
    <row r="30" spans="1:11" x14ac:dyDescent="0.3">
      <c r="A30" s="2">
        <v>46272</v>
      </c>
      <c r="B30" s="23">
        <f t="shared" si="3"/>
        <v>29</v>
      </c>
      <c r="C30" s="3"/>
      <c r="D30" s="4">
        <f t="shared" si="0"/>
        <v>100</v>
      </c>
      <c r="E30" s="4">
        <f t="shared" si="1"/>
        <v>17.902283024469465</v>
      </c>
      <c r="F30" s="4">
        <f t="shared" si="5"/>
        <v>82.097716975530531</v>
      </c>
      <c r="G30" s="4">
        <f t="shared" si="4"/>
        <v>2813.1128338328663</v>
      </c>
      <c r="H30" s="4">
        <f t="shared" si="2"/>
        <v>2186.8871661671337</v>
      </c>
    </row>
    <row r="31" spans="1:11" x14ac:dyDescent="0.3">
      <c r="A31" s="19">
        <v>46272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17.394638920814081</v>
      </c>
      <c r="F31" s="21">
        <f t="shared" si="5"/>
        <v>82.605361079185911</v>
      </c>
      <c r="G31" s="21">
        <f t="shared" si="4"/>
        <v>2730.5074727536803</v>
      </c>
      <c r="H31" s="21">
        <f t="shared" si="2"/>
        <v>2269.4925272463197</v>
      </c>
    </row>
    <row r="32" spans="1:11" x14ac:dyDescent="0.3">
      <c r="A32" s="2">
        <v>46272</v>
      </c>
      <c r="B32" s="23">
        <f t="shared" si="3"/>
        <v>31</v>
      </c>
      <c r="C32" s="3"/>
      <c r="D32" s="4">
        <f t="shared" si="0"/>
        <v>100</v>
      </c>
      <c r="E32" s="4">
        <f t="shared" si="1"/>
        <v>16.883855843926924</v>
      </c>
      <c r="F32" s="4">
        <f t="shared" si="5"/>
        <v>83.116144156073076</v>
      </c>
      <c r="G32" s="4">
        <f t="shared" si="4"/>
        <v>2647.3913285976073</v>
      </c>
      <c r="H32" s="4">
        <f t="shared" si="2"/>
        <v>2352.6086714023927</v>
      </c>
    </row>
    <row r="33" spans="1:8" x14ac:dyDescent="0.3">
      <c r="A33" s="19">
        <v>46272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16.369914384239593</v>
      </c>
      <c r="F33" s="21">
        <f t="shared" si="5"/>
        <v>83.630085615760407</v>
      </c>
      <c r="G33" s="21">
        <f t="shared" si="4"/>
        <v>2563.7612429818469</v>
      </c>
      <c r="H33" s="21">
        <f t="shared" si="2"/>
        <v>2436.2387570181531</v>
      </c>
    </row>
    <row r="34" spans="1:8" x14ac:dyDescent="0.3">
      <c r="A34" s="2">
        <v>46272</v>
      </c>
      <c r="B34" s="23">
        <f t="shared" si="3"/>
        <v>33</v>
      </c>
      <c r="C34" s="3"/>
      <c r="D34" s="4">
        <f t="shared" si="0"/>
        <v>100</v>
      </c>
      <c r="E34" s="4">
        <f t="shared" si="1"/>
        <v>15.85279501216632</v>
      </c>
      <c r="F34" s="4">
        <f t="shared" si="5"/>
        <v>84.147204987833675</v>
      </c>
      <c r="G34" s="4">
        <f t="shared" si="4"/>
        <v>2479.6140379940134</v>
      </c>
      <c r="H34" s="4">
        <f t="shared" si="2"/>
        <v>2520.3859620059866</v>
      </c>
    </row>
    <row r="35" spans="1:8" x14ac:dyDescent="0.3">
      <c r="A35" s="19">
        <v>46272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15.332478077361831</v>
      </c>
      <c r="F35" s="21">
        <f t="shared" si="5"/>
        <v>84.667521922638173</v>
      </c>
      <c r="G35" s="21">
        <f t="shared" si="4"/>
        <v>2394.9465160713753</v>
      </c>
      <c r="H35" s="21">
        <f t="shared" si="2"/>
        <v>2605.0534839286247</v>
      </c>
    </row>
    <row r="36" spans="1:8" x14ac:dyDescent="0.3">
      <c r="A36" s="2">
        <v>46272</v>
      </c>
      <c r="B36" s="23">
        <f t="shared" si="3"/>
        <v>35</v>
      </c>
      <c r="C36" s="3"/>
      <c r="D36" s="4">
        <f t="shared" si="0"/>
        <v>100</v>
      </c>
      <c r="E36" s="4">
        <f t="shared" si="1"/>
        <v>14.808943807974646</v>
      </c>
      <c r="F36" s="4">
        <f t="shared" si="5"/>
        <v>85.191056192025357</v>
      </c>
      <c r="G36" s="4">
        <f t="shared" si="4"/>
        <v>2309.7554598793499</v>
      </c>
      <c r="H36" s="4">
        <f t="shared" si="2"/>
        <v>2690.2445401206501</v>
      </c>
    </row>
    <row r="37" spans="1:8" x14ac:dyDescent="0.3">
      <c r="A37" s="19">
        <v>46272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14.282172309895765</v>
      </c>
      <c r="F37" s="21">
        <f t="shared" si="5"/>
        <v>85.71782769010423</v>
      </c>
      <c r="G37" s="21">
        <f t="shared" si="4"/>
        <v>2224.0376321892459</v>
      </c>
      <c r="H37" s="21">
        <f t="shared" si="2"/>
        <v>2775.9623678107541</v>
      </c>
    </row>
    <row r="38" spans="1:8" x14ac:dyDescent="0.3">
      <c r="A38" s="2">
        <v>46272</v>
      </c>
      <c r="B38" s="23">
        <f t="shared" si="3"/>
        <v>37</v>
      </c>
      <c r="C38" s="3"/>
      <c r="D38" s="4">
        <f t="shared" si="0"/>
        <v>100</v>
      </c>
      <c r="E38" s="4">
        <f t="shared" si="1"/>
        <v>13.752143566002692</v>
      </c>
      <c r="F38" s="4">
        <f t="shared" si="5"/>
        <v>86.247856433997313</v>
      </c>
      <c r="G38" s="4">
        <f t="shared" si="4"/>
        <v>2137.7897757552487</v>
      </c>
      <c r="H38" s="4">
        <f t="shared" si="2"/>
        <v>2862.2102242447513</v>
      </c>
    </row>
    <row r="39" spans="1:8" x14ac:dyDescent="0.3">
      <c r="A39" s="19">
        <v>46272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13.218837435398786</v>
      </c>
      <c r="F39" s="21">
        <f t="shared" si="5"/>
        <v>86.781162564601217</v>
      </c>
      <c r="G39" s="21">
        <f t="shared" si="4"/>
        <v>2051.0086131906473</v>
      </c>
      <c r="H39" s="21">
        <f t="shared" si="2"/>
        <v>2948.9913868093527</v>
      </c>
    </row>
    <row r="40" spans="1:8" x14ac:dyDescent="0.3">
      <c r="A40" s="2">
        <v>46272</v>
      </c>
      <c r="B40" s="23">
        <f t="shared" si="3"/>
        <v>39</v>
      </c>
      <c r="C40" s="3"/>
      <c r="D40" s="4">
        <f t="shared" si="0"/>
        <v>100</v>
      </c>
      <c r="E40" s="4">
        <f t="shared" si="1"/>
        <v>12.682233652647925</v>
      </c>
      <c r="F40" s="4">
        <f t="shared" si="5"/>
        <v>87.317766347352077</v>
      </c>
      <c r="G40" s="4">
        <f t="shared" si="4"/>
        <v>1963.6908468432953</v>
      </c>
      <c r="H40" s="4">
        <f t="shared" si="2"/>
        <v>3036.3091531567047</v>
      </c>
    </row>
    <row r="41" spans="1:8" x14ac:dyDescent="0.3">
      <c r="A41" s="19">
        <v>46272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12.142311827004427</v>
      </c>
      <c r="F41" s="21">
        <f t="shared" si="5"/>
        <v>87.85768817299558</v>
      </c>
      <c r="G41" s="21">
        <f t="shared" si="4"/>
        <v>1875.8331586702998</v>
      </c>
      <c r="H41" s="21">
        <f t="shared" si="2"/>
        <v>3124.1668413297002</v>
      </c>
    </row>
    <row r="42" spans="1:8" x14ac:dyDescent="0.3">
      <c r="A42" s="2">
        <v>46272</v>
      </c>
      <c r="B42" s="23">
        <f t="shared" si="3"/>
        <v>41</v>
      </c>
      <c r="C42" s="3"/>
      <c r="D42" s="4">
        <f t="shared" si="0"/>
        <v>100</v>
      </c>
      <c r="E42" s="4">
        <f t="shared" si="1"/>
        <v>11.599051441638194</v>
      </c>
      <c r="F42" s="4">
        <f t="shared" si="5"/>
        <v>88.400948558361804</v>
      </c>
      <c r="G42" s="4">
        <f t="shared" si="4"/>
        <v>1787.432210111938</v>
      </c>
      <c r="H42" s="4">
        <f t="shared" si="2"/>
        <v>3212.5677898880622</v>
      </c>
    </row>
    <row r="43" spans="1:8" x14ac:dyDescent="0.3">
      <c r="A43" s="19">
        <v>46272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11.052431852855102</v>
      </c>
      <c r="F43" s="21">
        <f t="shared" si="5"/>
        <v>88.947568147144892</v>
      </c>
      <c r="G43" s="21">
        <f t="shared" si="4"/>
        <v>1698.4846419647931</v>
      </c>
      <c r="H43" s="21">
        <f t="shared" si="2"/>
        <v>3301.5153580352071</v>
      </c>
    </row>
    <row r="44" spans="1:8" x14ac:dyDescent="0.3">
      <c r="A44" s="2">
        <v>46272</v>
      </c>
      <c r="B44" s="23">
        <f t="shared" si="3"/>
        <v>43</v>
      </c>
      <c r="C44" s="3"/>
      <c r="D44" s="4">
        <f t="shared" si="0"/>
        <v>100</v>
      </c>
      <c r="E44" s="4">
        <f t="shared" si="1"/>
        <v>10.502432289312528</v>
      </c>
      <c r="F44" s="4">
        <f t="shared" si="5"/>
        <v>89.497567710687477</v>
      </c>
      <c r="G44" s="4">
        <f t="shared" si="4"/>
        <v>1608.9870742541057</v>
      </c>
      <c r="H44" s="4">
        <f t="shared" si="2"/>
        <v>3391.0129257458943</v>
      </c>
    </row>
    <row r="45" spans="1:8" x14ac:dyDescent="0.3">
      <c r="A45" s="19">
        <v>46272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9.9490318512300604</v>
      </c>
      <c r="F45" s="21">
        <f t="shared" si="5"/>
        <v>90.05096814876994</v>
      </c>
      <c r="G45" s="21">
        <f t="shared" si="4"/>
        <v>1518.9361061053357</v>
      </c>
      <c r="H45" s="21">
        <f t="shared" si="2"/>
        <v>3481.063893894664</v>
      </c>
    </row>
    <row r="46" spans="1:8" x14ac:dyDescent="0.3">
      <c r="A46" s="2">
        <v>46272</v>
      </c>
      <c r="B46" s="23">
        <f t="shared" si="3"/>
        <v>45</v>
      </c>
      <c r="C46" s="3"/>
      <c r="D46" s="4">
        <f t="shared" si="0"/>
        <v>100</v>
      </c>
      <c r="E46" s="4">
        <f t="shared" si="1"/>
        <v>9.3922095095953111</v>
      </c>
      <c r="F46" s="4">
        <f t="shared" si="5"/>
        <v>90.607790490404682</v>
      </c>
      <c r="G46" s="4">
        <f t="shared" si="4"/>
        <v>1428.3283156149309</v>
      </c>
      <c r="H46" s="4">
        <f t="shared" si="2"/>
        <v>3571.6716843850691</v>
      </c>
    </row>
    <row r="47" spans="1:8" x14ac:dyDescent="0.3">
      <c r="A47" s="19">
        <v>46272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8.8319441053648173</v>
      </c>
      <c r="F47" s="21">
        <f t="shared" si="5"/>
        <v>91.168055894635188</v>
      </c>
      <c r="G47" s="21">
        <f t="shared" si="4"/>
        <v>1337.1602597202957</v>
      </c>
      <c r="H47" s="21">
        <f t="shared" si="2"/>
        <v>3662.8397402797045</v>
      </c>
    </row>
    <row r="48" spans="1:8" x14ac:dyDescent="0.3">
      <c r="A48" s="2">
        <v>46272</v>
      </c>
      <c r="B48" s="23">
        <f t="shared" si="3"/>
        <v>47</v>
      </c>
      <c r="C48" s="3"/>
      <c r="D48" s="4">
        <f t="shared" si="0"/>
        <v>100</v>
      </c>
      <c r="E48" s="4">
        <f t="shared" si="1"/>
        <v>8.2682143486600079</v>
      </c>
      <c r="F48" s="4">
        <f t="shared" si="5"/>
        <v>91.73178565133999</v>
      </c>
      <c r="G48" s="4">
        <f t="shared" si="4"/>
        <v>1245.4284740689557</v>
      </c>
      <c r="H48" s="4">
        <f t="shared" si="2"/>
        <v>3754.5715259310446</v>
      </c>
    </row>
    <row r="49" spans="1:8" x14ac:dyDescent="0.3">
      <c r="A49" s="19">
        <v>46272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7.700998817958201</v>
      </c>
      <c r="F49" s="21">
        <f t="shared" si="5"/>
        <v>92.299001182041792</v>
      </c>
      <c r="G49" s="21">
        <f t="shared" si="4"/>
        <v>1153.1294728869138</v>
      </c>
      <c r="H49" s="21">
        <f t="shared" si="2"/>
        <v>3846.8705271130862</v>
      </c>
    </row>
    <row r="50" spans="1:8" x14ac:dyDescent="0.3">
      <c r="A50" s="2">
        <v>46272</v>
      </c>
      <c r="B50" s="23">
        <f t="shared" si="3"/>
        <v>49</v>
      </c>
      <c r="C50" s="3"/>
      <c r="D50" s="4">
        <f t="shared" si="0"/>
        <v>100</v>
      </c>
      <c r="E50" s="4">
        <f t="shared" si="1"/>
        <v>7.1302759592785847</v>
      </c>
      <c r="F50" s="4">
        <f t="shared" si="5"/>
        <v>92.869724040721422</v>
      </c>
      <c r="G50" s="4">
        <f t="shared" si="4"/>
        <v>1060.2597488461925</v>
      </c>
      <c r="H50" s="4">
        <f t="shared" si="2"/>
        <v>3939.7402511538075</v>
      </c>
    </row>
    <row r="51" spans="1:8" x14ac:dyDescent="0.3">
      <c r="A51" s="19">
        <v>46272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6.5560240853631813</v>
      </c>
      <c r="F51" s="21">
        <f t="shared" si="5"/>
        <v>93.443975914636823</v>
      </c>
      <c r="G51" s="21">
        <f t="shared" si="4"/>
        <v>966.81577293155567</v>
      </c>
      <c r="H51" s="21">
        <f t="shared" si="2"/>
        <v>4033.1842270684442</v>
      </c>
    </row>
    <row r="52" spans="1:8" x14ac:dyDescent="0.3">
      <c r="A52" s="2">
        <v>46272</v>
      </c>
      <c r="B52" s="23">
        <f t="shared" si="3"/>
        <v>51</v>
      </c>
      <c r="C52" s="3"/>
      <c r="D52" s="4">
        <f t="shared" si="0"/>
        <v>100</v>
      </c>
      <c r="E52" s="4">
        <f t="shared" si="1"/>
        <v>5.9782213748527342</v>
      </c>
      <c r="F52" s="4">
        <f t="shared" si="5"/>
        <v>94.021778625147263</v>
      </c>
      <c r="G52" s="4">
        <f t="shared" si="4"/>
        <v>872.79399430640842</v>
      </c>
      <c r="H52" s="4">
        <f t="shared" si="2"/>
        <v>4127.2060056935916</v>
      </c>
    </row>
    <row r="53" spans="1:8" x14ac:dyDescent="0.3">
      <c r="A53" s="19">
        <v>46272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5.3968458714575087</v>
      </c>
      <c r="F53" s="21">
        <f t="shared" si="5"/>
        <v>94.603154128542485</v>
      </c>
      <c r="G53" s="21">
        <f t="shared" si="4"/>
        <v>778.19084017786599</v>
      </c>
      <c r="H53" s="21">
        <f t="shared" si="2"/>
        <v>4221.8091598221345</v>
      </c>
    </row>
    <row r="54" spans="1:8" x14ac:dyDescent="0.3">
      <c r="A54" s="2">
        <v>46272</v>
      </c>
      <c r="B54" s="23">
        <f t="shared" si="3"/>
        <v>53</v>
      </c>
      <c r="C54" s="3"/>
      <c r="D54" s="4">
        <f t="shared" si="0"/>
        <v>100</v>
      </c>
      <c r="E54" s="4">
        <f t="shared" si="1"/>
        <v>4.8118754831229591</v>
      </c>
      <c r="F54" s="4">
        <f t="shared" si="5"/>
        <v>95.188124516877039</v>
      </c>
      <c r="G54" s="4">
        <f t="shared" si="4"/>
        <v>683.002715660989</v>
      </c>
      <c r="H54" s="4">
        <f t="shared" si="2"/>
        <v>4316.9972843390115</v>
      </c>
    </row>
    <row r="55" spans="1:8" x14ac:dyDescent="0.3">
      <c r="A55" s="19">
        <v>46272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4.2232879811902375</v>
      </c>
      <c r="F55" s="21">
        <f t="shared" si="5"/>
        <v>95.776712018809761</v>
      </c>
      <c r="G55" s="21">
        <f t="shared" si="4"/>
        <v>587.22600364217919</v>
      </c>
      <c r="H55" s="21">
        <f t="shared" si="2"/>
        <v>4412.7739963578206</v>
      </c>
    </row>
    <row r="56" spans="1:8" x14ac:dyDescent="0.3">
      <c r="A56" s="2">
        <v>46272</v>
      </c>
      <c r="B56" s="23">
        <f t="shared" si="3"/>
        <v>55</v>
      </c>
      <c r="C56" s="3"/>
      <c r="D56" s="4">
        <f t="shared" si="0"/>
        <v>100</v>
      </c>
      <c r="E56" s="4">
        <f t="shared" si="1"/>
        <v>3.6310609995515151</v>
      </c>
      <c r="F56" s="4">
        <f t="shared" si="5"/>
        <v>96.368939000448478</v>
      </c>
      <c r="G56" s="4">
        <f t="shared" si="4"/>
        <v>490.85706464173074</v>
      </c>
      <c r="H56" s="4">
        <f t="shared" si="2"/>
        <v>4509.1429353582689</v>
      </c>
    </row>
    <row r="57" spans="1:8" x14ac:dyDescent="0.3">
      <c r="A57" s="19">
        <v>46272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3.0351720338000785</v>
      </c>
      <c r="F57" s="21">
        <f t="shared" si="5"/>
        <v>96.96482796619992</v>
      </c>
      <c r="G57" s="21">
        <f t="shared" si="4"/>
        <v>393.89223667553085</v>
      </c>
      <c r="H57" s="21">
        <f t="shared" si="2"/>
        <v>4606.1077633244695</v>
      </c>
    </row>
    <row r="58" spans="1:8" x14ac:dyDescent="0.3">
      <c r="A58" s="2">
        <v>46272</v>
      </c>
      <c r="B58" s="23">
        <f t="shared" si="3"/>
        <v>57</v>
      </c>
      <c r="C58" s="3"/>
      <c r="D58" s="4">
        <f t="shared" si="0"/>
        <v>100</v>
      </c>
      <c r="E58" s="4">
        <f t="shared" si="1"/>
        <v>2.4355984403751689</v>
      </c>
      <c r="F58" s="4">
        <f t="shared" si="5"/>
        <v>97.564401559624827</v>
      </c>
      <c r="G58" s="4">
        <f t="shared" si="4"/>
        <v>296.32783511590605</v>
      </c>
      <c r="H58" s="4">
        <f t="shared" si="2"/>
        <v>4703.6721648840939</v>
      </c>
    </row>
    <row r="59" spans="1:8" x14ac:dyDescent="0.3">
      <c r="A59" s="19">
        <v>46272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1.8323174357015355</v>
      </c>
      <c r="F59" s="21">
        <f t="shared" si="5"/>
        <v>98.16768256429846</v>
      </c>
      <c r="G59" s="21">
        <f t="shared" si="4"/>
        <v>198.16015255160761</v>
      </c>
      <c r="H59" s="21">
        <f t="shared" si="2"/>
        <v>4801.839847448392</v>
      </c>
    </row>
    <row r="60" spans="1:8" x14ac:dyDescent="0.3">
      <c r="A60" s="2">
        <v>46272</v>
      </c>
      <c r="B60" s="23">
        <f t="shared" si="3"/>
        <v>59</v>
      </c>
      <c r="C60" s="3"/>
      <c r="D60" s="4">
        <f t="shared" si="0"/>
        <v>100</v>
      </c>
      <c r="E60" s="4">
        <f t="shared" si="1"/>
        <v>1.2253060953236687</v>
      </c>
      <c r="F60" s="4">
        <f t="shared" si="5"/>
        <v>98.774693904676326</v>
      </c>
      <c r="G60" s="4">
        <f t="shared" si="4"/>
        <v>99.385458646931284</v>
      </c>
      <c r="H60" s="4">
        <f t="shared" si="2"/>
        <v>4900.6145413530685</v>
      </c>
    </row>
    <row r="61" spans="1:8" x14ac:dyDescent="0.3">
      <c r="A61" s="19">
        <v>46272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0.61454135303467883</v>
      </c>
      <c r="F61" s="21">
        <f t="shared" si="5"/>
        <v>99.385458646965319</v>
      </c>
      <c r="G61" s="21">
        <f t="shared" si="4"/>
        <v>-3.4034997042908799E-11</v>
      </c>
      <c r="H61" s="21">
        <f t="shared" si="2"/>
        <v>5000.0000000000337</v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6" sqref="A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L20000D120-Pratima-N221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66" si="2">IF(AND($A3&lt;&gt;"",$B3&lt;&gt;""),$K$7-G3,"")</f>
        <v>275.86159596529615</v>
      </c>
      <c r="J3" s="5" t="s">
        <v>10</v>
      </c>
      <c r="K3" s="27" t="s">
        <v>21</v>
      </c>
    </row>
    <row r="4" spans="1:12" x14ac:dyDescent="0.3">
      <c r="A4" s="2">
        <v>46275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7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7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8">
        <v>20000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3.1141819460012141E-3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200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4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23200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19446.555966324511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553.44403367548875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46273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46393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209</vt:lpstr>
      <vt:lpstr>221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2026-09-12T08:25:03Z</dcterms:modified>
</cp:coreProperties>
</file>