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7" i="4"/>
  <c r="B8" i="4"/>
  <c r="B9" i="4"/>
  <c r="B10" i="4"/>
  <c r="B11" i="4"/>
  <c r="K16" i="4" l="1"/>
  <c r="K17" i="4" s="1"/>
  <c r="K2" i="4" l="1"/>
  <c r="K12" i="4" l="1"/>
  <c r="K13" i="4" s="1"/>
  <c r="E13" i="4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H13" i="4"/>
  <c r="E14" i="4"/>
  <c r="F14" i="4" s="1"/>
  <c r="G14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H14" i="4"/>
  <c r="E15" i="4"/>
  <c r="F15" i="4" s="1"/>
  <c r="G15" i="4" s="1"/>
  <c r="E7" i="4"/>
  <c r="F7" i="4" s="1"/>
  <c r="G7" i="4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8" i="4"/>
  <c r="F8" i="4" s="1"/>
  <c r="G8" i="4" s="1"/>
  <c r="H7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H8" i="4"/>
  <c r="E9" i="4"/>
  <c r="F9" i="4" s="1"/>
  <c r="G9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E10" i="4"/>
  <c r="F10" i="4" s="1"/>
  <c r="G10" i="4" s="1"/>
  <c r="H9" i="4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H11" i="4"/>
  <c r="E12" i="4"/>
  <c r="F12" i="4" s="1"/>
  <c r="G12" i="4" s="1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K14" i="4" s="1"/>
  <c r="H84" i="4"/>
  <c r="E85" i="4"/>
  <c r="F85" i="4" s="1"/>
  <c r="G85" i="4" s="1"/>
  <c r="H6" i="4" l="1"/>
  <c r="K15" i="4" s="1"/>
  <c r="H85" i="4"/>
  <c r="E86" i="4"/>
  <c r="F86" i="4" s="1"/>
  <c r="G86" i="4" s="1"/>
  <c r="H86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<sst xmlns="http://schemas.openxmlformats.org/spreadsheetml/2006/main" count="25" uniqueCount="24">
  <si>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</si>
  <si>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</si>
  <si>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</si>
  <si>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</si>
  <si>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</si>
  <si>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</si>
  <si>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</si>
  <si>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</si>
  <si>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</si>
  <si>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</si>
  <si>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</si>
  <si>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</si>
  <si>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</si>
  <si>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</si>
  <si>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</si>
  <si>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</si>
  <si>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</si>
  <si>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</si>
  <si>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</si>
  <si>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</si>
  <si>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</si>
  <si>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Pratima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</si>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</sst>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46178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L10000D120-Pratima-NLoan1</v>
      </c>
    </row>
    <row r="3" spans="1:12" x14ac:dyDescent="0.3">
      <c r="A3" s="19">
        <v>46179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46180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46182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46183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46184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46185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46186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46187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46188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46190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19</v>
      </c>
    </row>
    <row r="13" spans="1:12" x14ac:dyDescent="0.3">
      <c r="A13" s="19">
        <v>46192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22</v>
      </c>
      <c r="K13" s="12">
        <f>(K10*K9)-K9*K12</f>
        <v>10100</v>
      </c>
    </row>
    <row r="14" spans="1:12" x14ac:dyDescent="0.3">
      <c r="A14" s="2">
        <v>46193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23</v>
      </c>
      <c r="K14" s="12">
        <f>IF(A2="", K9*K10, IFERROR(INDEX($G:$G, MATCH($K$12, $B:$B, 0)), 0))</f>
        <v>8654.3706289841193</v>
      </c>
    </row>
    <row r="15" spans="1:12" ht="17.25" thickBot="1" x14ac:dyDescent="0.35">
      <c r="A15" s="19">
        <v>46194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1345.6293710158807</v>
      </c>
    </row>
    <row r="16" spans="1:12" x14ac:dyDescent="0.3">
      <c r="A16" s="2">
        <v>46195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46178</v>
      </c>
    </row>
    <row r="17" spans="1:11" x14ac:dyDescent="0.3">
      <c r="A17" s="19">
        <v>46196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46298</v>
      </c>
    </row>
    <row r="18" spans="1:11" x14ac:dyDescent="0.3">
      <c r="A18" s="2">
        <v>46197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46199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46199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DiEaF4cIciX4XA88UkRocQx7ujTBWEH9vcNnPtkt5AzvtATGftA/0UDdh6qxGa0FbbGF7EwED91zE01NtGHWQ==" saltValue="jwn+/pHeteXDQw6pCvBTN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2026-06-27T06:34:27Z</dcterms:modified>
</cp:coreProperties>
</file>