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17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2" i="5"/>
  <c r="K16" i="5" l="1"/>
  <c r="K2" i="5"/>
  <c r="K17" i="5" l="1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K13" i="5" l="1"/>
  <c r="K8" i="5" l="1"/>
  <c r="E2" i="5" s="1"/>
  <c r="F2" i="5" s="1"/>
  <c r="G2" i="5" s="1"/>
  <c r="H2" i="5" s="1"/>
  <c r="E3" i="5" l="1"/>
  <c r="F3" i="5" s="1"/>
  <c r="G3" i="5" s="1"/>
  <c r="E4" i="5" s="1"/>
  <c r="F4" i="5" s="1"/>
  <c r="G4" i="5" s="1"/>
  <c r="H4" i="5" s="1"/>
  <c r="H3" i="5" l="1"/>
  <c r="E5" i="5"/>
  <c r="F5" i="5" s="1"/>
  <c r="G5" i="5" s="1"/>
  <c r="H5" i="5" l="1"/>
  <c r="E6" i="5"/>
  <c r="F6" i="5" s="1"/>
  <c r="G6" i="5" s="1"/>
  <c r="H6" i="5" s="1"/>
  <c r="E7" i="5" l="1"/>
  <c r="F7" i="5" s="1"/>
  <c r="G7" i="5" s="1"/>
  <c r="H7" i="5" s="1"/>
  <c r="E8" i="5" l="1"/>
  <c r="F8" i="5" s="1"/>
  <c r="G8" i="5" s="1"/>
  <c r="H8" i="5" s="1"/>
  <c r="E9" i="5" l="1"/>
  <c r="F9" i="5" s="1"/>
  <c r="G9" i="5" s="1"/>
  <c r="H9" i="5" s="1"/>
  <c r="E10" i="5" l="1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s="1"/>
  <c r="E14" i="5" l="1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4" i="5"/>
  <c r="K15" i="5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<sst xmlns="http://schemas.openxmlformats.org/spreadsheetml/2006/main" count="25" uniqueCount="24">
  <si>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</si>
  <si>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</si>
  <si>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</si>
  <si>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</si>
  <si>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</si>
  <si>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</si>
  <si>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</si>
  <si>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</si>
  <si>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</si>
  <si>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</si>
  <si>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</si>
  <si>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</si>
  <si>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</si>
  <si>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</si>
  <si>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</si>
  <si>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</si>
  <si>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</si>
  <si>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</si>
  <si>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</si>
  <si>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</si>
  <si>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</si>
  <si>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Out(Int + Principal)</t>
  </si>
  <si>
    <t>Principal Outstanding</t>
  </si>
  <si>
    <t>Guni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</si>
</sst>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pane ySplit="1" topLeftCell="A2" activePane="bottomLeft" state="frozen"/>
      <selection pane="bottomLeft" activeCell="A8" sqref="A8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46269</v>
      </c>
      <c r="B2" s="22">
        <f>IF(A2&lt;&gt;"",1,"")</f>
        <v>1</v>
      </c>
      <c r="C2" s="3"/>
      <c r="D2" s="1">
        <f t="shared" ref="D2:D18" si="0">IF(AND($A2&lt;&gt;"",$B2&lt;&gt;""),$K$9,"")</f>
        <v>2100</v>
      </c>
      <c r="E2" s="1">
        <f>IF(AND($A2&lt;&gt;"",$B2&lt;&gt;""),$K$7*$K$8,"")</f>
        <v>601.54686238338741</v>
      </c>
      <c r="F2" s="1">
        <f>IF(AND($A2&lt;&gt;"",$B2&lt;&gt;""),D2-E2,"")</f>
        <v>1498.4531376166126</v>
      </c>
      <c r="G2" s="1">
        <f>IF(AND($A2&lt;&gt;"",$B2&lt;&gt;""),$K$7-F2,"")</f>
        <v>28501.546862383388</v>
      </c>
      <c r="H2" s="1">
        <f>IF(AND($A2&lt;&gt;"",$B2&lt;&gt;""),$K$7-G2,"")</f>
        <v>1498.4531376166124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L30000W17-Guni-N217</v>
      </c>
    </row>
    <row r="3" spans="1:11" x14ac:dyDescent="0.3">
      <c r="A3" s="19">
        <v>46274</v>
      </c>
      <c r="B3" s="23">
        <f>IF(A3&lt;&gt;"",B2+1,"")</f>
        <v>2</v>
      </c>
      <c r="C3" s="20"/>
      <c r="D3" s="21">
        <f t="shared" si="0"/>
        <v>2100</v>
      </c>
      <c r="E3" s="21">
        <f t="shared" ref="E3:E18" si="1">IF(AND($A3&lt;&gt;"",$B3&lt;&gt;""),G2*$K$8,"")</f>
        <v>571.50053627132684</v>
      </c>
      <c r="F3" s="21">
        <f>IF(AND($A3&lt;&gt;"",$B3&lt;&gt;""),D3-E3,"")</f>
        <v>1528.4994637286732</v>
      </c>
      <c r="G3" s="21">
        <f>IF(AND($A3&lt;&gt;"",$B3&lt;&gt;""),G2-F3,"")</f>
        <v>26973.047398654715</v>
      </c>
      <c r="H3" s="21">
        <f t="shared" ref="H3:H18" si="2">IF(AND($A3&lt;&gt;"",$B3&lt;&gt;""),$K$7-G3,"")</f>
        <v>3026.9526013452851</v>
      </c>
      <c r="J3" s="4" t="s">
        <v>10</v>
      </c>
      <c r="K3" s="26" t="s">
        <v>23</v>
      </c>
    </row>
    <row r="4" spans="1:11" x14ac:dyDescent="0.3">
      <c r="A4" s="2">
        <v>46281</v>
      </c>
      <c r="B4" s="22">
        <f t="shared" ref="B4:B18" si="3">IF(A4&lt;&gt;"",B3+1,"")</f>
        <v>3</v>
      </c>
      <c r="C4" s="3"/>
      <c r="D4" s="1">
        <f t="shared" si="0"/>
        <v>2100</v>
      </c>
      <c r="E4" s="1">
        <f t="shared" si="1"/>
        <v>540.8517343859711</v>
      </c>
      <c r="F4" s="1">
        <f t="shared" ref="F4:F18" si="4">IF(AND($A4&lt;&gt;"",$B4&lt;&gt;""),D4-E4,"")</f>
        <v>1559.1482656140288</v>
      </c>
      <c r="G4" s="1">
        <f t="shared" ref="G4:G18" si="5">IF(AND($A4&lt;&gt;"",$B4&lt;&gt;""),G3-F4,"")</f>
        <v>25413.899133040686</v>
      </c>
      <c r="H4" s="1">
        <f t="shared" si="2"/>
        <v>4586.1008669593139</v>
      </c>
      <c r="J4" s="4" t="s">
        <v>11</v>
      </c>
      <c r="K4" s="26"/>
    </row>
    <row r="5" spans="1:11" x14ac:dyDescent="0.3">
      <c r="A5" s="19">
        <v>46288</v>
      </c>
      <c r="B5" s="23">
        <f t="shared" si="3"/>
        <v>4</v>
      </c>
      <c r="C5" s="20"/>
      <c r="D5" s="21">
        <f t="shared" si="0"/>
        <v>2100</v>
      </c>
      <c r="E5" s="21">
        <f t="shared" si="1"/>
        <v>509.58837614695045</v>
      </c>
      <c r="F5" s="21">
        <f t="shared" si="4"/>
        <v>1590.4116238530496</v>
      </c>
      <c r="G5" s="21">
        <f t="shared" si="5"/>
        <v>23823.487509187638</v>
      </c>
      <c r="H5" s="21">
        <f t="shared" si="2"/>
        <v>6176.5124908123616</v>
      </c>
      <c r="J5" s="4" t="s">
        <v>12</v>
      </c>
      <c r="K5" s="26"/>
    </row>
    <row r="6" spans="1:11" x14ac:dyDescent="0.3">
      <c r="A6" s="2">
        <v>46295</v>
      </c>
      <c r="B6" s="22">
        <f t="shared" si="3"/>
        <v>5</v>
      </c>
      <c r="C6" s="3"/>
      <c r="D6" s="1">
        <f t="shared" si="0"/>
        <v>2100</v>
      </c>
      <c r="E6" s="1">
        <f t="shared" si="1"/>
        <v>477.69813873938818</v>
      </c>
      <c r="F6" s="1">
        <f t="shared" si="4"/>
        <v>1622.3018612606118</v>
      </c>
      <c r="G6" s="1">
        <f t="shared" si="5"/>
        <v>22201.185647927028</v>
      </c>
      <c r="H6" s="1">
        <f t="shared" si="2"/>
        <v>7798.8143520729718</v>
      </c>
      <c r="J6" s="4" t="s">
        <v>13</v>
      </c>
      <c r="K6" s="26"/>
    </row>
    <row r="7" spans="1:11" x14ac:dyDescent="0.3">
      <c r="A7" s="19">
        <v>46302</v>
      </c>
      <c r="B7" s="23">
        <f t="shared" si="3"/>
        <v>6</v>
      </c>
      <c r="C7" s="20"/>
      <c r="D7" s="21">
        <f t="shared" si="0"/>
        <v>2100</v>
      </c>
      <c r="E7" s="21">
        <f t="shared" si="1"/>
        <v>445.16845225671983</v>
      </c>
      <c r="F7" s="21">
        <f t="shared" si="4"/>
        <v>1654.8315477432802</v>
      </c>
      <c r="G7" s="21">
        <f t="shared" si="5"/>
        <v>20546.354100183748</v>
      </c>
      <c r="H7" s="21">
        <f t="shared" si="2"/>
        <v>9453.6458998162525</v>
      </c>
      <c r="J7" s="4" t="s">
        <v>6</v>
      </c>
      <c r="K7" s="27">
        <v>30000</v>
      </c>
    </row>
    <row r="8" spans="1:11" x14ac:dyDescent="0.3">
      <c r="A8" s="2"/>
      <c r="B8" s="22" t="str">
        <f t="shared" si="3"/>
        <v/>
      </c>
      <c r="C8" s="3"/>
      <c r="D8" s="1" t="str">
        <f t="shared" si="0"/>
        <v/>
      </c>
      <c r="E8" s="1" t="str">
        <f t="shared" si="1"/>
        <v/>
      </c>
      <c r="F8" s="1" t="str">
        <f t="shared" si="4"/>
        <v/>
      </c>
      <c r="G8" s="1" t="str">
        <f t="shared" si="5"/>
        <v/>
      </c>
      <c r="H8" s="1" t="str">
        <f t="shared" si="2"/>
        <v/>
      </c>
      <c r="J8" s="4" t="s">
        <v>14</v>
      </c>
      <c r="K8" s="6">
        <f>RATE(K10,-K9,K7)</f>
        <v>2.0051562079446247E-2</v>
      </c>
    </row>
    <row r="9" spans="1:11" x14ac:dyDescent="0.3">
      <c r="A9" s="19"/>
      <c r="B9" s="23" t="str">
        <f t="shared" si="3"/>
        <v/>
      </c>
      <c r="C9" s="20"/>
      <c r="D9" s="21" t="str">
        <f t="shared" si="0"/>
        <v/>
      </c>
      <c r="E9" s="21" t="str">
        <f t="shared" si="1"/>
        <v/>
      </c>
      <c r="F9" s="21" t="str">
        <f t="shared" si="4"/>
        <v/>
      </c>
      <c r="G9" s="21" t="str">
        <f t="shared" si="5"/>
        <v/>
      </c>
      <c r="H9" s="21" t="str">
        <f t="shared" si="2"/>
        <v/>
      </c>
      <c r="J9" s="4" t="s">
        <v>7</v>
      </c>
      <c r="K9" s="28">
        <v>2100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9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6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21</v>
      </c>
      <c r="K13" s="11">
        <f>(K10*K9)-K9*K12</f>
        <v>23100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22</v>
      </c>
      <c r="K14" s="11">
        <f>IF(A2="", K9*K10, IFERROR(INDEX($G:$G, MATCH($K$12, $B:$B, 0)), 0))</f>
        <v>20546.354100183748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9453.6458998162525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46269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46388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sheetProtection algorithmName="SHA-512" hashValue="7yI+izlIteEFB5AAwDvg1y34kMaRdn2zkdICuBVpUy+l8hBGD2XadCAmNwRvlqpKFFdwkO6lgwHbJqgs4Mqxsg==" saltValue="k1ngp1D5U8OI70ytiKa8R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2026-10-13T06:05:32Z</dcterms:modified>
</cp:coreProperties>
</file>