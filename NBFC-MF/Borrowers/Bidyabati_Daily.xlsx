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  <sheet name="Loan2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5" l="1"/>
  <c r="H121" i="5" s="1"/>
  <c r="B120" i="5"/>
  <c r="B119" i="5"/>
  <c r="H119" i="5" s="1"/>
  <c r="B118" i="5"/>
  <c r="B117" i="5"/>
  <c r="H117" i="5" s="1"/>
  <c r="B116" i="5"/>
  <c r="B115" i="5"/>
  <c r="H115" i="5" s="1"/>
  <c r="B114" i="5"/>
  <c r="B113" i="5"/>
  <c r="H113" i="5" s="1"/>
  <c r="B112" i="5"/>
  <c r="B111" i="5"/>
  <c r="H111" i="5" s="1"/>
  <c r="B110" i="5"/>
  <c r="B109" i="5"/>
  <c r="H109" i="5" s="1"/>
  <c r="B108" i="5"/>
  <c r="B107" i="5"/>
  <c r="H107" i="5" s="1"/>
  <c r="B106" i="5"/>
  <c r="G106" i="5" s="1"/>
  <c r="B105" i="5"/>
  <c r="B104" i="5"/>
  <c r="E104" i="5" s="1"/>
  <c r="B103" i="5"/>
  <c r="G103" i="5" s="1"/>
  <c r="B102" i="5"/>
  <c r="G102" i="5" s="1"/>
  <c r="B101" i="5"/>
  <c r="B100" i="5"/>
  <c r="G100" i="5" s="1"/>
  <c r="B99" i="5"/>
  <c r="G99" i="5" s="1"/>
  <c r="B98" i="5"/>
  <c r="G98" i="5" s="1"/>
  <c r="B97" i="5"/>
  <c r="B96" i="5"/>
  <c r="G96" i="5" s="1"/>
  <c r="B95" i="5"/>
  <c r="G95" i="5" s="1"/>
  <c r="B94" i="5"/>
  <c r="G94" i="5" s="1"/>
  <c r="B93" i="5"/>
  <c r="B92" i="5"/>
  <c r="G92" i="5" s="1"/>
  <c r="B91" i="5"/>
  <c r="G91" i="5" s="1"/>
  <c r="B90" i="5"/>
  <c r="G90" i="5" s="1"/>
  <c r="B89" i="5"/>
  <c r="B88" i="5"/>
  <c r="E88" i="5" s="1"/>
  <c r="B87" i="5"/>
  <c r="G87" i="5" s="1"/>
  <c r="B86" i="5"/>
  <c r="G86" i="5" s="1"/>
  <c r="B85" i="5"/>
  <c r="B84" i="5"/>
  <c r="G84" i="5" s="1"/>
  <c r="B83" i="5"/>
  <c r="G83" i="5" s="1"/>
  <c r="B82" i="5"/>
  <c r="G82" i="5" s="1"/>
  <c r="B81" i="5"/>
  <c r="B80" i="5"/>
  <c r="G80" i="5" s="1"/>
  <c r="B79" i="5"/>
  <c r="G79" i="5" s="1"/>
  <c r="B78" i="5"/>
  <c r="G78" i="5" s="1"/>
  <c r="B77" i="5"/>
  <c r="B76" i="5"/>
  <c r="G76" i="5" s="1"/>
  <c r="B75" i="5"/>
  <c r="G75" i="5" s="1"/>
  <c r="B74" i="5"/>
  <c r="G74" i="5" s="1"/>
  <c r="B73" i="5"/>
  <c r="F73" i="5" s="1"/>
  <c r="B72" i="5"/>
  <c r="F72" i="5" s="1"/>
  <c r="B71" i="5"/>
  <c r="G71" i="5" s="1"/>
  <c r="B70" i="5"/>
  <c r="F70" i="5" s="1"/>
  <c r="B69" i="5"/>
  <c r="G69" i="5" s="1"/>
  <c r="B68" i="5"/>
  <c r="H68" i="5" s="1"/>
  <c r="B67" i="5"/>
  <c r="B66" i="5"/>
  <c r="F66" i="5" s="1"/>
  <c r="B65" i="5"/>
  <c r="G65" i="5" s="1"/>
  <c r="B64" i="5"/>
  <c r="G64" i="5" s="1"/>
  <c r="B63" i="5"/>
  <c r="G63" i="5" s="1"/>
  <c r="B62" i="5"/>
  <c r="E62" i="5" s="1"/>
  <c r="B61" i="5"/>
  <c r="G61" i="5" s="1"/>
  <c r="B60" i="5"/>
  <c r="G60" i="5" s="1"/>
  <c r="B59" i="5"/>
  <c r="G59" i="5" s="1"/>
  <c r="B58" i="5"/>
  <c r="G58" i="5" s="1"/>
  <c r="B57" i="5"/>
  <c r="F57" i="5" s="1"/>
  <c r="B56" i="5"/>
  <c r="G56" i="5" s="1"/>
  <c r="B55" i="5"/>
  <c r="F55" i="5" s="1"/>
  <c r="B54" i="5"/>
  <c r="G54" i="5" s="1"/>
  <c r="B53" i="5"/>
  <c r="F53" i="5" s="1"/>
  <c r="B52" i="5"/>
  <c r="F52" i="5" s="1"/>
  <c r="B51" i="5"/>
  <c r="F51" i="5" s="1"/>
  <c r="B50" i="5"/>
  <c r="G50" i="5" s="1"/>
  <c r="B49" i="5"/>
  <c r="F49" i="5" s="1"/>
  <c r="B48" i="5"/>
  <c r="G48" i="5" s="1"/>
  <c r="B47" i="5"/>
  <c r="F47" i="5" s="1"/>
  <c r="B46" i="5"/>
  <c r="G46" i="5" s="1"/>
  <c r="B45" i="5"/>
  <c r="F45" i="5" s="1"/>
  <c r="B44" i="5"/>
  <c r="F44" i="5" s="1"/>
  <c r="B43" i="5"/>
  <c r="F43" i="5" s="1"/>
  <c r="B42" i="5"/>
  <c r="G42" i="5" s="1"/>
  <c r="B41" i="5"/>
  <c r="F41" i="5" s="1"/>
  <c r="B40" i="5"/>
  <c r="G40" i="5" s="1"/>
  <c r="B39" i="5"/>
  <c r="F39" i="5" s="1"/>
  <c r="B38" i="5"/>
  <c r="E38" i="5" s="1"/>
  <c r="B37" i="5"/>
  <c r="F37" i="5" s="1"/>
  <c r="B36" i="5"/>
  <c r="B35" i="5"/>
  <c r="B34" i="5"/>
  <c r="B33" i="5"/>
  <c r="B32" i="5"/>
  <c r="B31" i="5"/>
  <c r="B30" i="5"/>
  <c r="B29" i="5"/>
  <c r="B28" i="5"/>
  <c r="K16" i="5"/>
  <c r="K17" i="5" s="1"/>
  <c r="K8" i="5"/>
  <c r="K2" i="5"/>
  <c r="B2" i="5"/>
  <c r="B3" i="5" s="1"/>
  <c r="B4" i="5" s="1"/>
  <c r="D2" i="5" l="1"/>
  <c r="E102" i="5"/>
  <c r="E50" i="5"/>
  <c r="E86" i="5"/>
  <c r="D43" i="5"/>
  <c r="E57" i="5"/>
  <c r="D59" i="5"/>
  <c r="F58" i="5"/>
  <c r="E72" i="5"/>
  <c r="E94" i="5"/>
  <c r="E2" i="5"/>
  <c r="F2" i="5" s="1"/>
  <c r="G2" i="5" s="1"/>
  <c r="D49" i="5"/>
  <c r="F50" i="5"/>
  <c r="E61" i="5"/>
  <c r="G88" i="5"/>
  <c r="G104" i="5"/>
  <c r="E119" i="5"/>
  <c r="E49" i="5"/>
  <c r="G55" i="5"/>
  <c r="G66" i="5"/>
  <c r="E84" i="5"/>
  <c r="E100" i="5"/>
  <c r="E30" i="5"/>
  <c r="G49" i="5"/>
  <c r="E59" i="5"/>
  <c r="E65" i="5"/>
  <c r="E80" i="5"/>
  <c r="E82" i="5"/>
  <c r="E96" i="5"/>
  <c r="E98" i="5"/>
  <c r="E111" i="5"/>
  <c r="E51" i="5"/>
  <c r="F56" i="5"/>
  <c r="E76" i="5"/>
  <c r="E78" i="5"/>
  <c r="E92" i="5"/>
  <c r="D35" i="5"/>
  <c r="F35" i="5" s="1"/>
  <c r="G35" i="5" s="1"/>
  <c r="H35" i="5" s="1"/>
  <c r="D66" i="5"/>
  <c r="E74" i="5"/>
  <c r="E90" i="5"/>
  <c r="E106" i="5"/>
  <c r="D28" i="5"/>
  <c r="F30" i="5"/>
  <c r="G30" i="5" s="1"/>
  <c r="H30" i="5" s="1"/>
  <c r="E32" i="5"/>
  <c r="D33" i="5"/>
  <c r="E34" i="5"/>
  <c r="E35" i="5"/>
  <c r="G38" i="5"/>
  <c r="E40" i="5"/>
  <c r="D41" i="5"/>
  <c r="E42" i="5"/>
  <c r="E43" i="5"/>
  <c r="F48" i="5"/>
  <c r="G57" i="5"/>
  <c r="E60" i="5"/>
  <c r="E64" i="5"/>
  <c r="E69" i="5"/>
  <c r="D70" i="5"/>
  <c r="F71" i="5"/>
  <c r="E73" i="5"/>
  <c r="E109" i="5"/>
  <c r="E117" i="5"/>
  <c r="E28" i="5"/>
  <c r="F28" i="5" s="1"/>
  <c r="G28" i="5" s="1"/>
  <c r="H28" i="5" s="1"/>
  <c r="E33" i="5"/>
  <c r="F33" i="5" s="1"/>
  <c r="G33" i="5" s="1"/>
  <c r="H33" i="5" s="1"/>
  <c r="F40" i="5"/>
  <c r="E41" i="5"/>
  <c r="F42" i="5"/>
  <c r="F69" i="5"/>
  <c r="E70" i="5"/>
  <c r="G73" i="5"/>
  <c r="E107" i="5"/>
  <c r="E115" i="5"/>
  <c r="D30" i="5"/>
  <c r="G39" i="5"/>
  <c r="G41" i="5"/>
  <c r="G47" i="5"/>
  <c r="D51" i="5"/>
  <c r="D57" i="5"/>
  <c r="E58" i="5"/>
  <c r="G70" i="5"/>
  <c r="E113" i="5"/>
  <c r="E121" i="5"/>
  <c r="B5" i="5"/>
  <c r="D4" i="5"/>
  <c r="E44" i="5"/>
  <c r="D45" i="5"/>
  <c r="H46" i="5"/>
  <c r="D46" i="5"/>
  <c r="E52" i="5"/>
  <c r="D53" i="5"/>
  <c r="H54" i="5"/>
  <c r="D54" i="5"/>
  <c r="E29" i="5"/>
  <c r="E31" i="5"/>
  <c r="D32" i="5"/>
  <c r="F32" i="5" s="1"/>
  <c r="G32" i="5" s="1"/>
  <c r="H32" i="5" s="1"/>
  <c r="E37" i="5"/>
  <c r="D39" i="5"/>
  <c r="H40" i="5"/>
  <c r="D40" i="5"/>
  <c r="H41" i="5"/>
  <c r="G43" i="5"/>
  <c r="E45" i="5"/>
  <c r="E46" i="5"/>
  <c r="D47" i="5"/>
  <c r="H48" i="5"/>
  <c r="D48" i="5"/>
  <c r="H49" i="5"/>
  <c r="G51" i="5"/>
  <c r="E53" i="5"/>
  <c r="E54" i="5"/>
  <c r="D55" i="5"/>
  <c r="H56" i="5"/>
  <c r="D56" i="5"/>
  <c r="H57" i="5"/>
  <c r="H61" i="5"/>
  <c r="D61" i="5"/>
  <c r="F61" i="5"/>
  <c r="H65" i="5"/>
  <c r="D65" i="5"/>
  <c r="F65" i="5"/>
  <c r="F68" i="5"/>
  <c r="G68" i="5"/>
  <c r="E68" i="5"/>
  <c r="D68" i="5"/>
  <c r="H77" i="5"/>
  <c r="D77" i="5"/>
  <c r="F77" i="5"/>
  <c r="G77" i="5"/>
  <c r="E77" i="5"/>
  <c r="H81" i="5"/>
  <c r="D81" i="5"/>
  <c r="F81" i="5"/>
  <c r="G81" i="5"/>
  <c r="E81" i="5"/>
  <c r="H85" i="5"/>
  <c r="D85" i="5"/>
  <c r="F85" i="5"/>
  <c r="G85" i="5"/>
  <c r="E85" i="5"/>
  <c r="H89" i="5"/>
  <c r="D89" i="5"/>
  <c r="F89" i="5"/>
  <c r="G89" i="5"/>
  <c r="E89" i="5"/>
  <c r="H93" i="5"/>
  <c r="D93" i="5"/>
  <c r="F93" i="5"/>
  <c r="G93" i="5"/>
  <c r="E93" i="5"/>
  <c r="H97" i="5"/>
  <c r="D97" i="5"/>
  <c r="F97" i="5"/>
  <c r="G97" i="5"/>
  <c r="E97" i="5"/>
  <c r="H101" i="5"/>
  <c r="D101" i="5"/>
  <c r="F101" i="5"/>
  <c r="G101" i="5"/>
  <c r="E101" i="5"/>
  <c r="H105" i="5"/>
  <c r="D105" i="5"/>
  <c r="F105" i="5"/>
  <c r="G105" i="5"/>
  <c r="E105" i="5"/>
  <c r="F110" i="5"/>
  <c r="E110" i="5"/>
  <c r="H110" i="5"/>
  <c r="D110" i="5"/>
  <c r="G110" i="5"/>
  <c r="F118" i="5"/>
  <c r="E118" i="5"/>
  <c r="H118" i="5"/>
  <c r="D118" i="5"/>
  <c r="G118" i="5"/>
  <c r="D36" i="5"/>
  <c r="F36" i="5" s="1"/>
  <c r="G36" i="5" s="1"/>
  <c r="H36" i="5" s="1"/>
  <c r="H37" i="5"/>
  <c r="H44" i="5"/>
  <c r="D44" i="5"/>
  <c r="H45" i="5"/>
  <c r="H52" i="5"/>
  <c r="D52" i="5"/>
  <c r="H53" i="5"/>
  <c r="H63" i="5"/>
  <c r="D63" i="5"/>
  <c r="F63" i="5"/>
  <c r="H67" i="5"/>
  <c r="D67" i="5"/>
  <c r="G67" i="5"/>
  <c r="E67" i="5"/>
  <c r="F114" i="5"/>
  <c r="E114" i="5"/>
  <c r="H114" i="5"/>
  <c r="D114" i="5"/>
  <c r="G114" i="5"/>
  <c r="D29" i="5"/>
  <c r="F29" i="5" s="1"/>
  <c r="G29" i="5" s="1"/>
  <c r="H29" i="5" s="1"/>
  <c r="D31" i="5"/>
  <c r="F31" i="5" s="1"/>
  <c r="G31" i="5" s="1"/>
  <c r="H31" i="5" s="1"/>
  <c r="E36" i="5"/>
  <c r="D37" i="5"/>
  <c r="H38" i="5"/>
  <c r="D38" i="5"/>
  <c r="H39" i="5"/>
  <c r="H47" i="5"/>
  <c r="H55" i="5"/>
  <c r="F62" i="5"/>
  <c r="H62" i="5"/>
  <c r="D62" i="5"/>
  <c r="E63" i="5"/>
  <c r="F67" i="5"/>
  <c r="F112" i="5"/>
  <c r="E112" i="5"/>
  <c r="H112" i="5"/>
  <c r="D112" i="5"/>
  <c r="G112" i="5"/>
  <c r="F120" i="5"/>
  <c r="E120" i="5"/>
  <c r="H120" i="5"/>
  <c r="D120" i="5"/>
  <c r="G120" i="5"/>
  <c r="D3" i="5"/>
  <c r="D34" i="5"/>
  <c r="F34" i="5" s="1"/>
  <c r="G34" i="5" s="1"/>
  <c r="H34" i="5" s="1"/>
  <c r="G37" i="5"/>
  <c r="F38" i="5"/>
  <c r="E39" i="5"/>
  <c r="H42" i="5"/>
  <c r="D42" i="5"/>
  <c r="H43" i="5"/>
  <c r="G44" i="5"/>
  <c r="G45" i="5"/>
  <c r="F46" i="5"/>
  <c r="E47" i="5"/>
  <c r="E48" i="5"/>
  <c r="H50" i="5"/>
  <c r="D50" i="5"/>
  <c r="H51" i="5"/>
  <c r="G52" i="5"/>
  <c r="G53" i="5"/>
  <c r="F54" i="5"/>
  <c r="E55" i="5"/>
  <c r="E56" i="5"/>
  <c r="H58" i="5"/>
  <c r="D58" i="5"/>
  <c r="H59" i="5"/>
  <c r="F59" i="5"/>
  <c r="F60" i="5"/>
  <c r="H60" i="5"/>
  <c r="D60" i="5"/>
  <c r="G62" i="5"/>
  <c r="F64" i="5"/>
  <c r="H64" i="5"/>
  <c r="D64" i="5"/>
  <c r="F108" i="5"/>
  <c r="E108" i="5"/>
  <c r="H108" i="5"/>
  <c r="D108" i="5"/>
  <c r="G108" i="5"/>
  <c r="F116" i="5"/>
  <c r="E116" i="5"/>
  <c r="H116" i="5"/>
  <c r="D116" i="5"/>
  <c r="G116" i="5"/>
  <c r="E66" i="5"/>
  <c r="H69" i="5"/>
  <c r="D69" i="5"/>
  <c r="H70" i="5"/>
  <c r="G72" i="5"/>
  <c r="F76" i="5"/>
  <c r="H76" i="5"/>
  <c r="D76" i="5"/>
  <c r="F80" i="5"/>
  <c r="H80" i="5"/>
  <c r="D80" i="5"/>
  <c r="F84" i="5"/>
  <c r="H84" i="5"/>
  <c r="D84" i="5"/>
  <c r="F88" i="5"/>
  <c r="H88" i="5"/>
  <c r="D88" i="5"/>
  <c r="F92" i="5"/>
  <c r="H92" i="5"/>
  <c r="D92" i="5"/>
  <c r="F96" i="5"/>
  <c r="H96" i="5"/>
  <c r="D96" i="5"/>
  <c r="F100" i="5"/>
  <c r="H100" i="5"/>
  <c r="D100" i="5"/>
  <c r="F104" i="5"/>
  <c r="H104" i="5"/>
  <c r="D104" i="5"/>
  <c r="H71" i="5"/>
  <c r="D71" i="5"/>
  <c r="H72" i="5"/>
  <c r="H75" i="5"/>
  <c r="D75" i="5"/>
  <c r="F75" i="5"/>
  <c r="H79" i="5"/>
  <c r="D79" i="5"/>
  <c r="F79" i="5"/>
  <c r="H83" i="5"/>
  <c r="D83" i="5"/>
  <c r="F83" i="5"/>
  <c r="H87" i="5"/>
  <c r="D87" i="5"/>
  <c r="F87" i="5"/>
  <c r="H91" i="5"/>
  <c r="D91" i="5"/>
  <c r="F91" i="5"/>
  <c r="H95" i="5"/>
  <c r="D95" i="5"/>
  <c r="F95" i="5"/>
  <c r="H99" i="5"/>
  <c r="D99" i="5"/>
  <c r="F99" i="5"/>
  <c r="H103" i="5"/>
  <c r="D103" i="5"/>
  <c r="F103" i="5"/>
  <c r="H66" i="5"/>
  <c r="E71" i="5"/>
  <c r="D72" i="5"/>
  <c r="H73" i="5"/>
  <c r="D73" i="5"/>
  <c r="F74" i="5"/>
  <c r="H74" i="5"/>
  <c r="D74" i="5"/>
  <c r="E75" i="5"/>
  <c r="F78" i="5"/>
  <c r="H78" i="5"/>
  <c r="D78" i="5"/>
  <c r="E79" i="5"/>
  <c r="F82" i="5"/>
  <c r="H82" i="5"/>
  <c r="D82" i="5"/>
  <c r="E83" i="5"/>
  <c r="F86" i="5"/>
  <c r="H86" i="5"/>
  <c r="D86" i="5"/>
  <c r="E87" i="5"/>
  <c r="F90" i="5"/>
  <c r="H90" i="5"/>
  <c r="D90" i="5"/>
  <c r="E91" i="5"/>
  <c r="F94" i="5"/>
  <c r="H94" i="5"/>
  <c r="D94" i="5"/>
  <c r="E95" i="5"/>
  <c r="F98" i="5"/>
  <c r="H98" i="5"/>
  <c r="D98" i="5"/>
  <c r="E99" i="5"/>
  <c r="F102" i="5"/>
  <c r="H102" i="5"/>
  <c r="D102" i="5"/>
  <c r="E103" i="5"/>
  <c r="F106" i="5"/>
  <c r="H106" i="5"/>
  <c r="D106" i="5"/>
  <c r="F107" i="5"/>
  <c r="F109" i="5"/>
  <c r="F111" i="5"/>
  <c r="F113" i="5"/>
  <c r="F115" i="5"/>
  <c r="F117" i="5"/>
  <c r="F119" i="5"/>
  <c r="F121" i="5"/>
  <c r="G107" i="5"/>
  <c r="G109" i="5"/>
  <c r="G111" i="5"/>
  <c r="G113" i="5"/>
  <c r="G115" i="5"/>
  <c r="G117" i="5"/>
  <c r="G119" i="5"/>
  <c r="G121" i="5"/>
  <c r="D107" i="5"/>
  <c r="D109" i="5"/>
  <c r="D111" i="5"/>
  <c r="D113" i="5"/>
  <c r="D115" i="5"/>
  <c r="D117" i="5"/>
  <c r="D119" i="5"/>
  <c r="D121" i="5"/>
  <c r="D5" i="5" l="1"/>
  <c r="B6" i="5"/>
  <c r="H2" i="5"/>
  <c r="E3" i="5"/>
  <c r="F3" i="5" s="1"/>
  <c r="G3" i="5" s="1"/>
  <c r="H3" i="5" l="1"/>
  <c r="E4" i="5"/>
  <c r="F4" i="5" s="1"/>
  <c r="G4" i="5" s="1"/>
  <c r="B7" i="5"/>
  <c r="D6" i="5"/>
  <c r="H4" i="5" l="1"/>
  <c r="E5" i="5"/>
  <c r="F5" i="5" s="1"/>
  <c r="G5" i="5" s="1"/>
  <c r="D7" i="5"/>
  <c r="B8" i="5"/>
  <c r="H5" i="5" l="1"/>
  <c r="E6" i="5"/>
  <c r="F6" i="5" s="1"/>
  <c r="G6" i="5" s="1"/>
  <c r="B9" i="5"/>
  <c r="D8" i="5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6" i="4"/>
  <c r="B17" i="4"/>
  <c r="B10" i="5" l="1"/>
  <c r="D9" i="5"/>
  <c r="H6" i="5"/>
  <c r="E7" i="5"/>
  <c r="F7" i="5" s="1"/>
  <c r="G7" i="5" s="1"/>
  <c r="K16" i="4"/>
  <c r="K17" i="4" s="1"/>
  <c r="H7" i="5" l="1"/>
  <c r="E8" i="5"/>
  <c r="F8" i="5" s="1"/>
  <c r="G8" i="5" s="1"/>
  <c r="B11" i="5"/>
  <c r="D10" i="5"/>
  <c r="K2" i="4"/>
  <c r="H8" i="5" l="1"/>
  <c r="E9" i="5"/>
  <c r="F9" i="5" s="1"/>
  <c r="G9" i="5" s="1"/>
  <c r="B12" i="5"/>
  <c r="D11" i="5"/>
  <c r="K12" i="4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H9" i="5" l="1"/>
  <c r="E10" i="5"/>
  <c r="F10" i="5" s="1"/>
  <c r="G10" i="5" s="1"/>
  <c r="D12" i="5"/>
  <c r="B13" i="5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10" i="5" l="1"/>
  <c r="E11" i="5"/>
  <c r="F11" i="5" s="1"/>
  <c r="G11" i="5" s="1"/>
  <c r="B14" i="5"/>
  <c r="D13" i="5"/>
  <c r="H2" i="4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1" i="5" l="1"/>
  <c r="E12" i="5"/>
  <c r="F12" i="5" s="1"/>
  <c r="G12" i="5" s="1"/>
  <c r="D14" i="5"/>
  <c r="B15" i="5"/>
  <c r="B16" i="5" s="1"/>
  <c r="H107" i="4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6" i="4"/>
  <c r="F16" i="4" s="1"/>
  <c r="G16" i="4" s="1"/>
  <c r="B17" i="5" l="1"/>
  <c r="D16" i="5"/>
  <c r="H12" i="5"/>
  <c r="E13" i="5"/>
  <c r="F13" i="5" s="1"/>
  <c r="G13" i="5" s="1"/>
  <c r="D15" i="5"/>
  <c r="E109" i="4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B18" i="5" l="1"/>
  <c r="D17" i="5"/>
  <c r="H13" i="5"/>
  <c r="E14" i="5"/>
  <c r="F14" i="5" s="1"/>
  <c r="G14" i="5"/>
  <c r="E110" i="4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B19" i="5" l="1"/>
  <c r="D18" i="5"/>
  <c r="H14" i="5"/>
  <c r="E15" i="5"/>
  <c r="F15" i="5" s="1"/>
  <c r="G15" i="5" s="1"/>
  <c r="G111" i="4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9" i="4"/>
  <c r="F19" i="4" s="1"/>
  <c r="G19" i="4" s="1"/>
  <c r="H18" i="4"/>
  <c r="E16" i="5" l="1"/>
  <c r="F16" i="5" s="1"/>
  <c r="G16" i="5" s="1"/>
  <c r="B20" i="5"/>
  <c r="D19" i="5"/>
  <c r="H15" i="5"/>
  <c r="E112" i="4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B21" i="5" l="1"/>
  <c r="D20" i="5"/>
  <c r="H16" i="5"/>
  <c r="E17" i="5"/>
  <c r="F17" i="5" s="1"/>
  <c r="G17" i="5" s="1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7" i="5" l="1"/>
  <c r="E18" i="5"/>
  <c r="F18" i="5" s="1"/>
  <c r="G18" i="5" s="1"/>
  <c r="B22" i="5"/>
  <c r="D21" i="5"/>
  <c r="H113" i="4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18" i="5" l="1"/>
  <c r="E19" i="5"/>
  <c r="F19" i="5" s="1"/>
  <c r="G19" i="5" s="1"/>
  <c r="B23" i="5"/>
  <c r="D22" i="5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B24" i="5" l="1"/>
  <c r="D23" i="5"/>
  <c r="H19" i="5"/>
  <c r="E20" i="5"/>
  <c r="F20" i="5" s="1"/>
  <c r="G20" i="5" s="1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B25" i="5" l="1"/>
  <c r="B26" i="5" s="1"/>
  <c r="D24" i="5"/>
  <c r="H20" i="5"/>
  <c r="E21" i="5"/>
  <c r="F21" i="5" s="1"/>
  <c r="G21" i="5" s="1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B27" i="5" l="1"/>
  <c r="D26" i="5"/>
  <c r="D25" i="5"/>
  <c r="H21" i="5"/>
  <c r="E22" i="5"/>
  <c r="F22" i="5" s="1"/>
  <c r="G22" i="5" s="1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D27" i="5" l="1"/>
  <c r="K12" i="5"/>
  <c r="H22" i="5"/>
  <c r="E23" i="5"/>
  <c r="F23" i="5" s="1"/>
  <c r="G23" i="5" s="1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K13" i="5" l="1"/>
  <c r="H23" i="5"/>
  <c r="E24" i="5"/>
  <c r="F24" i="5" s="1"/>
  <c r="G24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24" i="5" l="1"/>
  <c r="E25" i="5"/>
  <c r="F25" i="5" s="1"/>
  <c r="G25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H25" i="5" l="1"/>
  <c r="E26" i="5"/>
  <c r="F26" i="5" s="1"/>
  <c r="G26" i="5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26" i="5" l="1"/>
  <c r="E27" i="5"/>
  <c r="F27" i="5" s="1"/>
  <c r="G27" i="5" s="1"/>
  <c r="H80" i="4"/>
  <c r="E81" i="4"/>
  <c r="F81" i="4" s="1"/>
  <c r="G81" i="4" s="1"/>
  <c r="H27" i="5" l="1"/>
  <c r="K15" i="5" s="1"/>
  <c r="K14" i="5"/>
  <c r="H81" i="4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H8" i="4" l="1"/>
  <c r="E9" i="4"/>
  <c r="F9" i="4" s="1"/>
  <c r="G9" i="4" s="1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K14" i="4" s="1"/>
  <c r="H15" i="4" l="1"/>
  <c r="K15" i="4" s="1"/>
</calcChain>
</file>

<file path=xl/sharedStrings.xml><?xml version="1.0" encoding="utf-8"?>
<sst xmlns="http://schemas.openxmlformats.org/spreadsheetml/2006/main" count="50" uniqueCount="25">
  <si>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</si>
  <si>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</si>
  <si>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</si>
  <si>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</si>
  <si>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</si>
  <si>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</si>
  <si>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</si>
  <si>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</si>
  <si>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</si>
  <si>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</si>
  <si>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</si>
  <si>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</si>
  <si>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</si>
  <si>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</si>
  <si>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</si>
  <si>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</si>
  <si>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</si>
  <si>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</si>
  <si>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</si>
  <si>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</si>
  <si>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</si>
  <si>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Bidyabati</t>
  </si>
  <si>
    <t>Bidyabati2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</si>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</sst>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30" activePane="bottomLeft" state="frozen"/>
      <selection pane="bottomLeft" activeCell="A43" sqref="A43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2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46170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L10000D120-Bidyabati-NLoan1</v>
      </c>
    </row>
    <row r="3" spans="1:12" x14ac:dyDescent="0.3">
      <c r="A3" s="19">
        <v>46171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46172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46173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46174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46175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46176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46177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46178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46179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42</v>
      </c>
    </row>
    <row r="13" spans="1:12" x14ac:dyDescent="0.3">
      <c r="A13" s="19">
        <v>46181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7800</v>
      </c>
    </row>
    <row r="14" spans="1:12" x14ac:dyDescent="0.3">
      <c r="A14" s="2">
        <v>46182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6915.4215609237572</v>
      </c>
    </row>
    <row r="15" spans="1:12" ht="17.25" thickBot="1" x14ac:dyDescent="0.35">
      <c r="A15" s="19">
        <v>46183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3084.5784390762428</v>
      </c>
    </row>
    <row r="16" spans="1:12" x14ac:dyDescent="0.3">
      <c r="A16" s="2">
        <v>46184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46170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46290</v>
      </c>
    </row>
    <row r="18" spans="1:11" x14ac:dyDescent="0.3">
      <c r="A18" s="2">
        <v>46186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46187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46188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46189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46190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46191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46192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46193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46194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46195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46196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46197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46198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46199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46200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46201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46202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46203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46204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46205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46206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46207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46208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46209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46210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46211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gsnSA7XEqUKO+URCLrdmjr4y1297qiWHlvRfuzxCY/FiSGGmZRA054+XMDwFbMu2JXp4kCkbqQhijFGZ5nYyMA==" saltValue="DlSbrT6Mn1nY+xa3c+Btq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3" activePane="bottomLeft" state="frozen"/>
      <selection pane="bottomLeft" activeCell="B36" sqref="B3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46177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L10000D120-Bidyabati2-NLoan2</v>
      </c>
    </row>
    <row r="3" spans="1:12" x14ac:dyDescent="0.3">
      <c r="A3" s="19">
        <v>46178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66" si="2">IF(AND($A3&lt;&gt;"",$B3&lt;&gt;""),$K$7-G3,"")</f>
        <v>137.93079798264807</v>
      </c>
      <c r="J3" s="5" t="s">
        <v>10</v>
      </c>
      <c r="K3" s="27" t="s">
        <v>22</v>
      </c>
    </row>
    <row r="4" spans="1:12" x14ac:dyDescent="0.3">
      <c r="A4" s="2">
        <v>46179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46180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46181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46182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46183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46184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46185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46186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46187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35</v>
      </c>
    </row>
    <row r="13" spans="1:12" x14ac:dyDescent="0.3">
      <c r="A13" s="19">
        <v>46188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8500</v>
      </c>
    </row>
    <row r="14" spans="1:12" x14ac:dyDescent="0.3">
      <c r="A14" s="2">
        <v>46189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7457.891976879012</v>
      </c>
    </row>
    <row r="15" spans="1:12" ht="17.25" thickBot="1" x14ac:dyDescent="0.35">
      <c r="A15" s="19">
        <v>46190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2542.108023120988</v>
      </c>
    </row>
    <row r="16" spans="1:12" x14ac:dyDescent="0.3">
      <c r="A16" s="2">
        <v>46191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46177</v>
      </c>
    </row>
    <row r="17" spans="1:11" x14ac:dyDescent="0.3">
      <c r="A17" s="19">
        <v>46192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46297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46195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46196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46197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46198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46199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46200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46201</v>
      </c>
      <c r="B26" s="23">
        <f>IF(A26&lt;&gt;"",B25+1,"")</f>
        <v>25</v>
      </c>
      <c r="C26" s="3"/>
      <c r="D26" s="4">
        <f>IF(AND($A26&lt;&gt;"",$B26&lt;&gt;""),$K$9,"")</f>
        <v>100</v>
      </c>
      <c r="E26" s="4">
        <f>IF(AND($A26&lt;&gt;"",$B26&lt;&gt;""),G25*$K$8,"")</f>
        <v>25.806743360863102</v>
      </c>
      <c r="F26" s="4">
        <f>IF(AND($A26&lt;&gt;"",$B26&lt;&gt;""),D26-E26,"")</f>
        <v>74.193256639136905</v>
      </c>
      <c r="G26" s="4">
        <f>IF(AND($A26&lt;&gt;"",$B26&lt;&gt;""),G25-F26,"")</f>
        <v>8212.6518308806917</v>
      </c>
      <c r="H26" s="4">
        <f>IF(AND($A26&lt;&gt;"",$B26&lt;&gt;""),$K$7-G26,"")</f>
        <v>1787.3481691193083</v>
      </c>
    </row>
    <row r="27" spans="1:11" x14ac:dyDescent="0.3">
      <c r="A27" s="19">
        <v>46202</v>
      </c>
      <c r="B27" s="24">
        <f>IF(A27&lt;&gt;"",B26+1,"")</f>
        <v>26</v>
      </c>
      <c r="C27" s="20"/>
      <c r="D27" s="21">
        <f>IF(AND($A27&lt;&gt;"",$B27&lt;&gt;""),$K$9,"")</f>
        <v>100</v>
      </c>
      <c r="E27" s="21">
        <f>IF(AND($A27&lt;&gt;"",$B27&lt;&gt;""),G26*$K$8,"")</f>
        <v>25.575692060522467</v>
      </c>
      <c r="F27" s="21">
        <f>IF(AND($A27&lt;&gt;"",$B27&lt;&gt;""),D27-E27,"")</f>
        <v>74.424307939477529</v>
      </c>
      <c r="G27" s="21">
        <f>IF(AND($A27&lt;&gt;"",$B27&lt;&gt;""),G26-F27,"")</f>
        <v>8138.2275229412144</v>
      </c>
      <c r="H27" s="21">
        <f>IF(AND($A27&lt;&gt;"",$B27&lt;&gt;""),$K$7-G27,"")</f>
        <v>1861.7724770587856</v>
      </c>
    </row>
    <row r="28" spans="1:11" x14ac:dyDescent="0.3">
      <c r="A28" s="2">
        <v>46203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46204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46205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46206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46207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46208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46209</v>
      </c>
      <c r="B34" s="23">
        <f t="shared" si="3"/>
        <v>33</v>
      </c>
      <c r="C34" s="3"/>
      <c r="D34" s="4">
        <f t="shared" si="0"/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46210</v>
      </c>
      <c r="B35" s="24">
        <f t="shared" si="3"/>
        <v>34</v>
      </c>
      <c r="C35" s="20"/>
      <c r="D35" s="21">
        <f t="shared" si="0"/>
        <v>100</v>
      </c>
      <c r="E35" s="21">
        <f t="shared" si="1"/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si="2"/>
        <v>2465.5716040052339</v>
      </c>
    </row>
    <row r="36" spans="1:8" x14ac:dyDescent="0.3">
      <c r="A36" s="2">
        <v>46211</v>
      </c>
      <c r="B36" s="23">
        <f t="shared" si="3"/>
        <v>35</v>
      </c>
      <c r="C36" s="3"/>
      <c r="D36" s="4">
        <f t="shared" si="0"/>
        <v>100</v>
      </c>
      <c r="E36" s="4">
        <f t="shared" si="1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2"/>
        <v>2542.108023120988</v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sheetProtection algorithmName="SHA-512" hashValue="vWb8i54XVKAaOS68sLVZ0XlIEat06AEkFXEiRXcim98gQTXteXqhJSxf2R5bmuzQgTzgqJypDrvYX1G0AIG7yQ==" saltValue="sJdqri2gDoYxDUXYT9BaH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Loan2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2026-07-09T09:35:43Z</dcterms:modified>
</cp:coreProperties>
</file>