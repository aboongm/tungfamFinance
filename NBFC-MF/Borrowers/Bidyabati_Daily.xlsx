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Loan1" sheetId="4" r:id="rId1"/>
    <sheet name="Loan2" sheetId="5" r:id="rId2"/>
    <sheet name="218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6" i="6" l="1"/>
  <c r="B95" i="6"/>
  <c r="K16" i="6"/>
  <c r="K17" i="6" s="1"/>
  <c r="K8" i="6"/>
  <c r="B3" i="6"/>
  <c r="K2" i="6"/>
  <c r="B2" i="6"/>
  <c r="D2" i="6" s="1"/>
  <c r="E2" i="6" l="1"/>
  <c r="F2" i="6" s="1"/>
  <c r="G2" i="6" s="1"/>
  <c r="B97" i="6"/>
  <c r="E96" i="6"/>
  <c r="E95" i="6"/>
  <c r="D3" i="6"/>
  <c r="B4" i="6"/>
  <c r="D95" i="6"/>
  <c r="F95" i="6" s="1"/>
  <c r="G95" i="6" s="1"/>
  <c r="H95" i="6" s="1"/>
  <c r="D96" i="6"/>
  <c r="F96" i="6" s="1"/>
  <c r="G96" i="6" s="1"/>
  <c r="H96" i="6" s="1"/>
  <c r="B86" i="5"/>
  <c r="B85" i="5"/>
  <c r="B84" i="5"/>
  <c r="B83" i="5"/>
  <c r="B82" i="5"/>
  <c r="B80" i="5"/>
  <c r="B81" i="5" s="1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E62" i="5" s="1"/>
  <c r="B61" i="5"/>
  <c r="B60" i="5"/>
  <c r="B59" i="5"/>
  <c r="B58" i="5"/>
  <c r="B57" i="5"/>
  <c r="B56" i="5"/>
  <c r="B55" i="5"/>
  <c r="B54" i="5"/>
  <c r="B47" i="5"/>
  <c r="B46" i="5"/>
  <c r="B45" i="5"/>
  <c r="B44" i="5"/>
  <c r="B43" i="5"/>
  <c r="B42" i="5"/>
  <c r="B41" i="5"/>
  <c r="B40" i="5"/>
  <c r="B39" i="5"/>
  <c r="B38" i="5"/>
  <c r="E38" i="5" s="1"/>
  <c r="B37" i="5"/>
  <c r="B36" i="5"/>
  <c r="B35" i="5"/>
  <c r="B34" i="5"/>
  <c r="B33" i="5"/>
  <c r="B32" i="5"/>
  <c r="B31" i="5"/>
  <c r="B30" i="5"/>
  <c r="B29" i="5"/>
  <c r="B28" i="5"/>
  <c r="K16" i="5"/>
  <c r="K17" i="5" s="1"/>
  <c r="K8" i="5"/>
  <c r="K2" i="5"/>
  <c r="B2" i="5"/>
  <c r="B3" i="5" s="1"/>
  <c r="B4" i="5" s="1"/>
  <c r="B98" i="6" l="1"/>
  <c r="D97" i="6"/>
  <c r="F97" i="6" s="1"/>
  <c r="G97" i="6" s="1"/>
  <c r="H97" i="6" s="1"/>
  <c r="E97" i="6"/>
  <c r="H2" i="6"/>
  <c r="E3" i="6"/>
  <c r="F3" i="6" s="1"/>
  <c r="G3" i="6" s="1"/>
  <c r="B5" i="6"/>
  <c r="D4" i="6"/>
  <c r="B87" i="5"/>
  <c r="D87" i="5" s="1"/>
  <c r="F47" i="5"/>
  <c r="G47" i="5" s="1"/>
  <c r="H47" i="5" s="1"/>
  <c r="B48" i="5"/>
  <c r="D2" i="5"/>
  <c r="E86" i="5"/>
  <c r="D43" i="5"/>
  <c r="E57" i="5"/>
  <c r="D59" i="5"/>
  <c r="E72" i="5"/>
  <c r="E2" i="5"/>
  <c r="F2" i="5" s="1"/>
  <c r="G2" i="5" s="1"/>
  <c r="E61" i="5"/>
  <c r="E84" i="5"/>
  <c r="E30" i="5"/>
  <c r="E59" i="5"/>
  <c r="E65" i="5"/>
  <c r="E80" i="5"/>
  <c r="E82" i="5"/>
  <c r="E76" i="5"/>
  <c r="E78" i="5"/>
  <c r="D35" i="5"/>
  <c r="F35" i="5" s="1"/>
  <c r="G35" i="5" s="1"/>
  <c r="H35" i="5" s="1"/>
  <c r="D66" i="5"/>
  <c r="F66" i="5" s="1"/>
  <c r="G66" i="5" s="1"/>
  <c r="H66" i="5" s="1"/>
  <c r="E74" i="5"/>
  <c r="D28" i="5"/>
  <c r="E32" i="5"/>
  <c r="D33" i="5"/>
  <c r="E34" i="5"/>
  <c r="E35" i="5"/>
  <c r="E40" i="5"/>
  <c r="D41" i="5"/>
  <c r="F41" i="5" s="1"/>
  <c r="G41" i="5" s="1"/>
  <c r="H41" i="5" s="1"/>
  <c r="E42" i="5"/>
  <c r="E43" i="5"/>
  <c r="E60" i="5"/>
  <c r="E64" i="5"/>
  <c r="E69" i="5"/>
  <c r="D70" i="5"/>
  <c r="F70" i="5" s="1"/>
  <c r="G70" i="5" s="1"/>
  <c r="H70" i="5" s="1"/>
  <c r="E73" i="5"/>
  <c r="E28" i="5"/>
  <c r="F28" i="5" s="1"/>
  <c r="G28" i="5" s="1"/>
  <c r="H28" i="5" s="1"/>
  <c r="E33" i="5"/>
  <c r="E41" i="5"/>
  <c r="E70" i="5"/>
  <c r="D30" i="5"/>
  <c r="F30" i="5" s="1"/>
  <c r="G30" i="5" s="1"/>
  <c r="H30" i="5" s="1"/>
  <c r="D57" i="5"/>
  <c r="F57" i="5" s="1"/>
  <c r="G57" i="5" s="1"/>
  <c r="H57" i="5" s="1"/>
  <c r="E58" i="5"/>
  <c r="B5" i="5"/>
  <c r="D4" i="5"/>
  <c r="E44" i="5"/>
  <c r="D45" i="5"/>
  <c r="D46" i="5"/>
  <c r="D54" i="5"/>
  <c r="E29" i="5"/>
  <c r="E31" i="5"/>
  <c r="D32" i="5"/>
  <c r="E37" i="5"/>
  <c r="D39" i="5"/>
  <c r="D40" i="5"/>
  <c r="F40" i="5" s="1"/>
  <c r="G40" i="5" s="1"/>
  <c r="H40" i="5" s="1"/>
  <c r="E45" i="5"/>
  <c r="E46" i="5"/>
  <c r="D47" i="5"/>
  <c r="D48" i="5"/>
  <c r="E54" i="5"/>
  <c r="F54" i="5" s="1"/>
  <c r="G54" i="5" s="1"/>
  <c r="H54" i="5" s="1"/>
  <c r="D55" i="5"/>
  <c r="F55" i="5" s="1"/>
  <c r="G55" i="5" s="1"/>
  <c r="H55" i="5" s="1"/>
  <c r="D56" i="5"/>
  <c r="F56" i="5" s="1"/>
  <c r="G56" i="5" s="1"/>
  <c r="H56" i="5" s="1"/>
  <c r="D61" i="5"/>
  <c r="F61" i="5"/>
  <c r="G61" i="5" s="1"/>
  <c r="H61" i="5" s="1"/>
  <c r="D65" i="5"/>
  <c r="F65" i="5" s="1"/>
  <c r="G65" i="5" s="1"/>
  <c r="H65" i="5" s="1"/>
  <c r="E68" i="5"/>
  <c r="D68" i="5"/>
  <c r="F68" i="5" s="1"/>
  <c r="G68" i="5" s="1"/>
  <c r="H68" i="5" s="1"/>
  <c r="D77" i="5"/>
  <c r="F77" i="5" s="1"/>
  <c r="G77" i="5" s="1"/>
  <c r="H77" i="5" s="1"/>
  <c r="E77" i="5"/>
  <c r="D81" i="5"/>
  <c r="D85" i="5"/>
  <c r="F85" i="5" s="1"/>
  <c r="G85" i="5" s="1"/>
  <c r="H85" i="5" s="1"/>
  <c r="E85" i="5"/>
  <c r="D36" i="5"/>
  <c r="D44" i="5"/>
  <c r="D63" i="5"/>
  <c r="F63" i="5" s="1"/>
  <c r="G63" i="5" s="1"/>
  <c r="H63" i="5" s="1"/>
  <c r="D67" i="5"/>
  <c r="E67" i="5"/>
  <c r="D29" i="5"/>
  <c r="F29" i="5" s="1"/>
  <c r="G29" i="5" s="1"/>
  <c r="H29" i="5" s="1"/>
  <c r="D31" i="5"/>
  <c r="F31" i="5" s="1"/>
  <c r="G31" i="5" s="1"/>
  <c r="H31" i="5" s="1"/>
  <c r="E36" i="5"/>
  <c r="D37" i="5"/>
  <c r="F37" i="5" s="1"/>
  <c r="G37" i="5" s="1"/>
  <c r="H37" i="5" s="1"/>
  <c r="D38" i="5"/>
  <c r="F62" i="5"/>
  <c r="G62" i="5" s="1"/>
  <c r="H62" i="5" s="1"/>
  <c r="D62" i="5"/>
  <c r="E63" i="5"/>
  <c r="D3" i="5"/>
  <c r="D34" i="5"/>
  <c r="F38" i="5"/>
  <c r="G38" i="5" s="1"/>
  <c r="H38" i="5" s="1"/>
  <c r="E39" i="5"/>
  <c r="D42" i="5"/>
  <c r="F42" i="5" s="1"/>
  <c r="G42" i="5" s="1"/>
  <c r="H42" i="5" s="1"/>
  <c r="F46" i="5"/>
  <c r="G46" i="5" s="1"/>
  <c r="H46" i="5" s="1"/>
  <c r="E47" i="5"/>
  <c r="E55" i="5"/>
  <c r="E56" i="5"/>
  <c r="D58" i="5"/>
  <c r="F58" i="5" s="1"/>
  <c r="G58" i="5" s="1"/>
  <c r="H58" i="5" s="1"/>
  <c r="F59" i="5"/>
  <c r="G59" i="5" s="1"/>
  <c r="H59" i="5" s="1"/>
  <c r="D60" i="5"/>
  <c r="F64" i="5"/>
  <c r="G64" i="5" s="1"/>
  <c r="H64" i="5" s="1"/>
  <c r="D64" i="5"/>
  <c r="E66" i="5"/>
  <c r="D69" i="5"/>
  <c r="F69" i="5" s="1"/>
  <c r="G69" i="5" s="1"/>
  <c r="H69" i="5" s="1"/>
  <c r="D76" i="5"/>
  <c r="D80" i="5"/>
  <c r="F80" i="5" s="1"/>
  <c r="G80" i="5" s="1"/>
  <c r="H80" i="5" s="1"/>
  <c r="D84" i="5"/>
  <c r="F84" i="5" s="1"/>
  <c r="G84" i="5" s="1"/>
  <c r="H84" i="5" s="1"/>
  <c r="D71" i="5"/>
  <c r="D75" i="5"/>
  <c r="F75" i="5" s="1"/>
  <c r="G75" i="5" s="1"/>
  <c r="H75" i="5" s="1"/>
  <c r="D79" i="5"/>
  <c r="D83" i="5"/>
  <c r="E71" i="5"/>
  <c r="D72" i="5"/>
  <c r="F72" i="5" s="1"/>
  <c r="G72" i="5" s="1"/>
  <c r="H72" i="5" s="1"/>
  <c r="D73" i="5"/>
  <c r="F73" i="5" s="1"/>
  <c r="G73" i="5" s="1"/>
  <c r="H73" i="5" s="1"/>
  <c r="D74" i="5"/>
  <c r="E75" i="5"/>
  <c r="D78" i="5"/>
  <c r="E79" i="5"/>
  <c r="D82" i="5"/>
  <c r="F82" i="5" s="1"/>
  <c r="G82" i="5" s="1"/>
  <c r="H82" i="5" s="1"/>
  <c r="E83" i="5"/>
  <c r="D86" i="5"/>
  <c r="F86" i="5" s="1"/>
  <c r="G86" i="5" s="1"/>
  <c r="B99" i="6" l="1"/>
  <c r="E98" i="6"/>
  <c r="D98" i="6"/>
  <c r="F98" i="6" s="1"/>
  <c r="G98" i="6" s="1"/>
  <c r="H98" i="6" s="1"/>
  <c r="H3" i="6"/>
  <c r="E4" i="6"/>
  <c r="F4" i="6" s="1"/>
  <c r="G4" i="6"/>
  <c r="H4" i="6" s="1"/>
  <c r="D5" i="6"/>
  <c r="B6" i="6"/>
  <c r="F83" i="5"/>
  <c r="G83" i="5" s="1"/>
  <c r="H83" i="5" s="1"/>
  <c r="F79" i="5"/>
  <c r="G79" i="5" s="1"/>
  <c r="H79" i="5" s="1"/>
  <c r="F78" i="5"/>
  <c r="G78" i="5" s="1"/>
  <c r="H78" i="5" s="1"/>
  <c r="F76" i="5"/>
  <c r="G76" i="5" s="1"/>
  <c r="H76" i="5" s="1"/>
  <c r="F71" i="5"/>
  <c r="G71" i="5" s="1"/>
  <c r="H71" i="5" s="1"/>
  <c r="F67" i="5"/>
  <c r="G67" i="5" s="1"/>
  <c r="H67" i="5" s="1"/>
  <c r="H86" i="5"/>
  <c r="E87" i="5"/>
  <c r="F87" i="5" s="1"/>
  <c r="G87" i="5" s="1"/>
  <c r="H87" i="5" s="1"/>
  <c r="B88" i="5"/>
  <c r="E81" i="5"/>
  <c r="F81" i="5" s="1"/>
  <c r="G81" i="5" s="1"/>
  <c r="H81" i="5" s="1"/>
  <c r="F74" i="5"/>
  <c r="G74" i="5" s="1"/>
  <c r="H74" i="5" s="1"/>
  <c r="F60" i="5"/>
  <c r="G60" i="5" s="1"/>
  <c r="H60" i="5" s="1"/>
  <c r="B49" i="5"/>
  <c r="E48" i="5"/>
  <c r="F48" i="5" s="1"/>
  <c r="G48" i="5" s="1"/>
  <c r="H48" i="5" s="1"/>
  <c r="F45" i="5"/>
  <c r="G45" i="5" s="1"/>
  <c r="H45" i="5" s="1"/>
  <c r="F44" i="5"/>
  <c r="G44" i="5" s="1"/>
  <c r="H44" i="5" s="1"/>
  <c r="F43" i="5"/>
  <c r="G43" i="5" s="1"/>
  <c r="H43" i="5" s="1"/>
  <c r="F39" i="5"/>
  <c r="G39" i="5" s="1"/>
  <c r="H39" i="5" s="1"/>
  <c r="F36" i="5"/>
  <c r="G36" i="5" s="1"/>
  <c r="H36" i="5" s="1"/>
  <c r="F34" i="5"/>
  <c r="G34" i="5" s="1"/>
  <c r="H34" i="5" s="1"/>
  <c r="F33" i="5"/>
  <c r="G33" i="5" s="1"/>
  <c r="H33" i="5" s="1"/>
  <c r="F32" i="5"/>
  <c r="G32" i="5" s="1"/>
  <c r="H32" i="5" s="1"/>
  <c r="D5" i="5"/>
  <c r="B6" i="5"/>
  <c r="H2" i="5"/>
  <c r="E3" i="5"/>
  <c r="F3" i="5" s="1"/>
  <c r="G3" i="5" s="1"/>
  <c r="B100" i="6" l="1"/>
  <c r="E99" i="6"/>
  <c r="D99" i="6"/>
  <c r="F99" i="6" s="1"/>
  <c r="G99" i="6" s="1"/>
  <c r="H99" i="6" s="1"/>
  <c r="E5" i="6"/>
  <c r="F5" i="6" s="1"/>
  <c r="G5" i="6"/>
  <c r="H5" i="6" s="1"/>
  <c r="E6" i="6"/>
  <c r="B7" i="6"/>
  <c r="D6" i="6"/>
  <c r="E88" i="5"/>
  <c r="B89" i="5"/>
  <c r="D88" i="5"/>
  <c r="F88" i="5" s="1"/>
  <c r="G88" i="5" s="1"/>
  <c r="H88" i="5" s="1"/>
  <c r="B50" i="5"/>
  <c r="D49" i="5"/>
  <c r="F49" i="5" s="1"/>
  <c r="G49" i="5" s="1"/>
  <c r="H49" i="5" s="1"/>
  <c r="E49" i="5"/>
  <c r="H3" i="5"/>
  <c r="E4" i="5"/>
  <c r="F4" i="5" s="1"/>
  <c r="G4" i="5" s="1"/>
  <c r="B7" i="5"/>
  <c r="D6" i="5"/>
  <c r="F100" i="6" l="1"/>
  <c r="G100" i="6" s="1"/>
  <c r="H100" i="6" s="1"/>
  <c r="B101" i="6"/>
  <c r="D100" i="6"/>
  <c r="E100" i="6"/>
  <c r="F6" i="6"/>
  <c r="G6" i="6" s="1"/>
  <c r="H6" i="6" s="1"/>
  <c r="D7" i="6"/>
  <c r="E7" i="6"/>
  <c r="F7" i="6" s="1"/>
  <c r="G7" i="6" s="1"/>
  <c r="H7" i="6" s="1"/>
  <c r="B8" i="6"/>
  <c r="B90" i="5"/>
  <c r="D89" i="5"/>
  <c r="F89" i="5" s="1"/>
  <c r="G89" i="5" s="1"/>
  <c r="H89" i="5" s="1"/>
  <c r="E89" i="5"/>
  <c r="B51" i="5"/>
  <c r="D50" i="5"/>
  <c r="E50" i="5"/>
  <c r="F50" i="5" s="1"/>
  <c r="G50" i="5" s="1"/>
  <c r="H50" i="5" s="1"/>
  <c r="H4" i="5"/>
  <c r="E5" i="5"/>
  <c r="F5" i="5" s="1"/>
  <c r="G5" i="5" s="1"/>
  <c r="D7" i="5"/>
  <c r="B8" i="5"/>
  <c r="B102" i="6" l="1"/>
  <c r="D101" i="6"/>
  <c r="F101" i="6" s="1"/>
  <c r="G101" i="6" s="1"/>
  <c r="H101" i="6" s="1"/>
  <c r="E101" i="6"/>
  <c r="B9" i="6"/>
  <c r="E8" i="6"/>
  <c r="D8" i="6"/>
  <c r="B91" i="5"/>
  <c r="E90" i="5"/>
  <c r="D90" i="5"/>
  <c r="B52" i="5"/>
  <c r="D51" i="5"/>
  <c r="F51" i="5" s="1"/>
  <c r="G51" i="5" s="1"/>
  <c r="H51" i="5" s="1"/>
  <c r="E51" i="5"/>
  <c r="H5" i="5"/>
  <c r="E6" i="5"/>
  <c r="F6" i="5" s="1"/>
  <c r="G6" i="5" s="1"/>
  <c r="B9" i="5"/>
  <c r="D8" i="5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61" i="4"/>
  <c r="B62" i="4"/>
  <c r="B63" i="4"/>
  <c r="B64" i="4"/>
  <c r="B65" i="4"/>
  <c r="B66" i="4"/>
  <c r="B67" i="4"/>
  <c r="B68" i="4"/>
  <c r="B69" i="4"/>
  <c r="B70" i="4"/>
  <c r="B51" i="4"/>
  <c r="B52" i="4"/>
  <c r="B53" i="4"/>
  <c r="B54" i="4"/>
  <c r="B55" i="4"/>
  <c r="B56" i="4" s="1"/>
  <c r="B57" i="4" s="1"/>
  <c r="B58" i="4" s="1"/>
  <c r="B59" i="4" s="1"/>
  <c r="B60" i="4" s="1"/>
  <c r="B42" i="4"/>
  <c r="B43" i="4"/>
  <c r="B44" i="4"/>
  <c r="B45" i="4"/>
  <c r="B46" i="4"/>
  <c r="B47" i="4"/>
  <c r="B48" i="4"/>
  <c r="B49" i="4"/>
  <c r="B50" i="4"/>
  <c r="B37" i="4"/>
  <c r="B38" i="4"/>
  <c r="B39" i="4"/>
  <c r="B40" i="4"/>
  <c r="B41" i="4"/>
  <c r="B31" i="4"/>
  <c r="B32" i="4"/>
  <c r="B33" i="4"/>
  <c r="B34" i="4"/>
  <c r="B35" i="4"/>
  <c r="B36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16" i="4"/>
  <c r="B17" i="4"/>
  <c r="B103" i="6" l="1"/>
  <c r="D102" i="6"/>
  <c r="F102" i="6" s="1"/>
  <c r="G102" i="6" s="1"/>
  <c r="H102" i="6" s="1"/>
  <c r="E102" i="6"/>
  <c r="F8" i="6"/>
  <c r="G8" i="6" s="1"/>
  <c r="H8" i="6" s="1"/>
  <c r="B10" i="6"/>
  <c r="D9" i="6"/>
  <c r="E9" i="6"/>
  <c r="F90" i="5"/>
  <c r="G90" i="5" s="1"/>
  <c r="H90" i="5" s="1"/>
  <c r="B92" i="5"/>
  <c r="E91" i="5"/>
  <c r="F91" i="5" s="1"/>
  <c r="G91" i="5" s="1"/>
  <c r="H91" i="5" s="1"/>
  <c r="D91" i="5"/>
  <c r="B53" i="5"/>
  <c r="E52" i="5"/>
  <c r="D52" i="5"/>
  <c r="F52" i="5" s="1"/>
  <c r="G52" i="5" s="1"/>
  <c r="H52" i="5" s="1"/>
  <c r="B10" i="5"/>
  <c r="D9" i="5"/>
  <c r="H6" i="5"/>
  <c r="E7" i="5"/>
  <c r="F7" i="5" s="1"/>
  <c r="G7" i="5" s="1"/>
  <c r="K16" i="4"/>
  <c r="K17" i="4" s="1"/>
  <c r="F103" i="6" l="1"/>
  <c r="G103" i="6" s="1"/>
  <c r="H103" i="6" s="1"/>
  <c r="E103" i="6"/>
  <c r="B104" i="6"/>
  <c r="D103" i="6"/>
  <c r="F9" i="6"/>
  <c r="G9" i="6" s="1"/>
  <c r="H9" i="6" s="1"/>
  <c r="B11" i="6"/>
  <c r="E10" i="6"/>
  <c r="D10" i="6"/>
  <c r="F10" i="6" s="1"/>
  <c r="G10" i="6" s="1"/>
  <c r="H10" i="6" s="1"/>
  <c r="B93" i="5"/>
  <c r="D92" i="5"/>
  <c r="E92" i="5"/>
  <c r="D53" i="5"/>
  <c r="F53" i="5" s="1"/>
  <c r="G53" i="5" s="1"/>
  <c r="H53" i="5" s="1"/>
  <c r="E53" i="5"/>
  <c r="H7" i="5"/>
  <c r="E8" i="5"/>
  <c r="F8" i="5" s="1"/>
  <c r="G8" i="5" s="1"/>
  <c r="B11" i="5"/>
  <c r="D10" i="5"/>
  <c r="K2" i="4"/>
  <c r="B105" i="6" l="1"/>
  <c r="D104" i="6"/>
  <c r="F104" i="6" s="1"/>
  <c r="G104" i="6" s="1"/>
  <c r="H104" i="6" s="1"/>
  <c r="E104" i="6"/>
  <c r="B12" i="6"/>
  <c r="E11" i="6"/>
  <c r="D11" i="6"/>
  <c r="F92" i="5"/>
  <c r="G92" i="5" s="1"/>
  <c r="H92" i="5" s="1"/>
  <c r="B94" i="5"/>
  <c r="D93" i="5"/>
  <c r="H8" i="5"/>
  <c r="E9" i="5"/>
  <c r="F9" i="5" s="1"/>
  <c r="G9" i="5" s="1"/>
  <c r="B12" i="5"/>
  <c r="D11" i="5"/>
  <c r="K12" i="4"/>
  <c r="K13" i="4" s="1"/>
  <c r="E29" i="4"/>
  <c r="E47" i="4"/>
  <c r="E63" i="4"/>
  <c r="E87" i="4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55" i="4"/>
  <c r="D56" i="4"/>
  <c r="D57" i="4"/>
  <c r="D58" i="4"/>
  <c r="D59" i="4"/>
  <c r="D60" i="4"/>
  <c r="D61" i="4"/>
  <c r="D62" i="4"/>
  <c r="D63" i="4"/>
  <c r="F63" i="4" s="1"/>
  <c r="G63" i="4" s="1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26" i="4"/>
  <c r="D27" i="4"/>
  <c r="D28" i="4"/>
  <c r="D29" i="4"/>
  <c r="F29" i="4" s="1"/>
  <c r="G29" i="4" s="1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D2" i="4"/>
  <c r="D3" i="4"/>
  <c r="B106" i="6" l="1"/>
  <c r="D105" i="6"/>
  <c r="F105" i="6" s="1"/>
  <c r="G105" i="6" s="1"/>
  <c r="H105" i="6" s="1"/>
  <c r="E105" i="6"/>
  <c r="F11" i="6"/>
  <c r="G11" i="6" s="1"/>
  <c r="H11" i="6" s="1"/>
  <c r="E12" i="6"/>
  <c r="B13" i="6"/>
  <c r="D12" i="6"/>
  <c r="F12" i="6" s="1"/>
  <c r="G12" i="6" s="1"/>
  <c r="H12" i="6" s="1"/>
  <c r="E93" i="5"/>
  <c r="F93" i="5" s="1"/>
  <c r="G93" i="5" s="1"/>
  <c r="H93" i="5" s="1"/>
  <c r="F87" i="4"/>
  <c r="G87" i="4" s="1"/>
  <c r="B95" i="5"/>
  <c r="D94" i="5"/>
  <c r="F47" i="4"/>
  <c r="G47" i="4" s="1"/>
  <c r="H9" i="5"/>
  <c r="E10" i="5"/>
  <c r="F10" i="5" s="1"/>
  <c r="G10" i="5" s="1"/>
  <c r="D12" i="5"/>
  <c r="B13" i="5"/>
  <c r="H87" i="4"/>
  <c r="E88" i="4"/>
  <c r="F88" i="4" s="1"/>
  <c r="G88" i="4" s="1"/>
  <c r="H63" i="4"/>
  <c r="E64" i="4"/>
  <c r="F64" i="4" s="1"/>
  <c r="G64" i="4" s="1"/>
  <c r="H47" i="4"/>
  <c r="E48" i="4"/>
  <c r="F48" i="4" s="1"/>
  <c r="G48" i="4" s="1"/>
  <c r="H29" i="4"/>
  <c r="E30" i="4"/>
  <c r="F30" i="4" s="1"/>
  <c r="G30" i="4" s="1"/>
  <c r="K8" i="4"/>
  <c r="E2" i="4" s="1"/>
  <c r="F2" i="4" s="1"/>
  <c r="G2" i="4" s="1"/>
  <c r="B107" i="6" l="1"/>
  <c r="D106" i="6"/>
  <c r="F106" i="6" s="1"/>
  <c r="G106" i="6" s="1"/>
  <c r="H106" i="6" s="1"/>
  <c r="E106" i="6"/>
  <c r="B14" i="6"/>
  <c r="E13" i="6"/>
  <c r="D13" i="6"/>
  <c r="E94" i="5"/>
  <c r="F94" i="5" s="1"/>
  <c r="G94" i="5" s="1"/>
  <c r="H94" i="5" s="1"/>
  <c r="B96" i="5"/>
  <c r="B97" i="5" s="1"/>
  <c r="D95" i="5"/>
  <c r="E95" i="5"/>
  <c r="F95" i="5" s="1"/>
  <c r="G95" i="5" s="1"/>
  <c r="H95" i="5" s="1"/>
  <c r="H10" i="5"/>
  <c r="E11" i="5"/>
  <c r="F11" i="5" s="1"/>
  <c r="G11" i="5" s="1"/>
  <c r="B14" i="5"/>
  <c r="D13" i="5"/>
  <c r="H2" i="4"/>
  <c r="E3" i="4"/>
  <c r="H88" i="4"/>
  <c r="E89" i="4"/>
  <c r="F89" i="4" s="1"/>
  <c r="G89" i="4" s="1"/>
  <c r="H64" i="4"/>
  <c r="E65" i="4"/>
  <c r="F65" i="4" s="1"/>
  <c r="G65" i="4" s="1"/>
  <c r="E49" i="4"/>
  <c r="F49" i="4" s="1"/>
  <c r="G49" i="4" s="1"/>
  <c r="H48" i="4"/>
  <c r="H30" i="4"/>
  <c r="E31" i="4"/>
  <c r="F31" i="4" s="1"/>
  <c r="G31" i="4"/>
  <c r="B108" i="6" l="1"/>
  <c r="E107" i="6"/>
  <c r="D107" i="6"/>
  <c r="F107" i="6" s="1"/>
  <c r="G107" i="6" s="1"/>
  <c r="H107" i="6" s="1"/>
  <c r="B98" i="5"/>
  <c r="D97" i="5"/>
  <c r="F13" i="6"/>
  <c r="G13" i="6" s="1"/>
  <c r="H13" i="6" s="1"/>
  <c r="D14" i="6"/>
  <c r="E14" i="6"/>
  <c r="B15" i="6"/>
  <c r="D96" i="5"/>
  <c r="E96" i="5"/>
  <c r="H11" i="5"/>
  <c r="E12" i="5"/>
  <c r="F12" i="5" s="1"/>
  <c r="G12" i="5" s="1"/>
  <c r="D14" i="5"/>
  <c r="B15" i="5"/>
  <c r="B16" i="5" s="1"/>
  <c r="H89" i="4"/>
  <c r="E90" i="4"/>
  <c r="F90" i="4" s="1"/>
  <c r="G90" i="4" s="1"/>
  <c r="H65" i="4"/>
  <c r="E66" i="4"/>
  <c r="F66" i="4" s="1"/>
  <c r="G66" i="4" s="1"/>
  <c r="E50" i="4"/>
  <c r="F50" i="4" s="1"/>
  <c r="G50" i="4" s="1"/>
  <c r="H49" i="4"/>
  <c r="E32" i="4"/>
  <c r="F32" i="4" s="1"/>
  <c r="G32" i="4" s="1"/>
  <c r="H31" i="4"/>
  <c r="E16" i="4"/>
  <c r="F16" i="4" s="1"/>
  <c r="G16" i="4" s="1"/>
  <c r="E108" i="6" l="1"/>
  <c r="B109" i="6"/>
  <c r="D108" i="6"/>
  <c r="F108" i="6" s="1"/>
  <c r="G108" i="6" s="1"/>
  <c r="H108" i="6" s="1"/>
  <c r="F96" i="5"/>
  <c r="G96" i="5" s="1"/>
  <c r="B99" i="5"/>
  <c r="D98" i="5"/>
  <c r="F14" i="6"/>
  <c r="G14" i="6" s="1"/>
  <c r="H14" i="6" s="1"/>
  <c r="D15" i="6"/>
  <c r="F15" i="6" s="1"/>
  <c r="G15" i="6" s="1"/>
  <c r="H15" i="6" s="1"/>
  <c r="B16" i="6"/>
  <c r="E15" i="6"/>
  <c r="B17" i="5"/>
  <c r="D16" i="5"/>
  <c r="H12" i="5"/>
  <c r="E13" i="5"/>
  <c r="F13" i="5" s="1"/>
  <c r="G13" i="5" s="1"/>
  <c r="D15" i="5"/>
  <c r="E91" i="4"/>
  <c r="F91" i="4" s="1"/>
  <c r="G91" i="4"/>
  <c r="H90" i="4"/>
  <c r="H66" i="4"/>
  <c r="E67" i="4"/>
  <c r="F67" i="4" s="1"/>
  <c r="G67" i="4" s="1"/>
  <c r="E51" i="4"/>
  <c r="F51" i="4" s="1"/>
  <c r="G51" i="4" s="1"/>
  <c r="H50" i="4"/>
  <c r="E33" i="4"/>
  <c r="F33" i="4" s="1"/>
  <c r="G33" i="4" s="1"/>
  <c r="H32" i="4"/>
  <c r="E17" i="4"/>
  <c r="F17" i="4" s="1"/>
  <c r="G17" i="4" s="1"/>
  <c r="H16" i="4"/>
  <c r="B110" i="6" l="1"/>
  <c r="E109" i="6"/>
  <c r="D109" i="6"/>
  <c r="F109" i="6" s="1"/>
  <c r="G109" i="6" s="1"/>
  <c r="H109" i="6" s="1"/>
  <c r="B100" i="5"/>
  <c r="D99" i="5"/>
  <c r="H96" i="5"/>
  <c r="E97" i="5"/>
  <c r="F97" i="5" s="1"/>
  <c r="G97" i="5" s="1"/>
  <c r="E16" i="6"/>
  <c r="B17" i="6"/>
  <c r="F16" i="6"/>
  <c r="G16" i="6"/>
  <c r="H16" i="6" s="1"/>
  <c r="D16" i="6"/>
  <c r="B18" i="5"/>
  <c r="D17" i="5"/>
  <c r="H13" i="5"/>
  <c r="E14" i="5"/>
  <c r="F14" i="5" s="1"/>
  <c r="G14" i="5"/>
  <c r="H91" i="4"/>
  <c r="E92" i="4"/>
  <c r="F92" i="4" s="1"/>
  <c r="G92" i="4"/>
  <c r="H67" i="4"/>
  <c r="E68" i="4"/>
  <c r="F68" i="4" s="1"/>
  <c r="G68" i="4" s="1"/>
  <c r="H51" i="4"/>
  <c r="E52" i="4"/>
  <c r="F52" i="4" s="1"/>
  <c r="G52" i="4" s="1"/>
  <c r="H33" i="4"/>
  <c r="E34" i="4"/>
  <c r="F34" i="4" s="1"/>
  <c r="G34" i="4" s="1"/>
  <c r="H17" i="4"/>
  <c r="E18" i="4"/>
  <c r="F18" i="4" s="1"/>
  <c r="G18" i="4" s="1"/>
  <c r="B111" i="6" l="1"/>
  <c r="D110" i="6"/>
  <c r="F110" i="6" s="1"/>
  <c r="G110" i="6" s="1"/>
  <c r="H110" i="6" s="1"/>
  <c r="E110" i="6"/>
  <c r="H97" i="5"/>
  <c r="E98" i="5"/>
  <c r="F98" i="5" s="1"/>
  <c r="G98" i="5" s="1"/>
  <c r="B101" i="5"/>
  <c r="D100" i="5"/>
  <c r="B18" i="6"/>
  <c r="D17" i="6"/>
  <c r="E17" i="6"/>
  <c r="B19" i="5"/>
  <c r="D18" i="5"/>
  <c r="H14" i="5"/>
  <c r="E15" i="5"/>
  <c r="F15" i="5" s="1"/>
  <c r="G15" i="5" s="1"/>
  <c r="H92" i="4"/>
  <c r="E93" i="4"/>
  <c r="F93" i="4" s="1"/>
  <c r="G93" i="4" s="1"/>
  <c r="H68" i="4"/>
  <c r="E69" i="4"/>
  <c r="F69" i="4" s="1"/>
  <c r="G69" i="4" s="1"/>
  <c r="E53" i="4"/>
  <c r="F53" i="4" s="1"/>
  <c r="G53" i="4" s="1"/>
  <c r="H52" i="4"/>
  <c r="E35" i="4"/>
  <c r="F35" i="4" s="1"/>
  <c r="G35" i="4" s="1"/>
  <c r="H34" i="4"/>
  <c r="E19" i="4"/>
  <c r="F19" i="4" s="1"/>
  <c r="G19" i="4" s="1"/>
  <c r="H18" i="4"/>
  <c r="B112" i="6" l="1"/>
  <c r="E111" i="6"/>
  <c r="D111" i="6"/>
  <c r="F111" i="6" s="1"/>
  <c r="G111" i="6" s="1"/>
  <c r="H111" i="6" s="1"/>
  <c r="H98" i="5"/>
  <c r="E99" i="5"/>
  <c r="F99" i="5" s="1"/>
  <c r="G99" i="5" s="1"/>
  <c r="B102" i="5"/>
  <c r="D101" i="5"/>
  <c r="F17" i="6"/>
  <c r="G17" i="6" s="1"/>
  <c r="H17" i="6" s="1"/>
  <c r="E18" i="6"/>
  <c r="B19" i="6"/>
  <c r="D18" i="6"/>
  <c r="E16" i="5"/>
  <c r="F16" i="5" s="1"/>
  <c r="G16" i="5" s="1"/>
  <c r="B20" i="5"/>
  <c r="D19" i="5"/>
  <c r="H15" i="5"/>
  <c r="H93" i="4"/>
  <c r="E94" i="4"/>
  <c r="F94" i="4" s="1"/>
  <c r="G94" i="4" s="1"/>
  <c r="H69" i="4"/>
  <c r="E70" i="4"/>
  <c r="F70" i="4" s="1"/>
  <c r="G70" i="4" s="1"/>
  <c r="E54" i="4"/>
  <c r="F54" i="4" s="1"/>
  <c r="G54" i="4" s="1"/>
  <c r="H53" i="4"/>
  <c r="E36" i="4"/>
  <c r="F36" i="4" s="1"/>
  <c r="G36" i="4" s="1"/>
  <c r="H35" i="4"/>
  <c r="H19" i="4"/>
  <c r="E20" i="4"/>
  <c r="F20" i="4" s="1"/>
  <c r="G20" i="4" s="1"/>
  <c r="B113" i="6" l="1"/>
  <c r="E112" i="6"/>
  <c r="D112" i="6"/>
  <c r="F112" i="6" s="1"/>
  <c r="G112" i="6" s="1"/>
  <c r="H112" i="6" s="1"/>
  <c r="H99" i="5"/>
  <c r="G100" i="5"/>
  <c r="E100" i="5"/>
  <c r="F100" i="5" s="1"/>
  <c r="B103" i="5"/>
  <c r="D102" i="5"/>
  <c r="F18" i="6"/>
  <c r="G18" i="6" s="1"/>
  <c r="H18" i="6" s="1"/>
  <c r="B20" i="6"/>
  <c r="E19" i="6"/>
  <c r="D19" i="6"/>
  <c r="B21" i="5"/>
  <c r="D20" i="5"/>
  <c r="H16" i="5"/>
  <c r="E17" i="5"/>
  <c r="F17" i="5" s="1"/>
  <c r="G17" i="5" s="1"/>
  <c r="E95" i="4"/>
  <c r="F95" i="4" s="1"/>
  <c r="G95" i="4" s="1"/>
  <c r="H94" i="4"/>
  <c r="H70" i="4"/>
  <c r="E71" i="4"/>
  <c r="F71" i="4" s="1"/>
  <c r="G71" i="4" s="1"/>
  <c r="E55" i="4"/>
  <c r="F55" i="4" s="1"/>
  <c r="G55" i="4" s="1"/>
  <c r="H54" i="4"/>
  <c r="H36" i="4"/>
  <c r="E37" i="4"/>
  <c r="F37" i="4" s="1"/>
  <c r="G37" i="4" s="1"/>
  <c r="E21" i="4"/>
  <c r="F21" i="4" s="1"/>
  <c r="G21" i="4" s="1"/>
  <c r="H20" i="4"/>
  <c r="B114" i="6" l="1"/>
  <c r="D113" i="6"/>
  <c r="F113" i="6" s="1"/>
  <c r="G113" i="6" s="1"/>
  <c r="H113" i="6" s="1"/>
  <c r="E113" i="6"/>
  <c r="B104" i="5"/>
  <c r="D103" i="5"/>
  <c r="H100" i="5"/>
  <c r="E101" i="5"/>
  <c r="F101" i="5" s="1"/>
  <c r="G101" i="5"/>
  <c r="F19" i="6"/>
  <c r="G19" i="6" s="1"/>
  <c r="H19" i="6" s="1"/>
  <c r="E20" i="6"/>
  <c r="B21" i="6"/>
  <c r="D20" i="6"/>
  <c r="F20" i="6" s="1"/>
  <c r="G20" i="6" s="1"/>
  <c r="H20" i="6" s="1"/>
  <c r="H17" i="5"/>
  <c r="E18" i="5"/>
  <c r="F18" i="5" s="1"/>
  <c r="G18" i="5" s="1"/>
  <c r="B22" i="5"/>
  <c r="D21" i="5"/>
  <c r="H95" i="4"/>
  <c r="E96" i="4"/>
  <c r="F96" i="4" s="1"/>
  <c r="G96" i="4" s="1"/>
  <c r="H71" i="4"/>
  <c r="E72" i="4"/>
  <c r="F72" i="4" s="1"/>
  <c r="G72" i="4" s="1"/>
  <c r="H55" i="4"/>
  <c r="E56" i="4"/>
  <c r="F56" i="4" s="1"/>
  <c r="G56" i="4" s="1"/>
  <c r="H37" i="4"/>
  <c r="E38" i="4"/>
  <c r="F38" i="4" s="1"/>
  <c r="G38" i="4" s="1"/>
  <c r="H21" i="4"/>
  <c r="E22" i="4"/>
  <c r="F22" i="4" s="1"/>
  <c r="G22" i="4" s="1"/>
  <c r="B115" i="6" l="1"/>
  <c r="D114" i="6"/>
  <c r="F114" i="6" s="1"/>
  <c r="G114" i="6" s="1"/>
  <c r="H114" i="6" s="1"/>
  <c r="E114" i="6"/>
  <c r="B105" i="5"/>
  <c r="D104" i="5"/>
  <c r="H101" i="5"/>
  <c r="E102" i="5"/>
  <c r="F102" i="5" s="1"/>
  <c r="G102" i="5"/>
  <c r="B22" i="6"/>
  <c r="E21" i="6"/>
  <c r="D21" i="6"/>
  <c r="H18" i="5"/>
  <c r="E19" i="5"/>
  <c r="F19" i="5" s="1"/>
  <c r="G19" i="5" s="1"/>
  <c r="B23" i="5"/>
  <c r="D22" i="5"/>
  <c r="H96" i="4"/>
  <c r="E97" i="4"/>
  <c r="F97" i="4" s="1"/>
  <c r="G97" i="4" s="1"/>
  <c r="H72" i="4"/>
  <c r="E73" i="4"/>
  <c r="F73" i="4" s="1"/>
  <c r="G73" i="4" s="1"/>
  <c r="E57" i="4"/>
  <c r="F57" i="4" s="1"/>
  <c r="G57" i="4" s="1"/>
  <c r="H56" i="4"/>
  <c r="H38" i="4"/>
  <c r="E39" i="4"/>
  <c r="F39" i="4" s="1"/>
  <c r="G39" i="4"/>
  <c r="H22" i="4"/>
  <c r="E23" i="4"/>
  <c r="F23" i="4" s="1"/>
  <c r="G23" i="4" s="1"/>
  <c r="F21" i="6" l="1"/>
  <c r="G21" i="6" s="1"/>
  <c r="H21" i="6" s="1"/>
  <c r="B116" i="6"/>
  <c r="D115" i="6"/>
  <c r="E115" i="6"/>
  <c r="F115" i="6" s="1"/>
  <c r="G115" i="6" s="1"/>
  <c r="H115" i="6" s="1"/>
  <c r="H102" i="5"/>
  <c r="E103" i="5"/>
  <c r="F103" i="5" s="1"/>
  <c r="G103" i="5" s="1"/>
  <c r="B106" i="5"/>
  <c r="D105" i="5"/>
  <c r="B23" i="6"/>
  <c r="D22" i="6"/>
  <c r="E22" i="6"/>
  <c r="B24" i="5"/>
  <c r="D23" i="5"/>
  <c r="H19" i="5"/>
  <c r="E20" i="5"/>
  <c r="F20" i="5" s="1"/>
  <c r="G20" i="5" s="1"/>
  <c r="H97" i="4"/>
  <c r="E98" i="4"/>
  <c r="F98" i="4" s="1"/>
  <c r="G98" i="4" s="1"/>
  <c r="H73" i="4"/>
  <c r="E74" i="4"/>
  <c r="F74" i="4" s="1"/>
  <c r="G74" i="4" s="1"/>
  <c r="E58" i="4"/>
  <c r="F58" i="4" s="1"/>
  <c r="G58" i="4" s="1"/>
  <c r="H57" i="4"/>
  <c r="E40" i="4"/>
  <c r="F40" i="4" s="1"/>
  <c r="G40" i="4" s="1"/>
  <c r="H39" i="4"/>
  <c r="H23" i="4"/>
  <c r="E24" i="4"/>
  <c r="F24" i="4" s="1"/>
  <c r="G24" i="4" s="1"/>
  <c r="E116" i="6" l="1"/>
  <c r="B117" i="6"/>
  <c r="F116" i="6"/>
  <c r="G116" i="6" s="1"/>
  <c r="H116" i="6" s="1"/>
  <c r="D116" i="6"/>
  <c r="H103" i="5"/>
  <c r="E104" i="5"/>
  <c r="F104" i="5" s="1"/>
  <c r="G104" i="5" s="1"/>
  <c r="B107" i="5"/>
  <c r="D106" i="5"/>
  <c r="F22" i="6"/>
  <c r="G22" i="6" s="1"/>
  <c r="H22" i="6" s="1"/>
  <c r="B24" i="6"/>
  <c r="E23" i="6"/>
  <c r="D23" i="6"/>
  <c r="B25" i="5"/>
  <c r="B26" i="5" s="1"/>
  <c r="D24" i="5"/>
  <c r="H20" i="5"/>
  <c r="E21" i="5"/>
  <c r="F21" i="5" s="1"/>
  <c r="G21" i="5" s="1"/>
  <c r="E99" i="4"/>
  <c r="F99" i="4" s="1"/>
  <c r="G99" i="4" s="1"/>
  <c r="H98" i="4"/>
  <c r="H74" i="4"/>
  <c r="E75" i="4"/>
  <c r="F75" i="4" s="1"/>
  <c r="G75" i="4" s="1"/>
  <c r="G59" i="4"/>
  <c r="E59" i="4"/>
  <c r="F59" i="4" s="1"/>
  <c r="H58" i="4"/>
  <c r="H40" i="4"/>
  <c r="E41" i="4"/>
  <c r="F41" i="4" s="1"/>
  <c r="G41" i="4" s="1"/>
  <c r="E25" i="4"/>
  <c r="F25" i="4" s="1"/>
  <c r="G25" i="4" s="1"/>
  <c r="H24" i="4"/>
  <c r="B118" i="6" l="1"/>
  <c r="E117" i="6"/>
  <c r="D117" i="6"/>
  <c r="F117" i="6" s="1"/>
  <c r="G117" i="6" s="1"/>
  <c r="H117" i="6" s="1"/>
  <c r="H104" i="5"/>
  <c r="E105" i="5"/>
  <c r="F105" i="5" s="1"/>
  <c r="G105" i="5"/>
  <c r="B108" i="5"/>
  <c r="D107" i="5"/>
  <c r="F23" i="6"/>
  <c r="G23" i="6" s="1"/>
  <c r="H23" i="6" s="1"/>
  <c r="B25" i="6"/>
  <c r="E24" i="6"/>
  <c r="D24" i="6"/>
  <c r="B27" i="5"/>
  <c r="D26" i="5"/>
  <c r="D25" i="5"/>
  <c r="H21" i="5"/>
  <c r="E22" i="5"/>
  <c r="F22" i="5" s="1"/>
  <c r="G22" i="5" s="1"/>
  <c r="H99" i="4"/>
  <c r="E100" i="4"/>
  <c r="F100" i="4" s="1"/>
  <c r="G100" i="4"/>
  <c r="H75" i="4"/>
  <c r="E76" i="4"/>
  <c r="F76" i="4" s="1"/>
  <c r="G76" i="4" s="1"/>
  <c r="H59" i="4"/>
  <c r="E60" i="4"/>
  <c r="F60" i="4" s="1"/>
  <c r="G60" i="4" s="1"/>
  <c r="H41" i="4"/>
  <c r="E42" i="4"/>
  <c r="F42" i="4" s="1"/>
  <c r="G42" i="4" s="1"/>
  <c r="H25" i="4"/>
  <c r="E26" i="4"/>
  <c r="F26" i="4" s="1"/>
  <c r="G26" i="4" s="1"/>
  <c r="F24" i="6" l="1"/>
  <c r="G24" i="6" s="1"/>
  <c r="H24" i="6" s="1"/>
  <c r="B119" i="6"/>
  <c r="D118" i="6"/>
  <c r="F118" i="6" s="1"/>
  <c r="G118" i="6" s="1"/>
  <c r="H118" i="6" s="1"/>
  <c r="E118" i="6"/>
  <c r="H105" i="5"/>
  <c r="E106" i="5"/>
  <c r="F106" i="5" s="1"/>
  <c r="G106" i="5" s="1"/>
  <c r="B109" i="5"/>
  <c r="D108" i="5"/>
  <c r="B26" i="6"/>
  <c r="E25" i="6"/>
  <c r="D25" i="6"/>
  <c r="F25" i="6" s="1"/>
  <c r="G25" i="6" s="1"/>
  <c r="H25" i="6" s="1"/>
  <c r="D27" i="5"/>
  <c r="H22" i="5"/>
  <c r="E23" i="5"/>
  <c r="F23" i="5" s="1"/>
  <c r="G23" i="5" s="1"/>
  <c r="H100" i="4"/>
  <c r="E101" i="4"/>
  <c r="F101" i="4" s="1"/>
  <c r="G101" i="4" s="1"/>
  <c r="H76" i="4"/>
  <c r="E77" i="4"/>
  <c r="F77" i="4" s="1"/>
  <c r="G77" i="4" s="1"/>
  <c r="E61" i="4"/>
  <c r="F61" i="4" s="1"/>
  <c r="G61" i="4" s="1"/>
  <c r="H60" i="4"/>
  <c r="E43" i="4"/>
  <c r="F43" i="4" s="1"/>
  <c r="H42" i="4"/>
  <c r="G43" i="4"/>
  <c r="E27" i="4"/>
  <c r="F27" i="4" s="1"/>
  <c r="G27" i="4" s="1"/>
  <c r="H26" i="4"/>
  <c r="B120" i="6" l="1"/>
  <c r="E119" i="6"/>
  <c r="D119" i="6"/>
  <c r="F119" i="6" s="1"/>
  <c r="G119" i="6" s="1"/>
  <c r="H119" i="6" s="1"/>
  <c r="H106" i="5"/>
  <c r="E107" i="5"/>
  <c r="F107" i="5" s="1"/>
  <c r="G107" i="5" s="1"/>
  <c r="B110" i="5"/>
  <c r="D109" i="5"/>
  <c r="E26" i="6"/>
  <c r="B27" i="6"/>
  <c r="D26" i="6"/>
  <c r="F26" i="6" s="1"/>
  <c r="G26" i="6" s="1"/>
  <c r="H26" i="6" s="1"/>
  <c r="H23" i="5"/>
  <c r="E24" i="5"/>
  <c r="F24" i="5" s="1"/>
  <c r="G24" i="5" s="1"/>
  <c r="H101" i="4"/>
  <c r="E102" i="4"/>
  <c r="F102" i="4" s="1"/>
  <c r="G102" i="4" s="1"/>
  <c r="H77" i="4"/>
  <c r="E78" i="4"/>
  <c r="F78" i="4" s="1"/>
  <c r="G78" i="4" s="1"/>
  <c r="E62" i="4"/>
  <c r="F62" i="4" s="1"/>
  <c r="G62" i="4" s="1"/>
  <c r="H62" i="4" s="1"/>
  <c r="H61" i="4"/>
  <c r="E44" i="4"/>
  <c r="F44" i="4" s="1"/>
  <c r="G44" i="4"/>
  <c r="H43" i="4"/>
  <c r="H27" i="4"/>
  <c r="E28" i="4"/>
  <c r="F28" i="4" s="1"/>
  <c r="G28" i="4" s="1"/>
  <c r="H28" i="4" s="1"/>
  <c r="B121" i="6" l="1"/>
  <c r="D120" i="6"/>
  <c r="F120" i="6" s="1"/>
  <c r="G120" i="6" s="1"/>
  <c r="H120" i="6" s="1"/>
  <c r="E120" i="6"/>
  <c r="H107" i="5"/>
  <c r="E108" i="5"/>
  <c r="F108" i="5" s="1"/>
  <c r="G108" i="5" s="1"/>
  <c r="B111" i="5"/>
  <c r="D110" i="5"/>
  <c r="B28" i="6"/>
  <c r="E27" i="6"/>
  <c r="D27" i="6"/>
  <c r="F27" i="6" s="1"/>
  <c r="G27" i="6" s="1"/>
  <c r="H27" i="6" s="1"/>
  <c r="H24" i="5"/>
  <c r="E25" i="5"/>
  <c r="F25" i="5" s="1"/>
  <c r="G25" i="5" s="1"/>
  <c r="E103" i="4"/>
  <c r="F103" i="4" s="1"/>
  <c r="G103" i="4"/>
  <c r="H102" i="4"/>
  <c r="H78" i="4"/>
  <c r="E79" i="4"/>
  <c r="F79" i="4" s="1"/>
  <c r="G79" i="4" s="1"/>
  <c r="G45" i="4"/>
  <c r="E45" i="4"/>
  <c r="F45" i="4" s="1"/>
  <c r="H44" i="4"/>
  <c r="E121" i="6" l="1"/>
  <c r="D121" i="6"/>
  <c r="F121" i="6" s="1"/>
  <c r="G121" i="6" s="1"/>
  <c r="H121" i="6" s="1"/>
  <c r="H108" i="5"/>
  <c r="E109" i="5"/>
  <c r="F109" i="5" s="1"/>
  <c r="G109" i="5" s="1"/>
  <c r="B112" i="5"/>
  <c r="D111" i="5"/>
  <c r="E28" i="6"/>
  <c r="B29" i="6"/>
  <c r="D28" i="6"/>
  <c r="H25" i="5"/>
  <c r="E26" i="5"/>
  <c r="F26" i="5" s="1"/>
  <c r="G26" i="5" s="1"/>
  <c r="H103" i="4"/>
  <c r="E104" i="4"/>
  <c r="F104" i="4" s="1"/>
  <c r="G104" i="4" s="1"/>
  <c r="H79" i="4"/>
  <c r="E80" i="4"/>
  <c r="F80" i="4" s="1"/>
  <c r="G80" i="4" s="1"/>
  <c r="H45" i="4"/>
  <c r="E46" i="4"/>
  <c r="F46" i="4" s="1"/>
  <c r="G46" i="4" s="1"/>
  <c r="H46" i="4" s="1"/>
  <c r="F28" i="6" l="1"/>
  <c r="G28" i="6" s="1"/>
  <c r="H28" i="6" s="1"/>
  <c r="H109" i="5"/>
  <c r="E110" i="5"/>
  <c r="F110" i="5" s="1"/>
  <c r="G110" i="5"/>
  <c r="B113" i="5"/>
  <c r="D112" i="5"/>
  <c r="B30" i="6"/>
  <c r="E29" i="6"/>
  <c r="D29" i="6"/>
  <c r="H104" i="4"/>
  <c r="E105" i="4"/>
  <c r="F105" i="4" s="1"/>
  <c r="G105" i="4" s="1"/>
  <c r="H26" i="5"/>
  <c r="E27" i="5"/>
  <c r="F27" i="5" s="1"/>
  <c r="G27" i="5" s="1"/>
  <c r="H80" i="4"/>
  <c r="E81" i="4"/>
  <c r="F81" i="4" s="1"/>
  <c r="G81" i="4" s="1"/>
  <c r="F29" i="6" l="1"/>
  <c r="G29" i="6" s="1"/>
  <c r="H29" i="6" s="1"/>
  <c r="H110" i="5"/>
  <c r="G111" i="5"/>
  <c r="E111" i="5"/>
  <c r="F111" i="5" s="1"/>
  <c r="B114" i="5"/>
  <c r="D113" i="5"/>
  <c r="B31" i="6"/>
  <c r="D30" i="6"/>
  <c r="E30" i="6"/>
  <c r="H105" i="4"/>
  <c r="E106" i="4"/>
  <c r="F106" i="4" s="1"/>
  <c r="G106" i="4" s="1"/>
  <c r="H27" i="5"/>
  <c r="H81" i="4"/>
  <c r="E82" i="4"/>
  <c r="F82" i="4" s="1"/>
  <c r="G82" i="4" s="1"/>
  <c r="F3" i="4"/>
  <c r="G3" i="4" s="1"/>
  <c r="H111" i="5" l="1"/>
  <c r="E112" i="5"/>
  <c r="F112" i="5" s="1"/>
  <c r="G112" i="5" s="1"/>
  <c r="B115" i="5"/>
  <c r="D114" i="5"/>
  <c r="F30" i="6"/>
  <c r="G30" i="6" s="1"/>
  <c r="H30" i="6" s="1"/>
  <c r="B32" i="6"/>
  <c r="E31" i="6"/>
  <c r="D31" i="6"/>
  <c r="E107" i="4"/>
  <c r="F107" i="4" s="1"/>
  <c r="G107" i="4" s="1"/>
  <c r="H106" i="4"/>
  <c r="E4" i="4"/>
  <c r="H3" i="4"/>
  <c r="H82" i="4"/>
  <c r="E83" i="4"/>
  <c r="F83" i="4" s="1"/>
  <c r="G83" i="4" s="1"/>
  <c r="F4" i="4"/>
  <c r="G4" i="4" s="1"/>
  <c r="H112" i="5" l="1"/>
  <c r="E113" i="5"/>
  <c r="F113" i="5" s="1"/>
  <c r="G113" i="5" s="1"/>
  <c r="B116" i="5"/>
  <c r="D115" i="5"/>
  <c r="F31" i="6"/>
  <c r="G31" i="6" s="1"/>
  <c r="H31" i="6" s="1"/>
  <c r="D32" i="6"/>
  <c r="E32" i="6"/>
  <c r="B33" i="6"/>
  <c r="H107" i="4"/>
  <c r="E108" i="4"/>
  <c r="F108" i="4" s="1"/>
  <c r="G108" i="4" s="1"/>
  <c r="E5" i="4"/>
  <c r="F5" i="4" s="1"/>
  <c r="G5" i="4" s="1"/>
  <c r="H4" i="4"/>
  <c r="H83" i="4"/>
  <c r="E84" i="4"/>
  <c r="F84" i="4" s="1"/>
  <c r="G84" i="4" s="1"/>
  <c r="H113" i="5" l="1"/>
  <c r="E114" i="5"/>
  <c r="F114" i="5" s="1"/>
  <c r="G114" i="5"/>
  <c r="B117" i="5"/>
  <c r="D116" i="5"/>
  <c r="F32" i="6"/>
  <c r="G32" i="6" s="1"/>
  <c r="H32" i="6" s="1"/>
  <c r="B34" i="6"/>
  <c r="E33" i="6"/>
  <c r="D33" i="6"/>
  <c r="E109" i="4"/>
  <c r="F109" i="4" s="1"/>
  <c r="H108" i="4"/>
  <c r="G109" i="4"/>
  <c r="H5" i="4"/>
  <c r="E6" i="4"/>
  <c r="F6" i="4" s="1"/>
  <c r="G6" i="4" s="1"/>
  <c r="H84" i="4"/>
  <c r="E85" i="4"/>
  <c r="F85" i="4" s="1"/>
  <c r="G85" i="4" s="1"/>
  <c r="H114" i="5" l="1"/>
  <c r="E115" i="5"/>
  <c r="F115" i="5" s="1"/>
  <c r="G115" i="5"/>
  <c r="B118" i="5"/>
  <c r="D117" i="5"/>
  <c r="F33" i="6"/>
  <c r="G33" i="6" s="1"/>
  <c r="H33" i="6" s="1"/>
  <c r="E34" i="6"/>
  <c r="B35" i="6"/>
  <c r="D34" i="6"/>
  <c r="E110" i="4"/>
  <c r="F110" i="4" s="1"/>
  <c r="G110" i="4" s="1"/>
  <c r="H109" i="4"/>
  <c r="E7" i="4"/>
  <c r="F7" i="4" s="1"/>
  <c r="G7" i="4" s="1"/>
  <c r="H6" i="4"/>
  <c r="H85" i="4"/>
  <c r="E86" i="4"/>
  <c r="F86" i="4" s="1"/>
  <c r="G86" i="4" s="1"/>
  <c r="H86" i="4" s="1"/>
  <c r="H115" i="5" l="1"/>
  <c r="E116" i="5"/>
  <c r="F116" i="5" s="1"/>
  <c r="G116" i="5" s="1"/>
  <c r="B119" i="5"/>
  <c r="D118" i="5"/>
  <c r="F34" i="6"/>
  <c r="G34" i="6" s="1"/>
  <c r="H34" i="6" s="1"/>
  <c r="B36" i="6"/>
  <c r="E35" i="6"/>
  <c r="D35" i="6"/>
  <c r="F35" i="6" s="1"/>
  <c r="G35" i="6" s="1"/>
  <c r="H35" i="6" s="1"/>
  <c r="E111" i="4"/>
  <c r="F111" i="4" s="1"/>
  <c r="G111" i="4" s="1"/>
  <c r="H110" i="4"/>
  <c r="H7" i="4"/>
  <c r="E8" i="4"/>
  <c r="F8" i="4" s="1"/>
  <c r="G8" i="4" s="1"/>
  <c r="H116" i="5" l="1"/>
  <c r="E117" i="5"/>
  <c r="F117" i="5" s="1"/>
  <c r="G117" i="5" s="1"/>
  <c r="B120" i="5"/>
  <c r="D119" i="5"/>
  <c r="E36" i="6"/>
  <c r="B37" i="6"/>
  <c r="D36" i="6"/>
  <c r="F36" i="6" s="1"/>
  <c r="G36" i="6" s="1"/>
  <c r="H36" i="6" s="1"/>
  <c r="E112" i="4"/>
  <c r="F112" i="4" s="1"/>
  <c r="G112" i="4" s="1"/>
  <c r="H111" i="4"/>
  <c r="H8" i="4"/>
  <c r="E9" i="4"/>
  <c r="F9" i="4" s="1"/>
  <c r="G9" i="4" s="1"/>
  <c r="H117" i="5" l="1"/>
  <c r="E118" i="5"/>
  <c r="F118" i="5" s="1"/>
  <c r="G118" i="5"/>
  <c r="B121" i="5"/>
  <c r="D120" i="5"/>
  <c r="B38" i="6"/>
  <c r="E37" i="6"/>
  <c r="D37" i="6"/>
  <c r="F37" i="6" s="1"/>
  <c r="G37" i="6" s="1"/>
  <c r="H37" i="6" s="1"/>
  <c r="E113" i="4"/>
  <c r="F113" i="4" s="1"/>
  <c r="H112" i="4"/>
  <c r="G113" i="4"/>
  <c r="H9" i="4"/>
  <c r="E10" i="4"/>
  <c r="F10" i="4" s="1"/>
  <c r="G10" i="4" s="1"/>
  <c r="D121" i="5" l="1"/>
  <c r="K12" i="5"/>
  <c r="H118" i="5"/>
  <c r="E119" i="5"/>
  <c r="F119" i="5" s="1"/>
  <c r="G119" i="5" s="1"/>
  <c r="B39" i="6"/>
  <c r="D38" i="6"/>
  <c r="E38" i="6"/>
  <c r="H113" i="4"/>
  <c r="E114" i="4"/>
  <c r="F114" i="4" s="1"/>
  <c r="G114" i="4"/>
  <c r="E11" i="4"/>
  <c r="F11" i="4" s="1"/>
  <c r="G11" i="4" s="1"/>
  <c r="H10" i="4"/>
  <c r="H119" i="5" l="1"/>
  <c r="E120" i="5"/>
  <c r="F120" i="5" s="1"/>
  <c r="G120" i="5" s="1"/>
  <c r="K13" i="5"/>
  <c r="F38" i="6"/>
  <c r="G38" i="6" s="1"/>
  <c r="H38" i="6" s="1"/>
  <c r="B40" i="6"/>
  <c r="E39" i="6"/>
  <c r="D39" i="6"/>
  <c r="E115" i="4"/>
  <c r="F115" i="4" s="1"/>
  <c r="G115" i="4" s="1"/>
  <c r="H114" i="4"/>
  <c r="E12" i="4"/>
  <c r="F12" i="4" s="1"/>
  <c r="G12" i="4"/>
  <c r="H11" i="4"/>
  <c r="H120" i="5" l="1"/>
  <c r="E121" i="5"/>
  <c r="F121" i="5" s="1"/>
  <c r="G121" i="5"/>
  <c r="F39" i="6"/>
  <c r="G39" i="6" s="1"/>
  <c r="H39" i="6" s="1"/>
  <c r="E40" i="6"/>
  <c r="B41" i="6"/>
  <c r="D40" i="6"/>
  <c r="H115" i="4"/>
  <c r="E116" i="4"/>
  <c r="F116" i="4" s="1"/>
  <c r="G116" i="4" s="1"/>
  <c r="H12" i="4"/>
  <c r="E13" i="4"/>
  <c r="F13" i="4" s="1"/>
  <c r="G13" i="4" s="1"/>
  <c r="H121" i="5" l="1"/>
  <c r="K15" i="5" s="1"/>
  <c r="K14" i="5"/>
  <c r="F40" i="6"/>
  <c r="G40" i="6" s="1"/>
  <c r="H40" i="6" s="1"/>
  <c r="B42" i="6"/>
  <c r="E41" i="6"/>
  <c r="D41" i="6"/>
  <c r="F41" i="6" s="1"/>
  <c r="G41" i="6" s="1"/>
  <c r="H41" i="6" s="1"/>
  <c r="H116" i="4"/>
  <c r="E117" i="4"/>
  <c r="F117" i="4" s="1"/>
  <c r="G117" i="4" s="1"/>
  <c r="E14" i="4"/>
  <c r="F14" i="4" s="1"/>
  <c r="G14" i="4" s="1"/>
  <c r="H13" i="4"/>
  <c r="B43" i="6" l="1"/>
  <c r="E42" i="6"/>
  <c r="D42" i="6"/>
  <c r="E118" i="4"/>
  <c r="F118" i="4" s="1"/>
  <c r="G118" i="4" s="1"/>
  <c r="H117" i="4"/>
  <c r="H14" i="4"/>
  <c r="E15" i="4"/>
  <c r="F15" i="4" s="1"/>
  <c r="G15" i="4" s="1"/>
  <c r="F42" i="6" l="1"/>
  <c r="G42" i="6" s="1"/>
  <c r="H42" i="6" s="1"/>
  <c r="B44" i="6"/>
  <c r="E43" i="6"/>
  <c r="D43" i="6"/>
  <c r="H118" i="4"/>
  <c r="E119" i="4"/>
  <c r="F119" i="4" s="1"/>
  <c r="G119" i="4" s="1"/>
  <c r="H15" i="4"/>
  <c r="F43" i="6" l="1"/>
  <c r="G43" i="6" s="1"/>
  <c r="H43" i="6" s="1"/>
  <c r="B45" i="6"/>
  <c r="E44" i="6"/>
  <c r="D44" i="6"/>
  <c r="F44" i="6" s="1"/>
  <c r="G44" i="6" s="1"/>
  <c r="H44" i="6" s="1"/>
  <c r="H119" i="4"/>
  <c r="E120" i="4"/>
  <c r="F120" i="4" s="1"/>
  <c r="G120" i="4" s="1"/>
  <c r="B46" i="6" l="1"/>
  <c r="E45" i="6"/>
  <c r="D45" i="6"/>
  <c r="F45" i="6" s="1"/>
  <c r="G45" i="6" s="1"/>
  <c r="H45" i="6" s="1"/>
  <c r="E121" i="4"/>
  <c r="F121" i="4" s="1"/>
  <c r="G121" i="4" s="1"/>
  <c r="H120" i="4"/>
  <c r="B47" i="6" l="1"/>
  <c r="E46" i="6"/>
  <c r="D46" i="6"/>
  <c r="H121" i="4"/>
  <c r="K15" i="4" s="1"/>
  <c r="K14" i="4"/>
  <c r="F46" i="6" l="1"/>
  <c r="G46" i="6" s="1"/>
  <c r="H46" i="6" s="1"/>
  <c r="B48" i="6"/>
  <c r="E47" i="6"/>
  <c r="D47" i="6"/>
  <c r="F47" i="6" l="1"/>
  <c r="G47" i="6" s="1"/>
  <c r="H47" i="6" s="1"/>
  <c r="B49" i="6"/>
  <c r="E48" i="6"/>
  <c r="D48" i="6"/>
  <c r="F48" i="6" l="1"/>
  <c r="G48" i="6" s="1"/>
  <c r="H48" i="6" s="1"/>
  <c r="B50" i="6"/>
  <c r="E49" i="6"/>
  <c r="D49" i="6"/>
  <c r="F49" i="6" s="1"/>
  <c r="G49" i="6" s="1"/>
  <c r="H49" i="6" s="1"/>
  <c r="B51" i="6" l="1"/>
  <c r="E50" i="6"/>
  <c r="D50" i="6"/>
  <c r="F50" i="6" l="1"/>
  <c r="G50" i="6" s="1"/>
  <c r="H50" i="6" s="1"/>
  <c r="B52" i="6"/>
  <c r="E51" i="6"/>
  <c r="D51" i="6"/>
  <c r="F51" i="6" l="1"/>
  <c r="G51" i="6" s="1"/>
  <c r="H51" i="6" s="1"/>
  <c r="B53" i="6"/>
  <c r="E52" i="6"/>
  <c r="D52" i="6"/>
  <c r="F52" i="6" s="1"/>
  <c r="G52" i="6" s="1"/>
  <c r="H52" i="6" s="1"/>
  <c r="B54" i="6" l="1"/>
  <c r="E53" i="6"/>
  <c r="D53" i="6"/>
  <c r="F53" i="6" l="1"/>
  <c r="G53" i="6" s="1"/>
  <c r="H53" i="6" s="1"/>
  <c r="B55" i="6"/>
  <c r="E54" i="6"/>
  <c r="F54" i="6" s="1"/>
  <c r="G54" i="6" s="1"/>
  <c r="H54" i="6" s="1"/>
  <c r="D54" i="6"/>
  <c r="B56" i="6" l="1"/>
  <c r="E55" i="6"/>
  <c r="D55" i="6"/>
  <c r="F55" i="6" s="1"/>
  <c r="G55" i="6" s="1"/>
  <c r="H55" i="6" s="1"/>
  <c r="B57" i="6" l="1"/>
  <c r="E56" i="6"/>
  <c r="D56" i="6"/>
  <c r="F56" i="6" l="1"/>
  <c r="G56" i="6" s="1"/>
  <c r="H56" i="6" s="1"/>
  <c r="B58" i="6"/>
  <c r="E57" i="6"/>
  <c r="D57" i="6"/>
  <c r="F57" i="6" l="1"/>
  <c r="G57" i="6" s="1"/>
  <c r="H57" i="6" s="1"/>
  <c r="B59" i="6"/>
  <c r="E58" i="6"/>
  <c r="D58" i="6"/>
  <c r="F58" i="6" l="1"/>
  <c r="G58" i="6" s="1"/>
  <c r="H58" i="6" s="1"/>
  <c r="B60" i="6"/>
  <c r="E59" i="6"/>
  <c r="D59" i="6"/>
  <c r="F59" i="6" s="1"/>
  <c r="G59" i="6" s="1"/>
  <c r="H59" i="6" s="1"/>
  <c r="B61" i="6" l="1"/>
  <c r="E60" i="6"/>
  <c r="D60" i="6"/>
  <c r="F60" i="6" s="1"/>
  <c r="G60" i="6" s="1"/>
  <c r="H60" i="6" s="1"/>
  <c r="B62" i="6" l="1"/>
  <c r="E61" i="6"/>
  <c r="D61" i="6"/>
  <c r="F61" i="6" s="1"/>
  <c r="G61" i="6" s="1"/>
  <c r="H61" i="6" s="1"/>
  <c r="B63" i="6" l="1"/>
  <c r="E62" i="6"/>
  <c r="D62" i="6"/>
  <c r="F62" i="6" l="1"/>
  <c r="G62" i="6" s="1"/>
  <c r="H62" i="6" s="1"/>
  <c r="B64" i="6"/>
  <c r="E63" i="6"/>
  <c r="D63" i="6"/>
  <c r="F63" i="6" s="1"/>
  <c r="G63" i="6" s="1"/>
  <c r="H63" i="6" s="1"/>
  <c r="B65" i="6" l="1"/>
  <c r="E64" i="6"/>
  <c r="D64" i="6"/>
  <c r="F64" i="6" l="1"/>
  <c r="G64" i="6" s="1"/>
  <c r="H64" i="6" s="1"/>
  <c r="D65" i="6"/>
  <c r="B66" i="6"/>
  <c r="E65" i="6" l="1"/>
  <c r="F65" i="6" s="1"/>
  <c r="G65" i="6" s="1"/>
  <c r="H65" i="6" s="1"/>
  <c r="D66" i="6"/>
  <c r="B67" i="6"/>
  <c r="E66" i="6" l="1"/>
  <c r="F66" i="6" s="1"/>
  <c r="G66" i="6" s="1"/>
  <c r="H66" i="6" s="1"/>
  <c r="B68" i="6"/>
  <c r="D67" i="6"/>
  <c r="E67" i="6" l="1"/>
  <c r="F67" i="6" s="1"/>
  <c r="G67" i="6" s="1"/>
  <c r="D68" i="6"/>
  <c r="B69" i="6"/>
  <c r="H67" i="6" l="1"/>
  <c r="E68" i="6"/>
  <c r="F68" i="6"/>
  <c r="G68" i="6" s="1"/>
  <c r="H68" i="6" s="1"/>
  <c r="E69" i="6"/>
  <c r="B70" i="6"/>
  <c r="D69" i="6"/>
  <c r="F69" i="6" l="1"/>
  <c r="G69" i="6" s="1"/>
  <c r="H69" i="6" s="1"/>
  <c r="D70" i="6"/>
  <c r="E70" i="6"/>
  <c r="B71" i="6"/>
  <c r="F70" i="6" l="1"/>
  <c r="G70" i="6" s="1"/>
  <c r="H70" i="6" s="1"/>
  <c r="B72" i="6"/>
  <c r="D71" i="6"/>
  <c r="E71" i="6" l="1"/>
  <c r="F71" i="6" s="1"/>
  <c r="G71" i="6" s="1"/>
  <c r="D72" i="6"/>
  <c r="B73" i="6"/>
  <c r="H71" i="6" l="1"/>
  <c r="E72" i="6"/>
  <c r="F72" i="6" s="1"/>
  <c r="G72" i="6" s="1"/>
  <c r="H72" i="6" s="1"/>
  <c r="E73" i="6"/>
  <c r="F73" i="6" s="1"/>
  <c r="G73" i="6" s="1"/>
  <c r="H73" i="6" s="1"/>
  <c r="B74" i="6"/>
  <c r="D73" i="6"/>
  <c r="D74" i="6" l="1"/>
  <c r="E74" i="6"/>
  <c r="F74" i="6" s="1"/>
  <c r="G74" i="6" s="1"/>
  <c r="H74" i="6" s="1"/>
  <c r="B75" i="6"/>
  <c r="B76" i="6" l="1"/>
  <c r="D75" i="6"/>
  <c r="E75" i="6"/>
  <c r="F75" i="6" s="1"/>
  <c r="G75" i="6" s="1"/>
  <c r="H75" i="6" s="1"/>
  <c r="D76" i="6" l="1"/>
  <c r="B77" i="6"/>
  <c r="E76" i="6"/>
  <c r="F76" i="6" s="1"/>
  <c r="G76" i="6" s="1"/>
  <c r="H76" i="6" s="1"/>
  <c r="E77" i="6" l="1"/>
  <c r="D77" i="6"/>
  <c r="B78" i="6"/>
  <c r="F77" i="6" l="1"/>
  <c r="G77" i="6" s="1"/>
  <c r="H77" i="6" s="1"/>
  <c r="D78" i="6"/>
  <c r="E78" i="6"/>
  <c r="F78" i="6" s="1"/>
  <c r="G78" i="6" s="1"/>
  <c r="H78" i="6" s="1"/>
  <c r="B79" i="6"/>
  <c r="B80" i="6" l="1"/>
  <c r="D79" i="6"/>
  <c r="E79" i="6"/>
  <c r="F79" i="6" l="1"/>
  <c r="G79" i="6" s="1"/>
  <c r="H79" i="6" s="1"/>
  <c r="D80" i="6"/>
  <c r="B81" i="6"/>
  <c r="E80" i="6"/>
  <c r="F80" i="6" l="1"/>
  <c r="G80" i="6" s="1"/>
  <c r="H80" i="6" s="1"/>
  <c r="E81" i="6"/>
  <c r="D81" i="6"/>
  <c r="B82" i="6"/>
  <c r="F81" i="6" l="1"/>
  <c r="G81" i="6" s="1"/>
  <c r="H81" i="6" s="1"/>
  <c r="D82" i="6"/>
  <c r="E82" i="6"/>
  <c r="F82" i="6" s="1"/>
  <c r="G82" i="6" s="1"/>
  <c r="H82" i="6" s="1"/>
  <c r="B83" i="6"/>
  <c r="B84" i="6" l="1"/>
  <c r="D83" i="6"/>
  <c r="E83" i="6"/>
  <c r="F83" i="6" s="1"/>
  <c r="G83" i="6" s="1"/>
  <c r="H83" i="6" s="1"/>
  <c r="D84" i="6" l="1"/>
  <c r="B85" i="6"/>
  <c r="E84" i="6"/>
  <c r="F84" i="6" s="1"/>
  <c r="G84" i="6" s="1"/>
  <c r="H84" i="6" s="1"/>
  <c r="E85" i="6" l="1"/>
  <c r="B86" i="6"/>
  <c r="D85" i="6"/>
  <c r="F85" i="6" l="1"/>
  <c r="G85" i="6" s="1"/>
  <c r="H85" i="6" s="1"/>
  <c r="D86" i="6"/>
  <c r="B87" i="6"/>
  <c r="E86" i="6" l="1"/>
  <c r="F86" i="6"/>
  <c r="G86" i="6" s="1"/>
  <c r="H86" i="6" s="1"/>
  <c r="B88" i="6"/>
  <c r="D87" i="6"/>
  <c r="E87" i="6" l="1"/>
  <c r="F87" i="6"/>
  <c r="G87" i="6" s="1"/>
  <c r="H87" i="6" s="1"/>
  <c r="D88" i="6"/>
  <c r="B89" i="6"/>
  <c r="E88" i="6" l="1"/>
  <c r="F88" i="6" s="1"/>
  <c r="G88" i="6" s="1"/>
  <c r="H88" i="6" s="1"/>
  <c r="E89" i="6"/>
  <c r="B90" i="6"/>
  <c r="D89" i="6"/>
  <c r="F89" i="6" l="1"/>
  <c r="G89" i="6" s="1"/>
  <c r="H89" i="6" s="1"/>
  <c r="D90" i="6"/>
  <c r="E90" i="6"/>
  <c r="B91" i="6"/>
  <c r="F90" i="6" l="1"/>
  <c r="G90" i="6" s="1"/>
  <c r="H90" i="6" s="1"/>
  <c r="B92" i="6"/>
  <c r="D91" i="6"/>
  <c r="E91" i="6"/>
  <c r="F91" i="6" l="1"/>
  <c r="G91" i="6" s="1"/>
  <c r="H91" i="6" s="1"/>
  <c r="D92" i="6"/>
  <c r="B93" i="6"/>
  <c r="E92" i="6" l="1"/>
  <c r="F92" i="6" s="1"/>
  <c r="G92" i="6" s="1"/>
  <c r="B94" i="6"/>
  <c r="D93" i="6"/>
  <c r="H92" i="6" l="1"/>
  <c r="E93" i="6"/>
  <c r="F93" i="6" s="1"/>
  <c r="G93" i="6" s="1"/>
  <c r="D94" i="6"/>
  <c r="K12" i="6"/>
  <c r="H93" i="6" l="1"/>
  <c r="E94" i="6"/>
  <c r="F94" i="6" s="1"/>
  <c r="G94" i="6" s="1"/>
  <c r="K13" i="6"/>
  <c r="H94" i="6" l="1"/>
  <c r="K15" i="6" s="1"/>
  <c r="K14" i="6"/>
</calcChain>
</file>

<file path=xl/sharedStrings.xml><?xml version="1.0" encoding="utf-8"?>
<sst xmlns="http://schemas.openxmlformats.org/spreadsheetml/2006/main" count="75" uniqueCount="25">
  <si>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</si>
  <si>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</si>
  <si>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</si>
  <si>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</si>
  <si>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</si>
  <si>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</si>
  <si>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</si>
  <si>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</si>
  <si>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</si>
  <si>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</si>
  <si>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</si>
  <si>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</si>
  <si>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</si>
  <si>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</si>
  <si>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</si>
  <si>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</si>
  <si>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</si>
  <si>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</si>
  <si>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</si>
  <si>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</si>
  <si>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Reference Id</t>
  </si>
  <si>
    <t>Bidyabati</t>
  </si>
  <si>
    <t>Bidyabati2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</si>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</sst>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zoomScaleNormal="100" workbookViewId="0">
      <pane ySplit="1" topLeftCell="A2" activePane="bottomLeft" state="frozen"/>
      <selection pane="bottomLeft" activeCell="A93" sqref="A93:A121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2.8554687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46170</v>
      </c>
      <c r="B2" s="23">
        <f>IF(A2&lt;&gt;"",1,"")</f>
        <v>1</v>
      </c>
      <c r="C2" s="3"/>
      <c r="D2" s="4">
        <f t="shared" ref="D2:D33" si="0">IF(AND($A2&lt;&gt;"",$B2&lt;&gt;""),$K$9,"")</f>
        <v>100</v>
      </c>
      <c r="E2" s="4">
        <f>IF(AND($A2&lt;&gt;"",$B2&lt;&gt;""),$K$7*$K$8,"")</f>
        <v>31.14181946001214</v>
      </c>
      <c r="F2" s="4">
        <f>IF(AND($A2&lt;&gt;"",$B2&lt;&gt;""),D2-E2,"")</f>
        <v>68.858180539987856</v>
      </c>
      <c r="G2" s="4">
        <f>IF(AND($A2&lt;&gt;"",$B2&lt;&gt;""),$K$7-F2,"")</f>
        <v>9931.1418194600119</v>
      </c>
      <c r="H2" s="4">
        <f>IF(AND($A2&lt;&gt;"",$B2&lt;&gt;""),$K$7-G2,"")</f>
        <v>68.858180539988098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L10000D120-Bidyabati-NLoan1</v>
      </c>
    </row>
    <row r="3" spans="1:12" x14ac:dyDescent="0.3">
      <c r="A3" s="19">
        <v>46171</v>
      </c>
      <c r="B3" s="24">
        <f>IF(A3&lt;&gt;"",B2+1,"")</f>
        <v>2</v>
      </c>
      <c r="C3" s="20"/>
      <c r="D3" s="21">
        <f t="shared" si="0"/>
        <v>100</v>
      </c>
      <c r="E3" s="21">
        <f t="shared" ref="E3:E34" si="1">IF(AND($A3&lt;&gt;"",$B3&lt;&gt;""),G2*$K$8,"")</f>
        <v>30.927382557340017</v>
      </c>
      <c r="F3" s="21">
        <f>IF(AND($A3&lt;&gt;"",$B3&lt;&gt;""),D3-E3,"")</f>
        <v>69.072617442659975</v>
      </c>
      <c r="G3" s="21">
        <f>IF(AND($A3&lt;&gt;"",$B3&lt;&gt;""),G2-F3,"")</f>
        <v>9862.0692020173519</v>
      </c>
      <c r="H3" s="21">
        <f t="shared" ref="H3:H34" si="2">IF(AND($A3&lt;&gt;"",$B3&lt;&gt;""),$K$7-G3,"")</f>
        <v>137.93079798264807</v>
      </c>
      <c r="J3" s="5" t="s">
        <v>10</v>
      </c>
      <c r="K3" s="27" t="s">
        <v>21</v>
      </c>
    </row>
    <row r="4" spans="1:12" x14ac:dyDescent="0.3">
      <c r="A4" s="2">
        <v>46172</v>
      </c>
      <c r="B4" s="23">
        <f t="shared" ref="B4:B67" si="3">IF(A4&lt;&gt;"",B3+1,"")</f>
        <v>3</v>
      </c>
      <c r="C4" s="3"/>
      <c r="D4" s="4">
        <f t="shared" si="0"/>
        <v>100</v>
      </c>
      <c r="E4" s="4">
        <f t="shared" si="1"/>
        <v>30.712277859137039</v>
      </c>
      <c r="F4" s="4">
        <f>IF(AND($A4&lt;&gt;"",$B4&lt;&gt;""),D4-E4,"")</f>
        <v>69.287722140862968</v>
      </c>
      <c r="G4" s="4">
        <f>IF(AND($A4&lt;&gt;"",$B4&lt;&gt;""),G3-F4,"")</f>
        <v>9792.7814798764884</v>
      </c>
      <c r="H4" s="4">
        <f t="shared" si="2"/>
        <v>207.21852012351155</v>
      </c>
      <c r="J4" s="5" t="s">
        <v>11</v>
      </c>
      <c r="K4" s="27"/>
    </row>
    <row r="5" spans="1:12" x14ac:dyDescent="0.3">
      <c r="A5" s="19">
        <v>46173</v>
      </c>
      <c r="B5" s="24">
        <f t="shared" si="3"/>
        <v>4</v>
      </c>
      <c r="C5" s="20"/>
      <c r="D5" s="21">
        <f t="shared" si="0"/>
        <v>100</v>
      </c>
      <c r="E5" s="21">
        <f t="shared" si="1"/>
        <v>30.496503285766412</v>
      </c>
      <c r="F5" s="21">
        <f>IF(AND($A5&lt;&gt;"",$B5&lt;&gt;""),D5-E5,"")</f>
        <v>69.503496714233592</v>
      </c>
      <c r="G5" s="21">
        <f>IF(AND($A5&lt;&gt;"",$B5&lt;&gt;""),G4-F5,"")</f>
        <v>9723.2779831622556</v>
      </c>
      <c r="H5" s="21">
        <f t="shared" si="2"/>
        <v>276.72201683774438</v>
      </c>
      <c r="J5" s="5" t="s">
        <v>12</v>
      </c>
      <c r="K5" s="27"/>
    </row>
    <row r="6" spans="1:12" x14ac:dyDescent="0.3">
      <c r="A6" s="2">
        <v>46174</v>
      </c>
      <c r="B6" s="23">
        <f t="shared" si="3"/>
        <v>5</v>
      </c>
      <c r="C6" s="3"/>
      <c r="D6" s="4">
        <f t="shared" si="0"/>
        <v>100</v>
      </c>
      <c r="E6" s="4">
        <f t="shared" si="1"/>
        <v>30.280056751114994</v>
      </c>
      <c r="F6" s="4">
        <f>IF(AND($A6&lt;&gt;"",$B6&lt;&gt;""),D6-E6,"")</f>
        <v>69.719943248885002</v>
      </c>
      <c r="G6" s="4">
        <f t="shared" ref="G6:G69" si="4">IF(AND($A6&lt;&gt;"",$B6&lt;&gt;""),G5-F6,"")</f>
        <v>9653.5580399133705</v>
      </c>
      <c r="H6" s="4">
        <f t="shared" si="2"/>
        <v>346.44196008662948</v>
      </c>
      <c r="J6" s="5" t="s">
        <v>13</v>
      </c>
      <c r="K6" s="27"/>
    </row>
    <row r="7" spans="1:12" x14ac:dyDescent="0.3">
      <c r="A7" s="19">
        <v>46175</v>
      </c>
      <c r="B7" s="24">
        <f t="shared" si="3"/>
        <v>6</v>
      </c>
      <c r="C7" s="20"/>
      <c r="D7" s="21">
        <f t="shared" si="0"/>
        <v>100</v>
      </c>
      <c r="E7" s="21">
        <f t="shared" si="1"/>
        <v>30.062936162573088</v>
      </c>
      <c r="F7" s="21">
        <f t="shared" ref="F7:F70" si="5">IF(AND($A7&lt;&gt;"",$B7&lt;&gt;""),D7-E7,"")</f>
        <v>69.937063837426905</v>
      </c>
      <c r="G7" s="21">
        <f t="shared" si="4"/>
        <v>9583.620976075943</v>
      </c>
      <c r="H7" s="21">
        <f t="shared" si="2"/>
        <v>416.37902392405704</v>
      </c>
      <c r="J7" s="5" t="s">
        <v>7</v>
      </c>
      <c r="K7" s="28">
        <v>10000</v>
      </c>
    </row>
    <row r="8" spans="1:12" x14ac:dyDescent="0.3">
      <c r="A8" s="2">
        <v>46176</v>
      </c>
      <c r="B8" s="23">
        <f t="shared" si="3"/>
        <v>7</v>
      </c>
      <c r="C8" s="3"/>
      <c r="D8" s="4">
        <f t="shared" si="0"/>
        <v>100</v>
      </c>
      <c r="E8" s="4">
        <f t="shared" si="1"/>
        <v>29.845139421014235</v>
      </c>
      <c r="F8" s="4">
        <f t="shared" si="5"/>
        <v>70.154860578985762</v>
      </c>
      <c r="G8" s="4">
        <f t="shared" si="4"/>
        <v>9513.4661154969581</v>
      </c>
      <c r="H8" s="4">
        <f t="shared" si="2"/>
        <v>486.53388450304192</v>
      </c>
      <c r="J8" s="5" t="s">
        <v>14</v>
      </c>
      <c r="K8" s="29">
        <f>RATE(K10,-K9,K7)</f>
        <v>3.1141819460012141E-3</v>
      </c>
    </row>
    <row r="9" spans="1:12" x14ac:dyDescent="0.3">
      <c r="A9" s="19">
        <v>46177</v>
      </c>
      <c r="B9" s="24">
        <f t="shared" si="3"/>
        <v>8</v>
      </c>
      <c r="C9" s="20"/>
      <c r="D9" s="21">
        <f t="shared" si="0"/>
        <v>100</v>
      </c>
      <c r="E9" s="21">
        <f t="shared" si="1"/>
        <v>29.626664420774929</v>
      </c>
      <c r="F9" s="21">
        <f t="shared" si="5"/>
        <v>70.373335579225071</v>
      </c>
      <c r="G9" s="21">
        <f t="shared" si="4"/>
        <v>9443.0927799177334</v>
      </c>
      <c r="H9" s="21">
        <f t="shared" si="2"/>
        <v>556.90722008226658</v>
      </c>
      <c r="J9" s="5" t="s">
        <v>8</v>
      </c>
      <c r="K9" s="30">
        <v>100</v>
      </c>
    </row>
    <row r="10" spans="1:12" x14ac:dyDescent="0.3">
      <c r="A10" s="2">
        <v>46178</v>
      </c>
      <c r="B10" s="23">
        <f t="shared" si="3"/>
        <v>9</v>
      </c>
      <c r="C10" s="3"/>
      <c r="D10" s="4">
        <f t="shared" si="0"/>
        <v>100</v>
      </c>
      <c r="E10" s="4">
        <f t="shared" si="1"/>
        <v>29.407509049634221</v>
      </c>
      <c r="F10" s="4">
        <f t="shared" si="5"/>
        <v>70.592490950365772</v>
      </c>
      <c r="G10" s="4">
        <f t="shared" si="4"/>
        <v>9372.5002889673669</v>
      </c>
      <c r="H10" s="4">
        <f t="shared" si="2"/>
        <v>627.49971103263306</v>
      </c>
      <c r="J10" s="5" t="s">
        <v>15</v>
      </c>
      <c r="K10" s="31">
        <v>120</v>
      </c>
    </row>
    <row r="11" spans="1:12" ht="17.25" thickBot="1" x14ac:dyDescent="0.35">
      <c r="A11" s="19">
        <v>46179</v>
      </c>
      <c r="B11" s="24">
        <f t="shared" si="3"/>
        <v>10</v>
      </c>
      <c r="C11" s="20"/>
      <c r="D11" s="21">
        <f t="shared" si="0"/>
        <v>100</v>
      </c>
      <c r="E11" s="21">
        <f t="shared" si="1"/>
        <v>29.187671188793338</v>
      </c>
      <c r="F11" s="21">
        <f t="shared" si="5"/>
        <v>70.812328811206669</v>
      </c>
      <c r="G11" s="21">
        <f t="shared" si="4"/>
        <v>9301.6879601561595</v>
      </c>
      <c r="H11" s="21">
        <f t="shared" si="2"/>
        <v>698.31203984384047</v>
      </c>
      <c r="J11" s="8"/>
      <c r="L11" s="22"/>
    </row>
    <row r="12" spans="1:12" x14ac:dyDescent="0.3">
      <c r="A12" s="2">
        <v>46180</v>
      </c>
      <c r="B12" s="23">
        <f t="shared" si="3"/>
        <v>11</v>
      </c>
      <c r="C12" s="3"/>
      <c r="D12" s="4">
        <f t="shared" si="0"/>
        <v>100</v>
      </c>
      <c r="E12" s="4">
        <f t="shared" si="1"/>
        <v>28.967148712855174</v>
      </c>
      <c r="F12" s="4">
        <f t="shared" si="5"/>
        <v>71.032851287144823</v>
      </c>
      <c r="G12" s="4">
        <f t="shared" si="4"/>
        <v>9230.6551088690139</v>
      </c>
      <c r="H12" s="4">
        <f t="shared" si="2"/>
        <v>769.34489113098607</v>
      </c>
      <c r="J12" s="9" t="s">
        <v>16</v>
      </c>
      <c r="K12" s="10">
        <f>IFERROR(MAX($B:$B),"")</f>
        <v>120</v>
      </c>
    </row>
    <row r="13" spans="1:12" x14ac:dyDescent="0.3">
      <c r="A13" s="19">
        <v>46181</v>
      </c>
      <c r="B13" s="24">
        <f t="shared" si="3"/>
        <v>12</v>
      </c>
      <c r="C13" s="20"/>
      <c r="D13" s="21">
        <f t="shared" si="0"/>
        <v>100</v>
      </c>
      <c r="E13" s="21">
        <f t="shared" si="1"/>
        <v>28.745939489803757</v>
      </c>
      <c r="F13" s="21">
        <f t="shared" si="5"/>
        <v>71.25406051019624</v>
      </c>
      <c r="G13" s="21">
        <f t="shared" si="4"/>
        <v>9159.4010483588172</v>
      </c>
      <c r="H13" s="21">
        <f t="shared" si="2"/>
        <v>840.59895164118279</v>
      </c>
      <c r="J13" s="25" t="s">
        <v>23</v>
      </c>
      <c r="K13" s="12">
        <f>(K10*K9)-K9*K12</f>
        <v>0</v>
      </c>
    </row>
    <row r="14" spans="1:12" x14ac:dyDescent="0.3">
      <c r="A14" s="2">
        <v>46182</v>
      </c>
      <c r="B14" s="23">
        <f t="shared" si="3"/>
        <v>13</v>
      </c>
      <c r="C14" s="3"/>
      <c r="D14" s="4">
        <f t="shared" si="0"/>
        <v>100</v>
      </c>
      <c r="E14" s="4">
        <f t="shared" si="1"/>
        <v>28.524041380983622</v>
      </c>
      <c r="F14" s="4">
        <f t="shared" si="5"/>
        <v>71.475958619016382</v>
      </c>
      <c r="G14" s="4">
        <f t="shared" si="4"/>
        <v>9087.9250897398015</v>
      </c>
      <c r="H14" s="4">
        <f t="shared" si="2"/>
        <v>912.07491026019852</v>
      </c>
      <c r="J14" s="11" t="s">
        <v>24</v>
      </c>
      <c r="K14" s="12">
        <f>IF(A2="", K9*K10, IFERROR(INDEX($G:$G, MATCH($K$12, $B:$B, 0)), 0))</f>
        <v>4.5272940951690543E-10</v>
      </c>
    </row>
    <row r="15" spans="1:12" ht="17.25" thickBot="1" x14ac:dyDescent="0.35">
      <c r="A15" s="19">
        <v>46183</v>
      </c>
      <c r="B15" s="24">
        <f t="shared" si="3"/>
        <v>14</v>
      </c>
      <c r="C15" s="20"/>
      <c r="D15" s="21">
        <f t="shared" si="0"/>
        <v>100</v>
      </c>
      <c r="E15" s="21">
        <f t="shared" si="1"/>
        <v>28.301452241079154</v>
      </c>
      <c r="F15" s="21">
        <f t="shared" si="5"/>
        <v>71.698547758920853</v>
      </c>
      <c r="G15" s="21">
        <f t="shared" si="4"/>
        <v>9016.2265419808809</v>
      </c>
      <c r="H15" s="21">
        <f t="shared" si="2"/>
        <v>983.77345801911906</v>
      </c>
      <c r="J15" s="13" t="s">
        <v>6</v>
      </c>
      <c r="K15" s="14">
        <f>IFERROR(INDEX($H:$H, MATCH($K$12, $B:$B, 0)), 0)</f>
        <v>9999.9999999995471</v>
      </c>
    </row>
    <row r="16" spans="1:12" x14ac:dyDescent="0.3">
      <c r="A16" s="2">
        <v>46184</v>
      </c>
      <c r="B16" s="23">
        <f t="shared" si="3"/>
        <v>15</v>
      </c>
      <c r="C16" s="3"/>
      <c r="D16" s="4">
        <f t="shared" si="0"/>
        <v>100</v>
      </c>
      <c r="E16" s="4">
        <f t="shared" si="1"/>
        <v>28.078169918093817</v>
      </c>
      <c r="F16" s="4">
        <f t="shared" si="5"/>
        <v>71.92183008190618</v>
      </c>
      <c r="G16" s="4">
        <f t="shared" si="4"/>
        <v>8944.3047118989743</v>
      </c>
      <c r="H16" s="4">
        <f t="shared" si="2"/>
        <v>1055.6952881010257</v>
      </c>
      <c r="J16" s="15" t="s">
        <v>18</v>
      </c>
      <c r="K16" s="16">
        <f>IF(A2,A2, "")</f>
        <v>46170</v>
      </c>
    </row>
    <row r="17" spans="1:11" x14ac:dyDescent="0.3">
      <c r="A17" s="19">
        <v>46185</v>
      </c>
      <c r="B17" s="24">
        <f t="shared" si="3"/>
        <v>16</v>
      </c>
      <c r="C17" s="20"/>
      <c r="D17" s="21">
        <f t="shared" si="0"/>
        <v>100</v>
      </c>
      <c r="E17" s="21">
        <f t="shared" si="1"/>
        <v>27.854192253329376</v>
      </c>
      <c r="F17" s="21">
        <f t="shared" si="5"/>
        <v>72.145807746670627</v>
      </c>
      <c r="G17" s="21">
        <f t="shared" si="4"/>
        <v>8872.1589041523039</v>
      </c>
      <c r="H17" s="21">
        <f t="shared" si="2"/>
        <v>1127.8410958476961</v>
      </c>
      <c r="J17" s="17" t="s">
        <v>19</v>
      </c>
      <c r="K17" s="18">
        <f xml:space="preserve"> IF(A2,(K16 + 120),"")</f>
        <v>46290</v>
      </c>
    </row>
    <row r="18" spans="1:11" x14ac:dyDescent="0.3">
      <c r="A18" s="2">
        <v>46186</v>
      </c>
      <c r="B18" s="23">
        <f t="shared" si="3"/>
        <v>17</v>
      </c>
      <c r="C18" s="3"/>
      <c r="D18" s="4">
        <f t="shared" si="0"/>
        <v>100</v>
      </c>
      <c r="E18" s="4">
        <f t="shared" si="1"/>
        <v>27.629517081365023</v>
      </c>
      <c r="F18" s="4">
        <f t="shared" si="5"/>
        <v>72.370482918634977</v>
      </c>
      <c r="G18" s="4">
        <f t="shared" si="4"/>
        <v>8799.7884212336685</v>
      </c>
      <c r="H18" s="4">
        <f t="shared" si="2"/>
        <v>1200.2115787663315</v>
      </c>
    </row>
    <row r="19" spans="1:11" x14ac:dyDescent="0.3">
      <c r="A19" s="19">
        <v>46187</v>
      </c>
      <c r="B19" s="24">
        <f t="shared" si="3"/>
        <v>18</v>
      </c>
      <c r="C19" s="20"/>
      <c r="D19" s="21">
        <f t="shared" si="0"/>
        <v>100</v>
      </c>
      <c r="E19" s="21">
        <f t="shared" si="1"/>
        <v>27.404142230036417</v>
      </c>
      <c r="F19" s="21">
        <f t="shared" si="5"/>
        <v>72.595857769963587</v>
      </c>
      <c r="G19" s="21">
        <f t="shared" si="4"/>
        <v>8727.1925634637046</v>
      </c>
      <c r="H19" s="21">
        <f t="shared" si="2"/>
        <v>1272.8074365362954</v>
      </c>
    </row>
    <row r="20" spans="1:11" x14ac:dyDescent="0.3">
      <c r="A20" s="2">
        <v>46188</v>
      </c>
      <c r="B20" s="23">
        <f t="shared" si="3"/>
        <v>19</v>
      </c>
      <c r="C20" s="3"/>
      <c r="D20" s="4">
        <f t="shared" si="0"/>
        <v>100</v>
      </c>
      <c r="E20" s="4">
        <f t="shared" si="1"/>
        <v>27.178065520414723</v>
      </c>
      <c r="F20" s="4">
        <f t="shared" si="5"/>
        <v>72.821934479585281</v>
      </c>
      <c r="G20" s="4">
        <f t="shared" si="4"/>
        <v>8654.3706289841193</v>
      </c>
      <c r="H20" s="4">
        <f t="shared" si="2"/>
        <v>1345.6293710158807</v>
      </c>
      <c r="J20" s="22"/>
      <c r="K20" s="22"/>
    </row>
    <row r="21" spans="1:11" x14ac:dyDescent="0.3">
      <c r="A21" s="19">
        <v>46189</v>
      </c>
      <c r="B21" s="24">
        <f t="shared" si="3"/>
        <v>20</v>
      </c>
      <c r="C21" s="20"/>
      <c r="D21" s="21">
        <f t="shared" si="0"/>
        <v>100</v>
      </c>
      <c r="E21" s="21">
        <f t="shared" si="1"/>
        <v>26.951284766785516</v>
      </c>
      <c r="F21" s="21">
        <f t="shared" si="5"/>
        <v>73.04871523321448</v>
      </c>
      <c r="G21" s="21">
        <f t="shared" si="4"/>
        <v>8581.3219137509041</v>
      </c>
      <c r="H21" s="21">
        <f t="shared" si="2"/>
        <v>1418.6780862490959</v>
      </c>
    </row>
    <row r="22" spans="1:11" x14ac:dyDescent="0.3">
      <c r="A22" s="2">
        <v>46190</v>
      </c>
      <c r="B22" s="23">
        <f t="shared" si="3"/>
        <v>21</v>
      </c>
      <c r="C22" s="3"/>
      <c r="D22" s="4">
        <f t="shared" si="0"/>
        <v>100</v>
      </c>
      <c r="E22" s="4">
        <f t="shared" si="1"/>
        <v>26.723797776627652</v>
      </c>
      <c r="F22" s="4">
        <f t="shared" si="5"/>
        <v>73.276202223372351</v>
      </c>
      <c r="G22" s="4">
        <f t="shared" si="4"/>
        <v>8508.0457115275312</v>
      </c>
      <c r="H22" s="4">
        <f t="shared" si="2"/>
        <v>1491.9542884724688</v>
      </c>
    </row>
    <row r="23" spans="1:11" x14ac:dyDescent="0.3">
      <c r="A23" s="19">
        <v>46191</v>
      </c>
      <c r="B23" s="24">
        <f t="shared" si="3"/>
        <v>22</v>
      </c>
      <c r="C23" s="20"/>
      <c r="D23" s="21">
        <f t="shared" si="0"/>
        <v>100</v>
      </c>
      <c r="E23" s="21">
        <f t="shared" si="1"/>
        <v>26.49560235059209</v>
      </c>
      <c r="F23" s="21">
        <f t="shared" si="5"/>
        <v>73.504397649407906</v>
      </c>
      <c r="G23" s="21">
        <f t="shared" si="4"/>
        <v>8434.5413138781241</v>
      </c>
      <c r="H23" s="21">
        <f t="shared" si="2"/>
        <v>1565.4586861218759</v>
      </c>
    </row>
    <row r="24" spans="1:11" x14ac:dyDescent="0.3">
      <c r="A24" s="2">
        <v>46192</v>
      </c>
      <c r="B24" s="23">
        <f t="shared" si="3"/>
        <v>23</v>
      </c>
      <c r="C24" s="3"/>
      <c r="D24" s="4">
        <f t="shared" si="0"/>
        <v>100</v>
      </c>
      <c r="E24" s="4">
        <f t="shared" si="1"/>
        <v>26.266696282480613</v>
      </c>
      <c r="F24" s="4">
        <f t="shared" si="5"/>
        <v>73.733303717519391</v>
      </c>
      <c r="G24" s="4">
        <f t="shared" si="4"/>
        <v>8360.8080101606047</v>
      </c>
      <c r="H24" s="4">
        <f t="shared" si="2"/>
        <v>1639.1919898393953</v>
      </c>
    </row>
    <row r="25" spans="1:11" x14ac:dyDescent="0.3">
      <c r="A25" s="19">
        <v>46193</v>
      </c>
      <c r="B25" s="24">
        <f t="shared" si="3"/>
        <v>24</v>
      </c>
      <c r="C25" s="20"/>
      <c r="D25" s="21">
        <f t="shared" si="0"/>
        <v>100</v>
      </c>
      <c r="E25" s="21">
        <f t="shared" si="1"/>
        <v>26.03707735922449</v>
      </c>
      <c r="F25" s="21">
        <f t="shared" si="5"/>
        <v>73.962922640775503</v>
      </c>
      <c r="G25" s="21">
        <f t="shared" si="4"/>
        <v>8286.8450875198287</v>
      </c>
      <c r="H25" s="21">
        <f t="shared" si="2"/>
        <v>1713.1549124801713</v>
      </c>
    </row>
    <row r="26" spans="1:11" x14ac:dyDescent="0.3">
      <c r="A26" s="2">
        <v>46194</v>
      </c>
      <c r="B26" s="23">
        <f t="shared" si="3"/>
        <v>25</v>
      </c>
      <c r="C26" s="3"/>
      <c r="D26" s="4">
        <f t="shared" si="0"/>
        <v>100</v>
      </c>
      <c r="E26" s="4">
        <f t="shared" si="1"/>
        <v>25.806743360863102</v>
      </c>
      <c r="F26" s="4">
        <f t="shared" si="5"/>
        <v>74.193256639136905</v>
      </c>
      <c r="G26" s="4">
        <f t="shared" si="4"/>
        <v>8212.6518308806917</v>
      </c>
      <c r="H26" s="4">
        <f t="shared" si="2"/>
        <v>1787.3481691193083</v>
      </c>
    </row>
    <row r="27" spans="1:11" x14ac:dyDescent="0.3">
      <c r="A27" s="19">
        <v>46195</v>
      </c>
      <c r="B27" s="24">
        <f t="shared" si="3"/>
        <v>26</v>
      </c>
      <c r="C27" s="20"/>
      <c r="D27" s="21">
        <f t="shared" si="0"/>
        <v>100</v>
      </c>
      <c r="E27" s="21">
        <f t="shared" si="1"/>
        <v>25.575692060522467</v>
      </c>
      <c r="F27" s="21">
        <f t="shared" si="5"/>
        <v>74.424307939477529</v>
      </c>
      <c r="G27" s="21">
        <f t="shared" si="4"/>
        <v>8138.2275229412144</v>
      </c>
      <c r="H27" s="21">
        <f t="shared" si="2"/>
        <v>1861.7724770587856</v>
      </c>
    </row>
    <row r="28" spans="1:11" x14ac:dyDescent="0.3">
      <c r="A28" s="2">
        <v>46196</v>
      </c>
      <c r="B28" s="23">
        <f t="shared" si="3"/>
        <v>27</v>
      </c>
      <c r="C28" s="3"/>
      <c r="D28" s="4">
        <f t="shared" si="0"/>
        <v>100</v>
      </c>
      <c r="E28" s="4">
        <f t="shared" si="1"/>
        <v>25.343921224393711</v>
      </c>
      <c r="F28" s="4">
        <f t="shared" si="5"/>
        <v>74.656078775606289</v>
      </c>
      <c r="G28" s="4">
        <f t="shared" si="4"/>
        <v>8063.5714441656082</v>
      </c>
      <c r="H28" s="4">
        <f t="shared" si="2"/>
        <v>1936.4285558343918</v>
      </c>
    </row>
    <row r="29" spans="1:11" x14ac:dyDescent="0.3">
      <c r="A29" s="19">
        <v>46197</v>
      </c>
      <c r="B29" s="24">
        <f t="shared" si="3"/>
        <v>28</v>
      </c>
      <c r="C29" s="20"/>
      <c r="D29" s="21">
        <f t="shared" si="0"/>
        <v>100</v>
      </c>
      <c r="E29" s="21">
        <f t="shared" si="1"/>
        <v>25.111428611711474</v>
      </c>
      <c r="F29" s="21">
        <f t="shared" si="5"/>
        <v>74.888571388288526</v>
      </c>
      <c r="G29" s="21">
        <f t="shared" si="4"/>
        <v>7988.68287277732</v>
      </c>
      <c r="H29" s="21">
        <f t="shared" si="2"/>
        <v>2011.31712722268</v>
      </c>
    </row>
    <row r="30" spans="1:11" x14ac:dyDescent="0.3">
      <c r="A30" s="2">
        <v>46198</v>
      </c>
      <c r="B30" s="23">
        <f t="shared" si="3"/>
        <v>29</v>
      </c>
      <c r="C30" s="3"/>
      <c r="D30" s="4">
        <f t="shared" si="0"/>
        <v>100</v>
      </c>
      <c r="E30" s="4">
        <f t="shared" si="1"/>
        <v>24.878211974732245</v>
      </c>
      <c r="F30" s="4">
        <f t="shared" si="5"/>
        <v>75.121788025267762</v>
      </c>
      <c r="G30" s="4">
        <f t="shared" si="4"/>
        <v>7913.561084752052</v>
      </c>
      <c r="H30" s="4">
        <f t="shared" si="2"/>
        <v>2086.438915247948</v>
      </c>
    </row>
    <row r="31" spans="1:11" x14ac:dyDescent="0.3">
      <c r="A31" s="19">
        <v>46199</v>
      </c>
      <c r="B31" s="24">
        <f t="shared" si="3"/>
        <v>30</v>
      </c>
      <c r="C31" s="20"/>
      <c r="D31" s="21">
        <f t="shared" si="0"/>
        <v>100</v>
      </c>
      <c r="E31" s="21">
        <f t="shared" si="1"/>
        <v>24.644269058712624</v>
      </c>
      <c r="F31" s="21">
        <f t="shared" si="5"/>
        <v>75.355730941287376</v>
      </c>
      <c r="G31" s="21">
        <f t="shared" si="4"/>
        <v>7838.2053538107648</v>
      </c>
      <c r="H31" s="21">
        <f t="shared" si="2"/>
        <v>2161.7946461892352</v>
      </c>
    </row>
    <row r="32" spans="1:11" x14ac:dyDescent="0.3">
      <c r="A32" s="2">
        <v>46200</v>
      </c>
      <c r="B32" s="23">
        <f t="shared" si="3"/>
        <v>31</v>
      </c>
      <c r="C32" s="3"/>
      <c r="D32" s="4">
        <f t="shared" si="0"/>
        <v>100</v>
      </c>
      <c r="E32" s="4">
        <f t="shared" si="1"/>
        <v>24.409597601887544</v>
      </c>
      <c r="F32" s="4">
        <f t="shared" si="5"/>
        <v>75.59040239811246</v>
      </c>
      <c r="G32" s="4">
        <f t="shared" si="4"/>
        <v>7762.6149514126528</v>
      </c>
      <c r="H32" s="4">
        <f t="shared" si="2"/>
        <v>2237.3850485873472</v>
      </c>
    </row>
    <row r="33" spans="1:8" x14ac:dyDescent="0.3">
      <c r="A33" s="19">
        <v>46201</v>
      </c>
      <c r="B33" s="24">
        <f t="shared" si="3"/>
        <v>32</v>
      </c>
      <c r="C33" s="20"/>
      <c r="D33" s="21">
        <f t="shared" si="0"/>
        <v>100</v>
      </c>
      <c r="E33" s="21">
        <f t="shared" si="1"/>
        <v>24.174195335448374</v>
      </c>
      <c r="F33" s="21">
        <f t="shared" si="5"/>
        <v>75.825804664551626</v>
      </c>
      <c r="G33" s="21">
        <f t="shared" si="4"/>
        <v>7686.7891467481013</v>
      </c>
      <c r="H33" s="21">
        <f t="shared" si="2"/>
        <v>2313.2108532518987</v>
      </c>
    </row>
    <row r="34" spans="1:8" x14ac:dyDescent="0.3">
      <c r="A34" s="2">
        <v>46202</v>
      </c>
      <c r="B34" s="23">
        <f t="shared" si="3"/>
        <v>33</v>
      </c>
      <c r="C34" s="3"/>
      <c r="D34" s="4">
        <f t="shared" ref="D34:D65" si="6">IF(AND($A34&lt;&gt;"",$B34&lt;&gt;""),$K$9,"")</f>
        <v>100</v>
      </c>
      <c r="E34" s="4">
        <f t="shared" si="1"/>
        <v>23.938059983521015</v>
      </c>
      <c r="F34" s="4">
        <f t="shared" si="5"/>
        <v>76.061940016478985</v>
      </c>
      <c r="G34" s="4">
        <f t="shared" si="4"/>
        <v>7610.7272067316226</v>
      </c>
      <c r="H34" s="4">
        <f t="shared" si="2"/>
        <v>2389.2727932683774</v>
      </c>
    </row>
    <row r="35" spans="1:8" x14ac:dyDescent="0.3">
      <c r="A35" s="19">
        <v>46203</v>
      </c>
      <c r="B35" s="24">
        <f t="shared" si="3"/>
        <v>34</v>
      </c>
      <c r="C35" s="20"/>
      <c r="D35" s="21">
        <f t="shared" si="6"/>
        <v>100</v>
      </c>
      <c r="E35" s="21">
        <f t="shared" ref="E35:E66" si="7">IF(AND($A35&lt;&gt;"",$B35&lt;&gt;""),G34*$K$8,"")</f>
        <v>23.701189263143871</v>
      </c>
      <c r="F35" s="21">
        <f t="shared" si="5"/>
        <v>76.298810736856126</v>
      </c>
      <c r="G35" s="21">
        <f t="shared" si="4"/>
        <v>7534.4283959947661</v>
      </c>
      <c r="H35" s="21">
        <f t="shared" ref="H35:H66" si="8">IF(AND($A35&lt;&gt;"",$B35&lt;&gt;""),$K$7-G35,"")</f>
        <v>2465.5716040052339</v>
      </c>
    </row>
    <row r="36" spans="1:8" x14ac:dyDescent="0.3">
      <c r="A36" s="2">
        <v>46174</v>
      </c>
      <c r="B36" s="23">
        <f t="shared" si="3"/>
        <v>35</v>
      </c>
      <c r="C36" s="3"/>
      <c r="D36" s="4">
        <f t="shared" si="6"/>
        <v>100</v>
      </c>
      <c r="E36" s="4">
        <f t="shared" si="7"/>
        <v>23.463580884245786</v>
      </c>
      <c r="F36" s="4">
        <f t="shared" si="5"/>
        <v>76.536419115754214</v>
      </c>
      <c r="G36" s="4">
        <f t="shared" si="4"/>
        <v>7457.891976879012</v>
      </c>
      <c r="H36" s="4">
        <f t="shared" si="8"/>
        <v>2542.108023120988</v>
      </c>
    </row>
    <row r="37" spans="1:8" x14ac:dyDescent="0.3">
      <c r="A37" s="19">
        <v>46175</v>
      </c>
      <c r="B37" s="24">
        <f t="shared" si="3"/>
        <v>36</v>
      </c>
      <c r="C37" s="20"/>
      <c r="D37" s="21">
        <f t="shared" si="6"/>
        <v>100</v>
      </c>
      <c r="E37" s="21">
        <f t="shared" si="7"/>
        <v>23.225232549623925</v>
      </c>
      <c r="F37" s="21">
        <f t="shared" si="5"/>
        <v>76.774767450376075</v>
      </c>
      <c r="G37" s="21">
        <f t="shared" si="4"/>
        <v>7381.1172094286358</v>
      </c>
      <c r="H37" s="21">
        <f t="shared" si="8"/>
        <v>2618.8827905713642</v>
      </c>
    </row>
    <row r="38" spans="1:8" x14ac:dyDescent="0.3">
      <c r="A38" s="2">
        <v>46206</v>
      </c>
      <c r="B38" s="23">
        <f t="shared" si="3"/>
        <v>37</v>
      </c>
      <c r="C38" s="3"/>
      <c r="D38" s="4">
        <f t="shared" si="6"/>
        <v>100</v>
      </c>
      <c r="E38" s="4">
        <f t="shared" si="7"/>
        <v>22.986141954921521</v>
      </c>
      <c r="F38" s="4">
        <f t="shared" si="5"/>
        <v>77.013858045078479</v>
      </c>
      <c r="G38" s="4">
        <f t="shared" si="4"/>
        <v>7304.1033513835573</v>
      </c>
      <c r="H38" s="4">
        <f t="shared" si="8"/>
        <v>2695.8966486164427</v>
      </c>
    </row>
    <row r="39" spans="1:8" x14ac:dyDescent="0.3">
      <c r="A39" s="19">
        <v>46207</v>
      </c>
      <c r="B39" s="24">
        <f t="shared" si="3"/>
        <v>38</v>
      </c>
      <c r="C39" s="20"/>
      <c r="D39" s="21">
        <f t="shared" si="6"/>
        <v>100</v>
      </c>
      <c r="E39" s="21">
        <f t="shared" si="7"/>
        <v>22.746306788605636</v>
      </c>
      <c r="F39" s="21">
        <f t="shared" si="5"/>
        <v>77.253693211394364</v>
      </c>
      <c r="G39" s="21">
        <f t="shared" si="4"/>
        <v>7226.8496581721629</v>
      </c>
      <c r="H39" s="21">
        <f t="shared" si="8"/>
        <v>2773.1503418278371</v>
      </c>
    </row>
    <row r="40" spans="1:8" x14ac:dyDescent="0.3">
      <c r="A40" s="2">
        <v>46208</v>
      </c>
      <c r="B40" s="23">
        <f t="shared" si="3"/>
        <v>39</v>
      </c>
      <c r="C40" s="3"/>
      <c r="D40" s="4">
        <f t="shared" si="6"/>
        <v>100</v>
      </c>
      <c r="E40" s="4">
        <f t="shared" si="7"/>
        <v>22.505724731944795</v>
      </c>
      <c r="F40" s="4">
        <f t="shared" si="5"/>
        <v>77.494275268055205</v>
      </c>
      <c r="G40" s="4">
        <f t="shared" si="4"/>
        <v>7149.3553829041075</v>
      </c>
      <c r="H40" s="4">
        <f t="shared" si="8"/>
        <v>2850.6446170958925</v>
      </c>
    </row>
    <row r="41" spans="1:8" x14ac:dyDescent="0.3">
      <c r="A41" s="19">
        <v>46209</v>
      </c>
      <c r="B41" s="24">
        <f t="shared" si="3"/>
        <v>40</v>
      </c>
      <c r="C41" s="20"/>
      <c r="D41" s="21">
        <f t="shared" si="6"/>
        <v>100</v>
      </c>
      <c r="E41" s="21">
        <f t="shared" si="7"/>
        <v>22.264393458986568</v>
      </c>
      <c r="F41" s="21">
        <f t="shared" si="5"/>
        <v>77.735606541013425</v>
      </c>
      <c r="G41" s="21">
        <f t="shared" si="4"/>
        <v>7071.6197763630944</v>
      </c>
      <c r="H41" s="21">
        <f t="shared" si="8"/>
        <v>2928.3802236369056</v>
      </c>
    </row>
    <row r="42" spans="1:8" x14ac:dyDescent="0.3">
      <c r="A42" s="2">
        <v>46210</v>
      </c>
      <c r="B42" s="23">
        <f t="shared" si="3"/>
        <v>41</v>
      </c>
      <c r="C42" s="3"/>
      <c r="D42" s="4">
        <f t="shared" si="6"/>
        <v>100</v>
      </c>
      <c r="E42" s="4">
        <f t="shared" si="7"/>
        <v>22.022310636535092</v>
      </c>
      <c r="F42" s="4">
        <f t="shared" si="5"/>
        <v>77.977689363464904</v>
      </c>
      <c r="G42" s="4">
        <f t="shared" si="4"/>
        <v>6993.6420869996291</v>
      </c>
      <c r="H42" s="4">
        <f t="shared" si="8"/>
        <v>3006.3579130003709</v>
      </c>
    </row>
    <row r="43" spans="1:8" x14ac:dyDescent="0.3">
      <c r="A43" s="19">
        <v>46211</v>
      </c>
      <c r="B43" s="24">
        <f t="shared" si="3"/>
        <v>42</v>
      </c>
      <c r="C43" s="20"/>
      <c r="D43" s="21">
        <f t="shared" si="6"/>
        <v>100</v>
      </c>
      <c r="E43" s="21">
        <f t="shared" si="7"/>
        <v>21.779473924128496</v>
      </c>
      <c r="F43" s="21">
        <f t="shared" si="5"/>
        <v>78.220526075871504</v>
      </c>
      <c r="G43" s="21">
        <f t="shared" si="4"/>
        <v>6915.4215609237572</v>
      </c>
      <c r="H43" s="21">
        <f t="shared" si="8"/>
        <v>3084.5784390762428</v>
      </c>
    </row>
    <row r="44" spans="1:8" x14ac:dyDescent="0.3">
      <c r="A44" s="2">
        <v>46212</v>
      </c>
      <c r="B44" s="23">
        <f t="shared" si="3"/>
        <v>43</v>
      </c>
      <c r="C44" s="3"/>
      <c r="D44" s="4">
        <f t="shared" si="6"/>
        <v>100</v>
      </c>
      <c r="E44" s="4">
        <f t="shared" si="7"/>
        <v>21.535880974016301</v>
      </c>
      <c r="F44" s="4">
        <f t="shared" si="5"/>
        <v>78.464119025983706</v>
      </c>
      <c r="G44" s="4">
        <f t="shared" si="4"/>
        <v>6836.9574418977736</v>
      </c>
      <c r="H44" s="4">
        <f t="shared" si="8"/>
        <v>3163.0425581022264</v>
      </c>
    </row>
    <row r="45" spans="1:8" x14ac:dyDescent="0.3">
      <c r="A45" s="19">
        <v>46213</v>
      </c>
      <c r="B45" s="24">
        <f t="shared" si="3"/>
        <v>44</v>
      </c>
      <c r="C45" s="20"/>
      <c r="D45" s="21">
        <f t="shared" si="6"/>
        <v>100</v>
      </c>
      <c r="E45" s="21">
        <f t="shared" si="7"/>
        <v>21.291529431136691</v>
      </c>
      <c r="F45" s="21">
        <f t="shared" si="5"/>
        <v>78.708470568863305</v>
      </c>
      <c r="G45" s="21">
        <f t="shared" si="4"/>
        <v>6758.2489713289106</v>
      </c>
      <c r="H45" s="21">
        <f t="shared" si="8"/>
        <v>3241.7510286710894</v>
      </c>
    </row>
    <row r="46" spans="1:8" x14ac:dyDescent="0.3">
      <c r="A46" s="2">
        <v>46214</v>
      </c>
      <c r="B46" s="23">
        <f t="shared" si="3"/>
        <v>45</v>
      </c>
      <c r="C46" s="3"/>
      <c r="D46" s="4">
        <f t="shared" si="6"/>
        <v>100</v>
      </c>
      <c r="E46" s="4">
        <f t="shared" si="7"/>
        <v>21.04641693309377</v>
      </c>
      <c r="F46" s="4">
        <f t="shared" si="5"/>
        <v>78.953583066906234</v>
      </c>
      <c r="G46" s="4">
        <f t="shared" si="4"/>
        <v>6679.2953882620041</v>
      </c>
      <c r="H46" s="4">
        <f t="shared" si="8"/>
        <v>3320.7046117379959</v>
      </c>
    </row>
    <row r="47" spans="1:8" x14ac:dyDescent="0.3">
      <c r="A47" s="19">
        <v>46215</v>
      </c>
      <c r="B47" s="24">
        <f t="shared" si="3"/>
        <v>46</v>
      </c>
      <c r="C47" s="20"/>
      <c r="D47" s="21">
        <f t="shared" si="6"/>
        <v>100</v>
      </c>
      <c r="E47" s="21">
        <f t="shared" si="7"/>
        <v>20.800541110134702</v>
      </c>
      <c r="F47" s="21">
        <f t="shared" si="5"/>
        <v>79.199458889865298</v>
      </c>
      <c r="G47" s="21">
        <f t="shared" si="4"/>
        <v>6600.0959293721389</v>
      </c>
      <c r="H47" s="21">
        <f t="shared" si="8"/>
        <v>3399.9040706278611</v>
      </c>
    </row>
    <row r="48" spans="1:8" x14ac:dyDescent="0.3">
      <c r="A48" s="2">
        <v>46216</v>
      </c>
      <c r="B48" s="23">
        <f t="shared" si="3"/>
        <v>47</v>
      </c>
      <c r="C48" s="3"/>
      <c r="D48" s="4">
        <f t="shared" si="6"/>
        <v>100</v>
      </c>
      <c r="E48" s="4">
        <f t="shared" si="7"/>
        <v>20.553899585126821</v>
      </c>
      <c r="F48" s="4">
        <f t="shared" si="5"/>
        <v>79.446100414873172</v>
      </c>
      <c r="G48" s="4">
        <f t="shared" si="4"/>
        <v>6520.6498289572655</v>
      </c>
      <c r="H48" s="4">
        <f t="shared" si="8"/>
        <v>3479.3501710427345</v>
      </c>
    </row>
    <row r="49" spans="1:8" x14ac:dyDescent="0.3">
      <c r="A49" s="19">
        <v>46217</v>
      </c>
      <c r="B49" s="24">
        <f t="shared" si="3"/>
        <v>48</v>
      </c>
      <c r="C49" s="20"/>
      <c r="D49" s="21">
        <f t="shared" si="6"/>
        <v>100</v>
      </c>
      <c r="E49" s="21">
        <f t="shared" si="7"/>
        <v>20.306489973534621</v>
      </c>
      <c r="F49" s="21">
        <f t="shared" si="5"/>
        <v>79.693510026465376</v>
      </c>
      <c r="G49" s="21">
        <f t="shared" si="4"/>
        <v>6440.9563189308001</v>
      </c>
      <c r="H49" s="21">
        <f t="shared" si="8"/>
        <v>3559.0436810691999</v>
      </c>
    </row>
    <row r="50" spans="1:8" x14ac:dyDescent="0.3">
      <c r="A50" s="2">
        <v>46218</v>
      </c>
      <c r="B50" s="23">
        <f t="shared" si="3"/>
        <v>49</v>
      </c>
      <c r="C50" s="3"/>
      <c r="D50" s="4">
        <f t="shared" si="6"/>
        <v>100</v>
      </c>
      <c r="E50" s="4">
        <f t="shared" si="7"/>
        <v>20.058309883396735</v>
      </c>
      <c r="F50" s="4">
        <f t="shared" si="5"/>
        <v>79.941690116603269</v>
      </c>
      <c r="G50" s="4">
        <f t="shared" si="4"/>
        <v>6361.0146288141968</v>
      </c>
      <c r="H50" s="4">
        <f t="shared" si="8"/>
        <v>3638.9853711858032</v>
      </c>
    </row>
    <row r="51" spans="1:8" x14ac:dyDescent="0.3">
      <c r="A51" s="19">
        <v>46219</v>
      </c>
      <c r="B51" s="24">
        <f t="shared" si="3"/>
        <v>50</v>
      </c>
      <c r="C51" s="20"/>
      <c r="D51" s="21">
        <f t="shared" si="6"/>
        <v>100</v>
      </c>
      <c r="E51" s="21">
        <f t="shared" si="7"/>
        <v>19.809356915302786</v>
      </c>
      <c r="F51" s="21">
        <f t="shared" si="5"/>
        <v>80.190643084697214</v>
      </c>
      <c r="G51" s="21">
        <f t="shared" si="4"/>
        <v>6280.8239857294993</v>
      </c>
      <c r="H51" s="21">
        <f t="shared" si="8"/>
        <v>3719.1760142705007</v>
      </c>
    </row>
    <row r="52" spans="1:8" x14ac:dyDescent="0.3">
      <c r="A52" s="2">
        <v>46220</v>
      </c>
      <c r="B52" s="23">
        <f t="shared" si="3"/>
        <v>51</v>
      </c>
      <c r="C52" s="3"/>
      <c r="D52" s="4">
        <f t="shared" si="6"/>
        <v>100</v>
      </c>
      <c r="E52" s="4">
        <f t="shared" si="7"/>
        <v>19.559628662370194</v>
      </c>
      <c r="F52" s="4">
        <f t="shared" si="5"/>
        <v>80.440371337629813</v>
      </c>
      <c r="G52" s="4">
        <f t="shared" si="4"/>
        <v>6200.3836143918697</v>
      </c>
      <c r="H52" s="4">
        <f t="shared" si="8"/>
        <v>3799.6163856081303</v>
      </c>
    </row>
    <row r="53" spans="1:8" x14ac:dyDescent="0.3">
      <c r="A53" s="19">
        <v>46221</v>
      </c>
      <c r="B53" s="24">
        <f t="shared" si="3"/>
        <v>52</v>
      </c>
      <c r="C53" s="20"/>
      <c r="D53" s="21">
        <f t="shared" si="6"/>
        <v>100</v>
      </c>
      <c r="E53" s="21">
        <f t="shared" si="7"/>
        <v>19.309122710220915</v>
      </c>
      <c r="F53" s="21">
        <f t="shared" si="5"/>
        <v>80.690877289779081</v>
      </c>
      <c r="G53" s="21">
        <f t="shared" si="4"/>
        <v>6119.6927371020911</v>
      </c>
      <c r="H53" s="21">
        <f t="shared" si="8"/>
        <v>3880.3072628979089</v>
      </c>
    </row>
    <row r="54" spans="1:8" x14ac:dyDescent="0.3">
      <c r="A54" s="2">
        <v>46222</v>
      </c>
      <c r="B54" s="23">
        <f t="shared" si="3"/>
        <v>53</v>
      </c>
      <c r="C54" s="3"/>
      <c r="D54" s="4">
        <f t="shared" si="6"/>
        <v>100</v>
      </c>
      <c r="E54" s="4">
        <f t="shared" si="7"/>
        <v>19.057836636958086</v>
      </c>
      <c r="F54" s="4">
        <f t="shared" si="5"/>
        <v>80.942163363041914</v>
      </c>
      <c r="G54" s="4">
        <f t="shared" si="4"/>
        <v>6038.7505737390493</v>
      </c>
      <c r="H54" s="4">
        <f t="shared" si="8"/>
        <v>3961.2494262609507</v>
      </c>
    </row>
    <row r="55" spans="1:8" x14ac:dyDescent="0.3">
      <c r="A55" s="19">
        <v>46222</v>
      </c>
      <c r="B55" s="24">
        <f t="shared" si="3"/>
        <v>54</v>
      </c>
      <c r="C55" s="20"/>
      <c r="D55" s="21">
        <f t="shared" si="6"/>
        <v>100</v>
      </c>
      <c r="E55" s="21">
        <f t="shared" si="7"/>
        <v>18.805768013142622</v>
      </c>
      <c r="F55" s="21">
        <f t="shared" si="5"/>
        <v>81.194231986857375</v>
      </c>
      <c r="G55" s="21">
        <f t="shared" si="4"/>
        <v>5957.5563417521917</v>
      </c>
      <c r="H55" s="21">
        <f t="shared" si="8"/>
        <v>4042.4436582478083</v>
      </c>
    </row>
    <row r="56" spans="1:8" x14ac:dyDescent="0.3">
      <c r="A56" s="2">
        <v>46222</v>
      </c>
      <c r="B56" s="23">
        <f t="shared" si="3"/>
        <v>55</v>
      </c>
      <c r="C56" s="3"/>
      <c r="D56" s="4">
        <f t="shared" si="6"/>
        <v>100</v>
      </c>
      <c r="E56" s="4">
        <f t="shared" si="7"/>
        <v>18.552914401769716</v>
      </c>
      <c r="F56" s="4">
        <f t="shared" si="5"/>
        <v>81.447085598230288</v>
      </c>
      <c r="G56" s="4">
        <f t="shared" si="4"/>
        <v>5876.1092561539617</v>
      </c>
      <c r="H56" s="4">
        <f t="shared" si="8"/>
        <v>4123.8907438460383</v>
      </c>
    </row>
    <row r="57" spans="1:8" x14ac:dyDescent="0.3">
      <c r="A57" s="19">
        <v>46222</v>
      </c>
      <c r="B57" s="24">
        <f t="shared" si="3"/>
        <v>56</v>
      </c>
      <c r="C57" s="20"/>
      <c r="D57" s="21">
        <f t="shared" si="6"/>
        <v>100</v>
      </c>
      <c r="E57" s="21">
        <f t="shared" si="7"/>
        <v>18.299273358245291</v>
      </c>
      <c r="F57" s="21">
        <f t="shared" si="5"/>
        <v>81.700726641754713</v>
      </c>
      <c r="G57" s="21">
        <f t="shared" si="4"/>
        <v>5794.4085295122068</v>
      </c>
      <c r="H57" s="21">
        <f t="shared" si="8"/>
        <v>4205.5914704877932</v>
      </c>
    </row>
    <row r="58" spans="1:8" x14ac:dyDescent="0.3">
      <c r="A58" s="2">
        <v>46222</v>
      </c>
      <c r="B58" s="23">
        <f t="shared" si="3"/>
        <v>57</v>
      </c>
      <c r="C58" s="3"/>
      <c r="D58" s="4">
        <f t="shared" si="6"/>
        <v>100</v>
      </c>
      <c r="E58" s="4">
        <f t="shared" si="7"/>
        <v>18.044842430362358</v>
      </c>
      <c r="F58" s="4">
        <f t="shared" si="5"/>
        <v>81.955157569637635</v>
      </c>
      <c r="G58" s="4">
        <f t="shared" si="4"/>
        <v>5712.453371942569</v>
      </c>
      <c r="H58" s="4">
        <f t="shared" si="8"/>
        <v>4287.546628057431</v>
      </c>
    </row>
    <row r="59" spans="1:8" x14ac:dyDescent="0.3">
      <c r="A59" s="19">
        <v>46222</v>
      </c>
      <c r="B59" s="24">
        <f t="shared" si="3"/>
        <v>58</v>
      </c>
      <c r="C59" s="20"/>
      <c r="D59" s="21">
        <f t="shared" si="6"/>
        <v>100</v>
      </c>
      <c r="E59" s="21">
        <f t="shared" si="7"/>
        <v>17.789619158277308</v>
      </c>
      <c r="F59" s="21">
        <f t="shared" si="5"/>
        <v>82.210380841722696</v>
      </c>
      <c r="G59" s="21">
        <f t="shared" si="4"/>
        <v>5630.2429911008467</v>
      </c>
      <c r="H59" s="21">
        <f t="shared" si="8"/>
        <v>4369.7570088991533</v>
      </c>
    </row>
    <row r="60" spans="1:8" x14ac:dyDescent="0.3">
      <c r="A60" s="2">
        <v>46222</v>
      </c>
      <c r="B60" s="23">
        <f t="shared" si="3"/>
        <v>59</v>
      </c>
      <c r="C60" s="3"/>
      <c r="D60" s="4">
        <f t="shared" si="6"/>
        <v>100</v>
      </c>
      <c r="E60" s="4">
        <f t="shared" si="7"/>
        <v>17.533601074486132</v>
      </c>
      <c r="F60" s="4">
        <f t="shared" si="5"/>
        <v>82.466398925513872</v>
      </c>
      <c r="G60" s="4">
        <f t="shared" si="4"/>
        <v>5547.7765921753326</v>
      </c>
      <c r="H60" s="4">
        <f t="shared" si="8"/>
        <v>4452.2234078246674</v>
      </c>
    </row>
    <row r="61" spans="1:8" x14ac:dyDescent="0.3">
      <c r="A61" s="19">
        <v>46230</v>
      </c>
      <c r="B61" s="24">
        <f t="shared" si="3"/>
        <v>60</v>
      </c>
      <c r="C61" s="20"/>
      <c r="D61" s="21">
        <f t="shared" si="6"/>
        <v>100</v>
      </c>
      <c r="E61" s="21">
        <f t="shared" si="7"/>
        <v>17.276785703800563</v>
      </c>
      <c r="F61" s="21">
        <f t="shared" si="5"/>
        <v>82.723214296199444</v>
      </c>
      <c r="G61" s="21">
        <f t="shared" si="4"/>
        <v>5465.0533778791332</v>
      </c>
      <c r="H61" s="21">
        <f t="shared" si="8"/>
        <v>4534.9466221208668</v>
      </c>
    </row>
    <row r="62" spans="1:8" x14ac:dyDescent="0.3">
      <c r="A62" s="2">
        <v>46230</v>
      </c>
      <c r="B62" s="23">
        <f t="shared" si="3"/>
        <v>61</v>
      </c>
      <c r="C62" s="3"/>
      <c r="D62" s="4">
        <f t="shared" si="6"/>
        <v>100</v>
      </c>
      <c r="E62" s="4">
        <f t="shared" si="7"/>
        <v>17.019170563324149</v>
      </c>
      <c r="F62" s="4">
        <f t="shared" si="5"/>
        <v>82.980829436675847</v>
      </c>
      <c r="G62" s="4">
        <f t="shared" si="4"/>
        <v>5382.0725484424574</v>
      </c>
      <c r="H62" s="4">
        <f t="shared" si="8"/>
        <v>4617.9274515575426</v>
      </c>
    </row>
    <row r="63" spans="1:8" x14ac:dyDescent="0.3">
      <c r="A63" s="19">
        <v>46231</v>
      </c>
      <c r="B63" s="24">
        <f t="shared" si="3"/>
        <v>62</v>
      </c>
      <c r="C63" s="20"/>
      <c r="D63" s="21">
        <f t="shared" si="6"/>
        <v>100</v>
      </c>
      <c r="E63" s="21">
        <f t="shared" si="7"/>
        <v>16.760753162428244</v>
      </c>
      <c r="F63" s="21">
        <f t="shared" si="5"/>
        <v>83.239246837571756</v>
      </c>
      <c r="G63" s="21">
        <f t="shared" si="4"/>
        <v>5298.8333016048855</v>
      </c>
      <c r="H63" s="21">
        <f t="shared" si="8"/>
        <v>4701.1666983951145</v>
      </c>
    </row>
    <row r="64" spans="1:8" x14ac:dyDescent="0.3">
      <c r="A64" s="2">
        <v>46232</v>
      </c>
      <c r="B64" s="23">
        <f t="shared" si="3"/>
        <v>63</v>
      </c>
      <c r="C64" s="3"/>
      <c r="D64" s="4">
        <f t="shared" si="6"/>
        <v>100</v>
      </c>
      <c r="E64" s="4">
        <f t="shared" si="7"/>
        <v>16.50153100272794</v>
      </c>
      <c r="F64" s="4">
        <f t="shared" si="5"/>
        <v>83.498468997272056</v>
      </c>
      <c r="G64" s="4">
        <f t="shared" si="4"/>
        <v>5215.3348326076139</v>
      </c>
      <c r="H64" s="4">
        <f t="shared" si="8"/>
        <v>4784.6651673923861</v>
      </c>
    </row>
    <row r="65" spans="1:8" x14ac:dyDescent="0.3">
      <c r="A65" s="19">
        <v>46233</v>
      </c>
      <c r="B65" s="24">
        <f t="shared" si="3"/>
        <v>64</v>
      </c>
      <c r="C65" s="20"/>
      <c r="D65" s="21">
        <f t="shared" si="6"/>
        <v>100</v>
      </c>
      <c r="E65" s="21">
        <f t="shared" si="7"/>
        <v>16.241501578057896</v>
      </c>
      <c r="F65" s="21">
        <f t="shared" si="5"/>
        <v>83.758498421942107</v>
      </c>
      <c r="G65" s="21">
        <f t="shared" si="4"/>
        <v>5131.5763341856718</v>
      </c>
      <c r="H65" s="21">
        <f t="shared" si="8"/>
        <v>4868.4236658143282</v>
      </c>
    </row>
    <row r="66" spans="1:8" x14ac:dyDescent="0.3">
      <c r="A66" s="2">
        <v>46234</v>
      </c>
      <c r="B66" s="23">
        <f t="shared" si="3"/>
        <v>65</v>
      </c>
      <c r="C66" s="3"/>
      <c r="D66" s="4">
        <f t="shared" ref="D66:D97" si="9">IF(AND($A66&lt;&gt;"",$B66&lt;&gt;""),$K$9,"")</f>
        <v>100</v>
      </c>
      <c r="E66" s="4">
        <f t="shared" si="7"/>
        <v>15.980662374448112</v>
      </c>
      <c r="F66" s="4">
        <f t="shared" si="5"/>
        <v>84.019337625551884</v>
      </c>
      <c r="G66" s="4">
        <f t="shared" si="4"/>
        <v>5047.5569965601198</v>
      </c>
      <c r="H66" s="4">
        <f t="shared" si="8"/>
        <v>4952.4430034398802</v>
      </c>
    </row>
    <row r="67" spans="1:8" x14ac:dyDescent="0.3">
      <c r="A67" s="19">
        <v>46235</v>
      </c>
      <c r="B67" s="24">
        <f t="shared" si="3"/>
        <v>66</v>
      </c>
      <c r="C67" s="20"/>
      <c r="D67" s="21">
        <f t="shared" si="9"/>
        <v>100</v>
      </c>
      <c r="E67" s="21">
        <f t="shared" ref="E67:E98" si="10">IF(AND($A67&lt;&gt;"",$B67&lt;&gt;""),G66*$K$8,"")</f>
        <v>15.719010870099638</v>
      </c>
      <c r="F67" s="21">
        <f t="shared" si="5"/>
        <v>84.280989129900362</v>
      </c>
      <c r="G67" s="21">
        <f t="shared" si="4"/>
        <v>4963.2760074302196</v>
      </c>
      <c r="H67" s="21">
        <f t="shared" ref="H67:H98" si="11">IF(AND($A67&lt;&gt;"",$B67&lt;&gt;""),$K$7-G67,"")</f>
        <v>5036.7239925697804</v>
      </c>
    </row>
    <row r="68" spans="1:8" x14ac:dyDescent="0.3">
      <c r="A68" s="2">
        <v>46236</v>
      </c>
      <c r="B68" s="23">
        <f t="shared" ref="B68:B121" si="12">IF(A68&lt;&gt;"",B67+1,"")</f>
        <v>67</v>
      </c>
      <c r="C68" s="3"/>
      <c r="D68" s="4">
        <f t="shared" si="9"/>
        <v>100</v>
      </c>
      <c r="E68" s="4">
        <f t="shared" si="10"/>
        <v>15.456544535360178</v>
      </c>
      <c r="F68" s="4">
        <f t="shared" si="5"/>
        <v>84.54345546463982</v>
      </c>
      <c r="G68" s="4">
        <f t="shared" si="4"/>
        <v>4878.7325519655797</v>
      </c>
      <c r="H68" s="4">
        <f t="shared" si="11"/>
        <v>5121.2674480344203</v>
      </c>
    </row>
    <row r="69" spans="1:8" x14ac:dyDescent="0.3">
      <c r="A69" s="19">
        <v>46237</v>
      </c>
      <c r="B69" s="24">
        <f t="shared" si="12"/>
        <v>68</v>
      </c>
      <c r="C69" s="20"/>
      <c r="D69" s="21">
        <f t="shared" si="9"/>
        <v>100</v>
      </c>
      <c r="E69" s="21">
        <f t="shared" si="10"/>
        <v>15.193260832699638</v>
      </c>
      <c r="F69" s="21">
        <f t="shared" si="5"/>
        <v>84.806739167300364</v>
      </c>
      <c r="G69" s="21">
        <f t="shared" si="4"/>
        <v>4793.9258127982794</v>
      </c>
      <c r="H69" s="21">
        <f t="shared" si="11"/>
        <v>5206.0741872017206</v>
      </c>
    </row>
    <row r="70" spans="1:8" x14ac:dyDescent="0.3">
      <c r="A70" s="2">
        <v>46238</v>
      </c>
      <c r="B70" s="23">
        <f t="shared" si="12"/>
        <v>69</v>
      </c>
      <c r="C70" s="3"/>
      <c r="D70" s="4">
        <f t="shared" si="9"/>
        <v>100</v>
      </c>
      <c r="E70" s="4">
        <f t="shared" si="10"/>
        <v>14.929157216685597</v>
      </c>
      <c r="F70" s="4">
        <f t="shared" si="5"/>
        <v>85.070842783314404</v>
      </c>
      <c r="G70" s="4">
        <f t="shared" ref="G70:G121" si="13">IF(AND($A70&lt;&gt;"",$B70&lt;&gt;""),G69-F70,"")</f>
        <v>4708.8549700149651</v>
      </c>
      <c r="H70" s="4">
        <f t="shared" si="11"/>
        <v>5291.1450299850349</v>
      </c>
    </row>
    <row r="71" spans="1:8" x14ac:dyDescent="0.3">
      <c r="A71" s="19">
        <v>46239</v>
      </c>
      <c r="B71" s="24">
        <f t="shared" si="12"/>
        <v>70</v>
      </c>
      <c r="C71" s="20"/>
      <c r="D71" s="21">
        <f t="shared" si="9"/>
        <v>100</v>
      </c>
      <c r="E71" s="21">
        <f t="shared" si="10"/>
        <v>14.664231133958694</v>
      </c>
      <c r="F71" s="21">
        <f t="shared" ref="F71:F121" si="14">IF(AND($A71&lt;&gt;"",$B71&lt;&gt;""),D71-E71,"")</f>
        <v>85.335768866041306</v>
      </c>
      <c r="G71" s="21">
        <f t="shared" si="13"/>
        <v>4623.5192011489235</v>
      </c>
      <c r="H71" s="21">
        <f t="shared" si="11"/>
        <v>5376.4807988510765</v>
      </c>
    </row>
    <row r="72" spans="1:8" x14ac:dyDescent="0.3">
      <c r="A72" s="2">
        <v>46240</v>
      </c>
      <c r="B72" s="23">
        <f t="shared" si="12"/>
        <v>71</v>
      </c>
      <c r="C72" s="3"/>
      <c r="D72" s="4">
        <f t="shared" si="9"/>
        <v>100</v>
      </c>
      <c r="E72" s="4">
        <f t="shared" si="10"/>
        <v>14.398480023207934</v>
      </c>
      <c r="F72" s="4">
        <f t="shared" si="14"/>
        <v>85.601519976792062</v>
      </c>
      <c r="G72" s="4">
        <f t="shared" si="13"/>
        <v>4537.9176811721318</v>
      </c>
      <c r="H72" s="4">
        <f t="shared" si="11"/>
        <v>5462.0823188278682</v>
      </c>
    </row>
    <row r="73" spans="1:8" x14ac:dyDescent="0.3">
      <c r="A73" s="19">
        <v>46241</v>
      </c>
      <c r="B73" s="24">
        <f t="shared" si="12"/>
        <v>72</v>
      </c>
      <c r="C73" s="20"/>
      <c r="D73" s="21">
        <f t="shared" si="9"/>
        <v>100</v>
      </c>
      <c r="E73" s="21">
        <f t="shared" si="10"/>
        <v>14.131901315145946</v>
      </c>
      <c r="F73" s="21">
        <f t="shared" si="14"/>
        <v>85.868098684854061</v>
      </c>
      <c r="G73" s="21">
        <f t="shared" si="13"/>
        <v>4452.0495824872778</v>
      </c>
      <c r="H73" s="21">
        <f t="shared" si="11"/>
        <v>5547.9504175127222</v>
      </c>
    </row>
    <row r="74" spans="1:8" x14ac:dyDescent="0.3">
      <c r="A74" s="2">
        <v>46242</v>
      </c>
      <c r="B74" s="23">
        <f t="shared" si="12"/>
        <v>73</v>
      </c>
      <c r="C74" s="3"/>
      <c r="D74" s="4">
        <f t="shared" si="9"/>
        <v>100</v>
      </c>
      <c r="E74" s="4">
        <f t="shared" si="10"/>
        <v>13.864492432484123</v>
      </c>
      <c r="F74" s="4">
        <f t="shared" si="14"/>
        <v>86.135507567515873</v>
      </c>
      <c r="G74" s="4">
        <f t="shared" si="13"/>
        <v>4365.9140749197622</v>
      </c>
      <c r="H74" s="4">
        <f t="shared" si="11"/>
        <v>5634.0859250802378</v>
      </c>
    </row>
    <row r="75" spans="1:8" x14ac:dyDescent="0.3">
      <c r="A75" s="19">
        <v>46243</v>
      </c>
      <c r="B75" s="24">
        <f t="shared" si="12"/>
        <v>74</v>
      </c>
      <c r="C75" s="20"/>
      <c r="D75" s="21">
        <f t="shared" si="9"/>
        <v>100</v>
      </c>
      <c r="E75" s="21">
        <f t="shared" si="10"/>
        <v>13.596250789907716</v>
      </c>
      <c r="F75" s="21">
        <f t="shared" si="14"/>
        <v>86.403749210092286</v>
      </c>
      <c r="G75" s="21">
        <f t="shared" si="13"/>
        <v>4279.5103257096698</v>
      </c>
      <c r="H75" s="21">
        <f t="shared" si="11"/>
        <v>5720.4896742903302</v>
      </c>
    </row>
    <row r="76" spans="1:8" x14ac:dyDescent="0.3">
      <c r="A76" s="2">
        <v>46244</v>
      </c>
      <c r="B76" s="23">
        <f t="shared" si="12"/>
        <v>75</v>
      </c>
      <c r="C76" s="3"/>
      <c r="D76" s="4">
        <f t="shared" si="9"/>
        <v>100</v>
      </c>
      <c r="E76" s="4">
        <f t="shared" si="10"/>
        <v>13.327173794050829</v>
      </c>
      <c r="F76" s="4">
        <f t="shared" si="14"/>
        <v>86.672826205949178</v>
      </c>
      <c r="G76" s="4">
        <f t="shared" si="13"/>
        <v>4192.8374995037202</v>
      </c>
      <c r="H76" s="4">
        <f t="shared" si="11"/>
        <v>5807.1625004962798</v>
      </c>
    </row>
    <row r="77" spans="1:8" x14ac:dyDescent="0.3">
      <c r="A77" s="19">
        <v>46245</v>
      </c>
      <c r="B77" s="24">
        <f t="shared" si="12"/>
        <v>76</v>
      </c>
      <c r="C77" s="20"/>
      <c r="D77" s="21">
        <f t="shared" si="9"/>
        <v>100</v>
      </c>
      <c r="E77" s="21">
        <f t="shared" si="10"/>
        <v>13.057258843471359</v>
      </c>
      <c r="F77" s="21">
        <f t="shared" si="14"/>
        <v>86.942741156528641</v>
      </c>
      <c r="G77" s="21">
        <f t="shared" si="13"/>
        <v>4105.8947583471918</v>
      </c>
      <c r="H77" s="21">
        <f t="shared" si="11"/>
        <v>5894.1052416528082</v>
      </c>
    </row>
    <row r="78" spans="1:8" x14ac:dyDescent="0.3">
      <c r="A78" s="2">
        <v>46246</v>
      </c>
      <c r="B78" s="23">
        <f t="shared" si="12"/>
        <v>77</v>
      </c>
      <c r="C78" s="3"/>
      <c r="D78" s="4">
        <f t="shared" si="9"/>
        <v>100</v>
      </c>
      <c r="E78" s="4">
        <f t="shared" si="10"/>
        <v>12.786503328625843</v>
      </c>
      <c r="F78" s="4">
        <f t="shared" si="14"/>
        <v>87.213496671374159</v>
      </c>
      <c r="G78" s="4">
        <f t="shared" si="13"/>
        <v>4018.6812616758175</v>
      </c>
      <c r="H78" s="4">
        <f t="shared" si="11"/>
        <v>5981.318738324182</v>
      </c>
    </row>
    <row r="79" spans="1:8" x14ac:dyDescent="0.3">
      <c r="A79" s="19">
        <v>46247</v>
      </c>
      <c r="B79" s="24">
        <f t="shared" si="12"/>
        <v>78</v>
      </c>
      <c r="C79" s="20"/>
      <c r="D79" s="21">
        <f t="shared" si="9"/>
        <v>100</v>
      </c>
      <c r="E79" s="21">
        <f t="shared" si="10"/>
        <v>12.514904631844212</v>
      </c>
      <c r="F79" s="21">
        <f t="shared" si="14"/>
        <v>87.485095368155783</v>
      </c>
      <c r="G79" s="21">
        <f t="shared" si="13"/>
        <v>3931.1961663076618</v>
      </c>
      <c r="H79" s="21">
        <f t="shared" si="11"/>
        <v>6068.8038336923382</v>
      </c>
    </row>
    <row r="80" spans="1:8" x14ac:dyDescent="0.3">
      <c r="A80" s="2">
        <v>46248</v>
      </c>
      <c r="B80" s="23">
        <f t="shared" si="12"/>
        <v>79</v>
      </c>
      <c r="C80" s="3"/>
      <c r="D80" s="4">
        <f t="shared" si="9"/>
        <v>100</v>
      </c>
      <c r="E80" s="4">
        <f t="shared" si="10"/>
        <v>12.242460127304506</v>
      </c>
      <c r="F80" s="4">
        <f t="shared" si="14"/>
        <v>87.757539872695489</v>
      </c>
      <c r="G80" s="4">
        <f t="shared" si="13"/>
        <v>3843.4386264349664</v>
      </c>
      <c r="H80" s="4">
        <f t="shared" si="11"/>
        <v>6156.5613735650331</v>
      </c>
    </row>
    <row r="81" spans="1:8" x14ac:dyDescent="0.3">
      <c r="A81" s="19">
        <v>46249</v>
      </c>
      <c r="B81" s="24">
        <f t="shared" si="12"/>
        <v>80</v>
      </c>
      <c r="C81" s="20"/>
      <c r="D81" s="21">
        <f t="shared" si="9"/>
        <v>100</v>
      </c>
      <c r="E81" s="21">
        <f t="shared" si="10"/>
        <v>11.969167181007478</v>
      </c>
      <c r="F81" s="21">
        <f t="shared" si="14"/>
        <v>88.030832818992522</v>
      </c>
      <c r="G81" s="21">
        <f t="shared" si="13"/>
        <v>3755.4077936159738</v>
      </c>
      <c r="H81" s="21">
        <f t="shared" si="11"/>
        <v>6244.5922063840262</v>
      </c>
    </row>
    <row r="82" spans="1:8" x14ac:dyDescent="0.3">
      <c r="A82" s="2">
        <v>46250</v>
      </c>
      <c r="B82" s="23">
        <f t="shared" si="12"/>
        <v>81</v>
      </c>
      <c r="C82" s="3"/>
      <c r="D82" s="4">
        <f t="shared" si="9"/>
        <v>100</v>
      </c>
      <c r="E82" s="4">
        <f t="shared" si="10"/>
        <v>11.695023150751119</v>
      </c>
      <c r="F82" s="4">
        <f t="shared" si="14"/>
        <v>88.304976849248874</v>
      </c>
      <c r="G82" s="4">
        <f t="shared" si="13"/>
        <v>3667.102816766725</v>
      </c>
      <c r="H82" s="4">
        <f t="shared" si="11"/>
        <v>6332.8971832332754</v>
      </c>
    </row>
    <row r="83" spans="1:8" x14ac:dyDescent="0.3">
      <c r="A83" s="19">
        <v>46251</v>
      </c>
      <c r="B83" s="24">
        <f t="shared" si="12"/>
        <v>82</v>
      </c>
      <c r="C83" s="20"/>
      <c r="D83" s="21">
        <f t="shared" si="9"/>
        <v>100</v>
      </c>
      <c r="E83" s="21">
        <f t="shared" si="10"/>
        <v>11.420025386105134</v>
      </c>
      <c r="F83" s="21">
        <f t="shared" si="14"/>
        <v>88.579974613894862</v>
      </c>
      <c r="G83" s="21">
        <f t="shared" si="13"/>
        <v>3578.52284215283</v>
      </c>
      <c r="H83" s="21">
        <f t="shared" si="11"/>
        <v>6421.47715784717</v>
      </c>
    </row>
    <row r="84" spans="1:8" x14ac:dyDescent="0.3">
      <c r="A84" s="2">
        <v>46252</v>
      </c>
      <c r="B84" s="23">
        <f t="shared" si="12"/>
        <v>83</v>
      </c>
      <c r="C84" s="3"/>
      <c r="D84" s="4">
        <f t="shared" si="9"/>
        <v>100</v>
      </c>
      <c r="E84" s="4">
        <f t="shared" si="10"/>
        <v>11.144171228385297</v>
      </c>
      <c r="F84" s="4">
        <f t="shared" si="14"/>
        <v>88.855828771614711</v>
      </c>
      <c r="G84" s="4">
        <f t="shared" si="13"/>
        <v>3489.6670133812154</v>
      </c>
      <c r="H84" s="4">
        <f t="shared" si="11"/>
        <v>6510.3329866187851</v>
      </c>
    </row>
    <row r="85" spans="1:8" x14ac:dyDescent="0.3">
      <c r="A85" s="19">
        <v>46253</v>
      </c>
      <c r="B85" s="24">
        <f t="shared" si="12"/>
        <v>84</v>
      </c>
      <c r="C85" s="20"/>
      <c r="D85" s="21">
        <f t="shared" si="9"/>
        <v>100</v>
      </c>
      <c r="E85" s="21">
        <f t="shared" si="10"/>
        <v>10.867458010627759</v>
      </c>
      <c r="F85" s="21">
        <f t="shared" si="14"/>
        <v>89.132541989372243</v>
      </c>
      <c r="G85" s="21">
        <f t="shared" si="13"/>
        <v>3400.534471391843</v>
      </c>
      <c r="H85" s="21">
        <f t="shared" si="11"/>
        <v>6599.465528608157</v>
      </c>
    </row>
    <row r="86" spans="1:8" x14ac:dyDescent="0.3">
      <c r="A86" s="2">
        <v>46254</v>
      </c>
      <c r="B86" s="23">
        <f t="shared" si="12"/>
        <v>85</v>
      </c>
      <c r="C86" s="3"/>
      <c r="D86" s="4">
        <f t="shared" si="9"/>
        <v>100</v>
      </c>
      <c r="E86" s="4">
        <f t="shared" si="10"/>
        <v>10.589883057563259</v>
      </c>
      <c r="F86" s="4">
        <f t="shared" si="14"/>
        <v>89.410116942436744</v>
      </c>
      <c r="G86" s="4">
        <f t="shared" si="13"/>
        <v>3311.1243544494064</v>
      </c>
      <c r="H86" s="4">
        <f t="shared" si="11"/>
        <v>6688.8756455505936</v>
      </c>
    </row>
    <row r="87" spans="1:8" x14ac:dyDescent="0.3">
      <c r="A87" s="19">
        <v>46255</v>
      </c>
      <c r="B87" s="24">
        <f t="shared" si="12"/>
        <v>86</v>
      </c>
      <c r="C87" s="20"/>
      <c r="D87" s="21">
        <f t="shared" si="9"/>
        <v>100</v>
      </c>
      <c r="E87" s="21">
        <f t="shared" si="10"/>
        <v>10.311443685591266</v>
      </c>
      <c r="F87" s="21">
        <f t="shared" si="14"/>
        <v>89.688556314408729</v>
      </c>
      <c r="G87" s="21">
        <f t="shared" si="13"/>
        <v>3221.4357981349976</v>
      </c>
      <c r="H87" s="21">
        <f t="shared" si="11"/>
        <v>6778.5642018650024</v>
      </c>
    </row>
    <row r="88" spans="1:8" x14ac:dyDescent="0.3">
      <c r="A88" s="2">
        <v>46256</v>
      </c>
      <c r="B88" s="23">
        <f t="shared" si="12"/>
        <v>87</v>
      </c>
      <c r="C88" s="3"/>
      <c r="D88" s="4">
        <f t="shared" si="9"/>
        <v>100</v>
      </c>
      <c r="E88" s="4">
        <f t="shared" si="10"/>
        <v>10.032137202754022</v>
      </c>
      <c r="F88" s="4">
        <f t="shared" si="14"/>
        <v>89.967862797245971</v>
      </c>
      <c r="G88" s="4">
        <f t="shared" si="13"/>
        <v>3131.4679353377514</v>
      </c>
      <c r="H88" s="4">
        <f t="shared" si="11"/>
        <v>6868.5320646622486</v>
      </c>
    </row>
    <row r="89" spans="1:8" x14ac:dyDescent="0.3">
      <c r="A89" s="19">
        <v>46257</v>
      </c>
      <c r="B89" s="24">
        <f t="shared" si="12"/>
        <v>88</v>
      </c>
      <c r="C89" s="20"/>
      <c r="D89" s="21">
        <f t="shared" si="9"/>
        <v>100</v>
      </c>
      <c r="E89" s="21">
        <f t="shared" si="10"/>
        <v>9.7519609087105223</v>
      </c>
      <c r="F89" s="21">
        <f t="shared" si="14"/>
        <v>90.248039091289485</v>
      </c>
      <c r="G89" s="21">
        <f t="shared" si="13"/>
        <v>3041.2198962464618</v>
      </c>
      <c r="H89" s="21">
        <f t="shared" si="11"/>
        <v>6958.7801037535382</v>
      </c>
    </row>
    <row r="90" spans="1:8" x14ac:dyDescent="0.3">
      <c r="A90" s="2">
        <v>46258</v>
      </c>
      <c r="B90" s="23">
        <f t="shared" si="12"/>
        <v>89</v>
      </c>
      <c r="C90" s="3"/>
      <c r="D90" s="4">
        <f t="shared" si="9"/>
        <v>100</v>
      </c>
      <c r="E90" s="4">
        <f t="shared" si="10"/>
        <v>9.4709120947104175</v>
      </c>
      <c r="F90" s="4">
        <f t="shared" si="14"/>
        <v>90.529087905289586</v>
      </c>
      <c r="G90" s="4">
        <f t="shared" si="13"/>
        <v>2950.6908083411722</v>
      </c>
      <c r="H90" s="4">
        <f t="shared" si="11"/>
        <v>7049.3091916588273</v>
      </c>
    </row>
    <row r="91" spans="1:8" x14ac:dyDescent="0.3">
      <c r="A91" s="19">
        <v>46259</v>
      </c>
      <c r="B91" s="24">
        <f t="shared" si="12"/>
        <v>90</v>
      </c>
      <c r="C91" s="20"/>
      <c r="D91" s="21">
        <f t="shared" si="9"/>
        <v>100</v>
      </c>
      <c r="E91" s="21">
        <f t="shared" si="10"/>
        <v>9.1889880435678073</v>
      </c>
      <c r="F91" s="21">
        <f t="shared" si="14"/>
        <v>90.811011956432196</v>
      </c>
      <c r="G91" s="21">
        <f t="shared" si="13"/>
        <v>2859.8797963847401</v>
      </c>
      <c r="H91" s="21">
        <f t="shared" si="11"/>
        <v>7140.1202036152599</v>
      </c>
    </row>
    <row r="92" spans="1:8" x14ac:dyDescent="0.3">
      <c r="A92" s="2">
        <v>46260</v>
      </c>
      <c r="B92" s="23">
        <f t="shared" si="12"/>
        <v>91</v>
      </c>
      <c r="C92" s="3"/>
      <c r="D92" s="4">
        <f t="shared" si="9"/>
        <v>100</v>
      </c>
      <c r="E92" s="4">
        <f t="shared" si="10"/>
        <v>8.906186029634986</v>
      </c>
      <c r="F92" s="4">
        <f t="shared" si="14"/>
        <v>91.093813970365019</v>
      </c>
      <c r="G92" s="4">
        <f t="shared" si="13"/>
        <v>2768.7859824143752</v>
      </c>
      <c r="H92" s="4">
        <f t="shared" si="11"/>
        <v>7231.2140175856248</v>
      </c>
    </row>
    <row r="93" spans="1:8" x14ac:dyDescent="0.3">
      <c r="A93" s="19">
        <v>46260</v>
      </c>
      <c r="B93" s="24">
        <f t="shared" si="12"/>
        <v>92</v>
      </c>
      <c r="C93" s="20"/>
      <c r="D93" s="21">
        <f t="shared" si="9"/>
        <v>100</v>
      </c>
      <c r="E93" s="21">
        <f t="shared" si="10"/>
        <v>8.6225033187760829</v>
      </c>
      <c r="F93" s="21">
        <f t="shared" si="14"/>
        <v>91.377496681223917</v>
      </c>
      <c r="G93" s="21">
        <f t="shared" si="13"/>
        <v>2677.4084857331513</v>
      </c>
      <c r="H93" s="21">
        <f t="shared" si="11"/>
        <v>7322.5915142668491</v>
      </c>
    </row>
    <row r="94" spans="1:8" x14ac:dyDescent="0.3">
      <c r="A94" s="2">
        <v>46260</v>
      </c>
      <c r="B94" s="23">
        <f t="shared" si="12"/>
        <v>93</v>
      </c>
      <c r="C94" s="3"/>
      <c r="D94" s="4">
        <f t="shared" si="9"/>
        <v>100</v>
      </c>
      <c r="E94" s="4">
        <f t="shared" si="10"/>
        <v>8.3379371683406287</v>
      </c>
      <c r="F94" s="4">
        <f t="shared" si="14"/>
        <v>91.66206283165937</v>
      </c>
      <c r="G94" s="4">
        <f t="shared" si="13"/>
        <v>2585.7464229014918</v>
      </c>
      <c r="H94" s="4">
        <f t="shared" si="11"/>
        <v>7414.2535770985087</v>
      </c>
    </row>
    <row r="95" spans="1:8" x14ac:dyDescent="0.3">
      <c r="A95" s="19">
        <v>46260</v>
      </c>
      <c r="B95" s="24">
        <f t="shared" si="12"/>
        <v>94</v>
      </c>
      <c r="C95" s="20"/>
      <c r="D95" s="21">
        <f t="shared" si="9"/>
        <v>100</v>
      </c>
      <c r="E95" s="21">
        <f t="shared" si="10"/>
        <v>8.0524848271370466</v>
      </c>
      <c r="F95" s="21">
        <f t="shared" si="14"/>
        <v>91.94751517286295</v>
      </c>
      <c r="G95" s="21">
        <f t="shared" si="13"/>
        <v>2493.7989077286288</v>
      </c>
      <c r="H95" s="21">
        <f t="shared" si="11"/>
        <v>7506.2010922713707</v>
      </c>
    </row>
    <row r="96" spans="1:8" x14ac:dyDescent="0.3">
      <c r="A96" s="2">
        <v>46260</v>
      </c>
      <c r="B96" s="23">
        <f t="shared" si="12"/>
        <v>95</v>
      </c>
      <c r="C96" s="3"/>
      <c r="D96" s="4">
        <f t="shared" si="9"/>
        <v>100</v>
      </c>
      <c r="E96" s="4">
        <f t="shared" si="10"/>
        <v>7.7661435354060435</v>
      </c>
      <c r="F96" s="4">
        <f t="shared" si="14"/>
        <v>92.233856464593956</v>
      </c>
      <c r="G96" s="4">
        <f t="shared" si="13"/>
        <v>2401.565051264035</v>
      </c>
      <c r="H96" s="4">
        <f t="shared" si="11"/>
        <v>7598.434948735965</v>
      </c>
    </row>
    <row r="97" spans="1:8" x14ac:dyDescent="0.3">
      <c r="A97" s="19">
        <v>46260</v>
      </c>
      <c r="B97" s="24">
        <f t="shared" si="12"/>
        <v>96</v>
      </c>
      <c r="C97" s="20"/>
      <c r="D97" s="21">
        <f t="shared" si="9"/>
        <v>100</v>
      </c>
      <c r="E97" s="21">
        <f t="shared" si="10"/>
        <v>7.478910524793938</v>
      </c>
      <c r="F97" s="21">
        <f t="shared" si="14"/>
        <v>92.521089475206068</v>
      </c>
      <c r="G97" s="21">
        <f t="shared" si="13"/>
        <v>2309.0439617888287</v>
      </c>
      <c r="H97" s="21">
        <f t="shared" si="11"/>
        <v>7690.9560382111713</v>
      </c>
    </row>
    <row r="98" spans="1:8" x14ac:dyDescent="0.3">
      <c r="A98" s="2">
        <v>46260</v>
      </c>
      <c r="B98" s="23">
        <f t="shared" si="12"/>
        <v>97</v>
      </c>
      <c r="C98" s="3"/>
      <c r="D98" s="4">
        <f t="shared" ref="D98:D121" si="15">IF(AND($A98&lt;&gt;"",$B98&lt;&gt;""),$K$9,"")</f>
        <v>100</v>
      </c>
      <c r="E98" s="4">
        <f t="shared" si="10"/>
        <v>7.1907830183258881</v>
      </c>
      <c r="F98" s="4">
        <f t="shared" si="14"/>
        <v>92.809216981674112</v>
      </c>
      <c r="G98" s="4">
        <f t="shared" si="13"/>
        <v>2216.2347448071546</v>
      </c>
      <c r="H98" s="4">
        <f t="shared" si="11"/>
        <v>7783.7652551928459</v>
      </c>
    </row>
    <row r="99" spans="1:8" x14ac:dyDescent="0.3">
      <c r="A99" s="19">
        <v>46260</v>
      </c>
      <c r="B99" s="24">
        <f t="shared" si="12"/>
        <v>98</v>
      </c>
      <c r="C99" s="20"/>
      <c r="D99" s="21">
        <f t="shared" si="15"/>
        <v>100</v>
      </c>
      <c r="E99" s="21">
        <f t="shared" ref="E99:E121" si="16">IF(AND($A99&lt;&gt;"",$B99&lt;&gt;""),G98*$K$8,"")</f>
        <v>6.9017582303790492</v>
      </c>
      <c r="F99" s="21">
        <f t="shared" si="14"/>
        <v>93.098241769620955</v>
      </c>
      <c r="G99" s="21">
        <f t="shared" si="13"/>
        <v>2123.1365030375337</v>
      </c>
      <c r="H99" s="21">
        <f t="shared" ref="H99:H121" si="17">IF(AND($A99&lt;&gt;"",$B99&lt;&gt;""),$K$7-G99,"")</f>
        <v>7876.8634969624663</v>
      </c>
    </row>
    <row r="100" spans="1:8" x14ac:dyDescent="0.3">
      <c r="A100" s="2">
        <v>46260</v>
      </c>
      <c r="B100" s="23">
        <f t="shared" si="12"/>
        <v>99</v>
      </c>
      <c r="C100" s="3"/>
      <c r="D100" s="4">
        <f t="shared" si="15"/>
        <v>100</v>
      </c>
      <c r="E100" s="4">
        <f t="shared" si="16"/>
        <v>6.611833366655639</v>
      </c>
      <c r="F100" s="4">
        <f t="shared" si="14"/>
        <v>93.388166633344355</v>
      </c>
      <c r="G100" s="4">
        <f t="shared" si="13"/>
        <v>2029.7483364041893</v>
      </c>
      <c r="H100" s="4">
        <f t="shared" si="17"/>
        <v>7970.2516635958109</v>
      </c>
    </row>
    <row r="101" spans="1:8" x14ac:dyDescent="0.3">
      <c r="A101" s="19">
        <v>46260</v>
      </c>
      <c r="B101" s="24">
        <f t="shared" si="12"/>
        <v>100</v>
      </c>
      <c r="C101" s="20"/>
      <c r="D101" s="21">
        <f t="shared" si="15"/>
        <v>100</v>
      </c>
      <c r="E101" s="21">
        <f t="shared" si="16"/>
        <v>6.3210056241559256</v>
      </c>
      <c r="F101" s="21">
        <f t="shared" si="14"/>
        <v>93.67899437584407</v>
      </c>
      <c r="G101" s="21">
        <f t="shared" si="13"/>
        <v>1936.0693420283453</v>
      </c>
      <c r="H101" s="21">
        <f t="shared" si="17"/>
        <v>8063.9306579716549</v>
      </c>
    </row>
    <row r="102" spans="1:8" x14ac:dyDescent="0.3">
      <c r="A102" s="2">
        <v>46260</v>
      </c>
      <c r="B102" s="23">
        <f t="shared" si="12"/>
        <v>101</v>
      </c>
      <c r="C102" s="3"/>
      <c r="D102" s="4">
        <f t="shared" si="15"/>
        <v>100</v>
      </c>
      <c r="E102" s="4">
        <f t="shared" si="16"/>
        <v>6.0292721911511231</v>
      </c>
      <c r="F102" s="4">
        <f t="shared" si="14"/>
        <v>93.970727808848878</v>
      </c>
      <c r="G102" s="4">
        <f t="shared" si="13"/>
        <v>1842.0986142194965</v>
      </c>
      <c r="H102" s="4">
        <f t="shared" si="17"/>
        <v>8157.9013857805039</v>
      </c>
    </row>
    <row r="103" spans="1:8" x14ac:dyDescent="0.3">
      <c r="A103" s="19">
        <v>46260</v>
      </c>
      <c r="B103" s="24">
        <f t="shared" si="12"/>
        <v>102</v>
      </c>
      <c r="C103" s="20"/>
      <c r="D103" s="21">
        <f t="shared" si="15"/>
        <v>100</v>
      </c>
      <c r="E103" s="21">
        <f t="shared" si="16"/>
        <v>5.7366302471562118</v>
      </c>
      <c r="F103" s="21">
        <f t="shared" si="14"/>
        <v>94.263369752843786</v>
      </c>
      <c r="G103" s="21">
        <f t="shared" si="13"/>
        <v>1747.8352444666527</v>
      </c>
      <c r="H103" s="21">
        <f t="shared" si="17"/>
        <v>8252.1647555333475</v>
      </c>
    </row>
    <row r="104" spans="1:8" x14ac:dyDescent="0.3">
      <c r="A104" s="2">
        <v>46260</v>
      </c>
      <c r="B104" s="23">
        <f t="shared" si="12"/>
        <v>103</v>
      </c>
      <c r="C104" s="3"/>
      <c r="D104" s="4">
        <f t="shared" si="15"/>
        <v>100</v>
      </c>
      <c r="E104" s="4">
        <f t="shared" si="16"/>
        <v>5.4430769629026683</v>
      </c>
      <c r="F104" s="4">
        <f t="shared" si="14"/>
        <v>94.556923037097334</v>
      </c>
      <c r="G104" s="4">
        <f t="shared" si="13"/>
        <v>1653.2783214295555</v>
      </c>
      <c r="H104" s="4">
        <f t="shared" si="17"/>
        <v>8346.7216785704441</v>
      </c>
    </row>
    <row r="105" spans="1:8" x14ac:dyDescent="0.3">
      <c r="A105" s="19">
        <v>46260</v>
      </c>
      <c r="B105" s="24">
        <f t="shared" si="12"/>
        <v>104</v>
      </c>
      <c r="C105" s="20"/>
      <c r="D105" s="21">
        <f t="shared" si="15"/>
        <v>100</v>
      </c>
      <c r="E105" s="21">
        <f t="shared" si="16"/>
        <v>5.1486095003111139</v>
      </c>
      <c r="F105" s="21">
        <f t="shared" si="14"/>
        <v>94.85139049968889</v>
      </c>
      <c r="G105" s="21">
        <f t="shared" si="13"/>
        <v>1558.4269309298666</v>
      </c>
      <c r="H105" s="21">
        <f t="shared" si="17"/>
        <v>8441.573069070133</v>
      </c>
    </row>
    <row r="106" spans="1:8" x14ac:dyDescent="0.3">
      <c r="A106" s="2">
        <v>46260</v>
      </c>
      <c r="B106" s="23">
        <f t="shared" si="12"/>
        <v>105</v>
      </c>
      <c r="C106" s="3"/>
      <c r="D106" s="4">
        <f t="shared" si="15"/>
        <v>100</v>
      </c>
      <c r="E106" s="4">
        <f t="shared" si="16"/>
        <v>4.8532250124638718</v>
      </c>
      <c r="F106" s="4">
        <f t="shared" si="14"/>
        <v>95.146774987536133</v>
      </c>
      <c r="G106" s="4">
        <f t="shared" si="13"/>
        <v>1463.2801559423303</v>
      </c>
      <c r="H106" s="4">
        <f t="shared" si="17"/>
        <v>8536.7198440576703</v>
      </c>
    </row>
    <row r="107" spans="1:8" x14ac:dyDescent="0.3">
      <c r="A107" s="19">
        <v>46260</v>
      </c>
      <c r="B107" s="24">
        <f t="shared" si="12"/>
        <v>106</v>
      </c>
      <c r="C107" s="20"/>
      <c r="D107" s="21">
        <f t="shared" si="15"/>
        <v>100</v>
      </c>
      <c r="E107" s="21">
        <f t="shared" si="16"/>
        <v>4.5569206435774463</v>
      </c>
      <c r="F107" s="21">
        <f t="shared" si="14"/>
        <v>95.443079356422558</v>
      </c>
      <c r="G107" s="21">
        <f t="shared" si="13"/>
        <v>1367.8370765859079</v>
      </c>
      <c r="H107" s="21">
        <f t="shared" si="17"/>
        <v>8632.1629234140928</v>
      </c>
    </row>
    <row r="108" spans="1:8" x14ac:dyDescent="0.3">
      <c r="A108" s="2">
        <v>46260</v>
      </c>
      <c r="B108" s="23">
        <f t="shared" si="12"/>
        <v>107</v>
      </c>
      <c r="C108" s="3"/>
      <c r="D108" s="4">
        <f t="shared" si="15"/>
        <v>100</v>
      </c>
      <c r="E108" s="4">
        <f t="shared" si="16"/>
        <v>4.259693528974914</v>
      </c>
      <c r="F108" s="4">
        <f t="shared" si="14"/>
        <v>95.740306471025093</v>
      </c>
      <c r="G108" s="4">
        <f t="shared" si="13"/>
        <v>1272.0967701148827</v>
      </c>
      <c r="H108" s="4">
        <f t="shared" si="17"/>
        <v>8727.903229885118</v>
      </c>
    </row>
    <row r="109" spans="1:8" x14ac:dyDescent="0.3">
      <c r="A109" s="19">
        <v>46260</v>
      </c>
      <c r="B109" s="24">
        <f t="shared" si="12"/>
        <v>108</v>
      </c>
      <c r="C109" s="20"/>
      <c r="D109" s="21">
        <f t="shared" si="15"/>
        <v>100</v>
      </c>
      <c r="E109" s="21">
        <f t="shared" si="16"/>
        <v>3.9615407950582244</v>
      </c>
      <c r="F109" s="21">
        <f t="shared" si="14"/>
        <v>96.038459204941773</v>
      </c>
      <c r="G109" s="21">
        <f t="shared" si="13"/>
        <v>1176.0583109099409</v>
      </c>
      <c r="H109" s="21">
        <f t="shared" si="17"/>
        <v>8823.9416890900593</v>
      </c>
    </row>
    <row r="110" spans="1:8" x14ac:dyDescent="0.3">
      <c r="A110" s="2">
        <v>46260</v>
      </c>
      <c r="B110" s="23">
        <f t="shared" si="12"/>
        <v>109</v>
      </c>
      <c r="C110" s="3"/>
      <c r="D110" s="4">
        <f t="shared" si="15"/>
        <v>100</v>
      </c>
      <c r="E110" s="4">
        <f t="shared" si="16"/>
        <v>3.6624595592804208</v>
      </c>
      <c r="F110" s="4">
        <f t="shared" si="14"/>
        <v>96.337540440719579</v>
      </c>
      <c r="G110" s="4">
        <f t="shared" si="13"/>
        <v>1079.7207704692214</v>
      </c>
      <c r="H110" s="4">
        <f t="shared" si="17"/>
        <v>8920.279229530779</v>
      </c>
    </row>
    <row r="111" spans="1:8" x14ac:dyDescent="0.3">
      <c r="A111" s="19">
        <v>46260</v>
      </c>
      <c r="B111" s="24">
        <f t="shared" si="12"/>
        <v>110</v>
      </c>
      <c r="C111" s="20"/>
      <c r="D111" s="21">
        <f t="shared" si="15"/>
        <v>100</v>
      </c>
      <c r="E111" s="21">
        <f t="shared" si="16"/>
        <v>3.3624469301177702</v>
      </c>
      <c r="F111" s="21">
        <f t="shared" si="14"/>
        <v>96.63755306988223</v>
      </c>
      <c r="G111" s="21">
        <f t="shared" si="13"/>
        <v>983.08321739933922</v>
      </c>
      <c r="H111" s="21">
        <f t="shared" si="17"/>
        <v>9016.9167826006615</v>
      </c>
    </row>
    <row r="112" spans="1:8" x14ac:dyDescent="0.3">
      <c r="A112" s="2">
        <v>46260</v>
      </c>
      <c r="B112" s="23">
        <f t="shared" si="12"/>
        <v>111</v>
      </c>
      <c r="C112" s="3"/>
      <c r="D112" s="4">
        <f t="shared" si="15"/>
        <v>100</v>
      </c>
      <c r="E112" s="4">
        <f t="shared" si="16"/>
        <v>3.061500007041809</v>
      </c>
      <c r="F112" s="4">
        <f t="shared" si="14"/>
        <v>96.938499992958185</v>
      </c>
      <c r="G112" s="4">
        <f t="shared" si="13"/>
        <v>886.14471740638101</v>
      </c>
      <c r="H112" s="4">
        <f t="shared" si="17"/>
        <v>9113.8552825936185</v>
      </c>
    </row>
    <row r="113" spans="1:8" x14ac:dyDescent="0.3">
      <c r="A113" s="19">
        <v>46260</v>
      </c>
      <c r="B113" s="24">
        <f t="shared" si="12"/>
        <v>112</v>
      </c>
      <c r="C113" s="20"/>
      <c r="D113" s="21">
        <f t="shared" si="15"/>
        <v>100</v>
      </c>
      <c r="E113" s="21">
        <f t="shared" si="16"/>
        <v>2.7596158804912996</v>
      </c>
      <c r="F113" s="21">
        <f t="shared" si="14"/>
        <v>97.240384119508704</v>
      </c>
      <c r="G113" s="21">
        <f t="shared" si="13"/>
        <v>788.90433328687232</v>
      </c>
      <c r="H113" s="21">
        <f t="shared" si="17"/>
        <v>9211.0956667131286</v>
      </c>
    </row>
    <row r="114" spans="1:8" x14ac:dyDescent="0.3">
      <c r="A114" s="2">
        <v>46260</v>
      </c>
      <c r="B114" s="23">
        <f t="shared" si="12"/>
        <v>113</v>
      </c>
      <c r="C114" s="3"/>
      <c r="D114" s="4">
        <f t="shared" si="15"/>
        <v>100</v>
      </c>
      <c r="E114" s="4">
        <f t="shared" si="16"/>
        <v>2.4567916318441023</v>
      </c>
      <c r="F114" s="4">
        <f t="shared" si="14"/>
        <v>97.543208368155902</v>
      </c>
      <c r="G114" s="4">
        <f t="shared" si="13"/>
        <v>691.36112491871643</v>
      </c>
      <c r="H114" s="4">
        <f t="shared" si="17"/>
        <v>9308.6388750812839</v>
      </c>
    </row>
    <row r="115" spans="1:8" x14ac:dyDescent="0.3">
      <c r="A115" s="19">
        <v>46260</v>
      </c>
      <c r="B115" s="24">
        <f t="shared" si="12"/>
        <v>114</v>
      </c>
      <c r="C115" s="20"/>
      <c r="D115" s="21">
        <f t="shared" si="15"/>
        <v>100</v>
      </c>
      <c r="E115" s="21">
        <f t="shared" si="16"/>
        <v>2.1530243333889567</v>
      </c>
      <c r="F115" s="21">
        <f t="shared" si="14"/>
        <v>97.846975666611044</v>
      </c>
      <c r="G115" s="21">
        <f t="shared" si="13"/>
        <v>593.51414925210543</v>
      </c>
      <c r="H115" s="21">
        <f t="shared" si="17"/>
        <v>9406.4858507478948</v>
      </c>
    </row>
    <row r="116" spans="1:8" x14ac:dyDescent="0.3">
      <c r="A116" s="2">
        <v>46260</v>
      </c>
      <c r="B116" s="23">
        <f t="shared" si="12"/>
        <v>115</v>
      </c>
      <c r="C116" s="3"/>
      <c r="D116" s="4">
        <f t="shared" si="15"/>
        <v>100</v>
      </c>
      <c r="E116" s="4">
        <f t="shared" si="16"/>
        <v>1.8483110482971767</v>
      </c>
      <c r="F116" s="4">
        <f t="shared" si="14"/>
        <v>98.151688951702823</v>
      </c>
      <c r="G116" s="4">
        <f t="shared" si="13"/>
        <v>495.36246030040263</v>
      </c>
      <c r="H116" s="4">
        <f t="shared" si="17"/>
        <v>9504.6375396995973</v>
      </c>
    </row>
    <row r="117" spans="1:8" x14ac:dyDescent="0.3">
      <c r="A117" s="19">
        <v>46260</v>
      </c>
      <c r="B117" s="24">
        <f t="shared" si="12"/>
        <v>116</v>
      </c>
      <c r="C117" s="20"/>
      <c r="D117" s="21">
        <f t="shared" si="15"/>
        <v>100</v>
      </c>
      <c r="E117" s="21">
        <f t="shared" si="16"/>
        <v>1.5426488305942569</v>
      </c>
      <c r="F117" s="21">
        <f t="shared" si="14"/>
        <v>98.45735116940574</v>
      </c>
      <c r="G117" s="21">
        <f t="shared" si="13"/>
        <v>396.90510913099689</v>
      </c>
      <c r="H117" s="21">
        <f t="shared" si="17"/>
        <v>9603.0948908690025</v>
      </c>
    </row>
    <row r="118" spans="1:8" x14ac:dyDescent="0.3">
      <c r="A118" s="2">
        <v>46260</v>
      </c>
      <c r="B118" s="23">
        <f t="shared" si="12"/>
        <v>117</v>
      </c>
      <c r="C118" s="3"/>
      <c r="D118" s="4">
        <f t="shared" si="15"/>
        <v>100</v>
      </c>
      <c r="E118" s="4">
        <f t="shared" si="16"/>
        <v>1.2360347251313921</v>
      </c>
      <c r="F118" s="4">
        <f t="shared" si="14"/>
        <v>98.76396527486861</v>
      </c>
      <c r="G118" s="4">
        <f t="shared" si="13"/>
        <v>298.14114385612828</v>
      </c>
      <c r="H118" s="4">
        <f t="shared" si="17"/>
        <v>9701.8588561438719</v>
      </c>
    </row>
    <row r="119" spans="1:8" x14ac:dyDescent="0.3">
      <c r="A119" s="19">
        <v>46260</v>
      </c>
      <c r="B119" s="24">
        <f t="shared" si="12"/>
        <v>118</v>
      </c>
      <c r="C119" s="20"/>
      <c r="D119" s="21">
        <f t="shared" si="15"/>
        <v>100</v>
      </c>
      <c r="E119" s="21">
        <f t="shared" si="16"/>
        <v>0.92846576755690546</v>
      </c>
      <c r="F119" s="21">
        <f t="shared" si="14"/>
        <v>99.071534232443099</v>
      </c>
      <c r="G119" s="21">
        <f t="shared" si="13"/>
        <v>199.06960962368518</v>
      </c>
      <c r="H119" s="21">
        <f t="shared" si="17"/>
        <v>9800.9303903763157</v>
      </c>
    </row>
    <row r="120" spans="1:8" x14ac:dyDescent="0.3">
      <c r="A120" s="2">
        <v>46260</v>
      </c>
      <c r="B120" s="23">
        <f t="shared" si="12"/>
        <v>119</v>
      </c>
      <c r="C120" s="3"/>
      <c r="D120" s="4">
        <f t="shared" si="15"/>
        <v>100</v>
      </c>
      <c r="E120" s="4">
        <f t="shared" si="16"/>
        <v>0.61993898428758998</v>
      </c>
      <c r="F120" s="4">
        <f t="shared" si="14"/>
        <v>99.380061015712414</v>
      </c>
      <c r="G120" s="4">
        <f t="shared" si="13"/>
        <v>99.689548607972768</v>
      </c>
      <c r="H120" s="4">
        <f t="shared" si="17"/>
        <v>9900.310451392028</v>
      </c>
    </row>
    <row r="121" spans="1:8" x14ac:dyDescent="0.3">
      <c r="A121" s="19">
        <v>46260</v>
      </c>
      <c r="B121" s="24">
        <f t="shared" si="12"/>
        <v>120</v>
      </c>
      <c r="C121" s="20"/>
      <c r="D121" s="21">
        <f t="shared" si="15"/>
        <v>100</v>
      </c>
      <c r="E121" s="21">
        <f t="shared" si="16"/>
        <v>0.31045139247995929</v>
      </c>
      <c r="F121" s="21">
        <f t="shared" si="14"/>
        <v>99.689548607520038</v>
      </c>
      <c r="G121" s="21">
        <f t="shared" si="13"/>
        <v>4.5272940951690543E-10</v>
      </c>
      <c r="H121" s="21">
        <f t="shared" si="17"/>
        <v>9999.9999999995471</v>
      </c>
    </row>
  </sheetData>
  <sheetProtection algorithmName="SHA-512" hashValue="gsnSA7XEqUKO+URCLrdmjr4y1297qiWHlvRfuzxCY/FiSGGmZRA054+XMDwFbMu2JXp4kCkbqQhijFGZ5nYyMA==" saltValue="DlSbrT6Mn1nY+xa3c+Btq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zoomScaleNormal="100" workbookViewId="0">
      <pane ySplit="1" topLeftCell="A2" activePane="bottomLeft" state="frozen"/>
      <selection pane="bottomLeft" activeCell="A96" sqref="A96:A121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1.8554687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46177</v>
      </c>
      <c r="B2" s="23">
        <f>IF(A2&lt;&gt;"",1,"")</f>
        <v>1</v>
      </c>
      <c r="C2" s="3"/>
      <c r="D2" s="4">
        <f t="shared" ref="D2:D65" si="0">IF(AND($A2&lt;&gt;"",$B2&lt;&gt;""),$K$9,"")</f>
        <v>100</v>
      </c>
      <c r="E2" s="4">
        <f>IF(AND($A2&lt;&gt;"",$B2&lt;&gt;""),$K$7*$K$8,"")</f>
        <v>31.14181946001214</v>
      </c>
      <c r="F2" s="4">
        <f>IF(AND($A2&lt;&gt;"",$B2&lt;&gt;""),D2-E2,"")</f>
        <v>68.858180539987856</v>
      </c>
      <c r="G2" s="4">
        <f>IF(AND($A2&lt;&gt;"",$B2&lt;&gt;""),$K$7-F2,"")</f>
        <v>9931.1418194600119</v>
      </c>
      <c r="H2" s="4">
        <f>IF(AND($A2&lt;&gt;"",$B2&lt;&gt;""),$K$7-G2,"")</f>
        <v>68.858180539988098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L10000D120-Bidyabati2-NLoan2</v>
      </c>
    </row>
    <row r="3" spans="1:12" x14ac:dyDescent="0.3">
      <c r="A3" s="19">
        <v>46178</v>
      </c>
      <c r="B3" s="24">
        <f>IF(A3&lt;&gt;"",B2+1,"")</f>
        <v>2</v>
      </c>
      <c r="C3" s="20"/>
      <c r="D3" s="21">
        <f t="shared" si="0"/>
        <v>100</v>
      </c>
      <c r="E3" s="21">
        <f t="shared" ref="E3:E66" si="1">IF(AND($A3&lt;&gt;"",$B3&lt;&gt;""),G2*$K$8,"")</f>
        <v>30.927382557340017</v>
      </c>
      <c r="F3" s="21">
        <f>IF(AND($A3&lt;&gt;"",$B3&lt;&gt;""),D3-E3,"")</f>
        <v>69.072617442659975</v>
      </c>
      <c r="G3" s="21">
        <f>IF(AND($A3&lt;&gt;"",$B3&lt;&gt;""),G2-F3,"")</f>
        <v>9862.0692020173519</v>
      </c>
      <c r="H3" s="21">
        <f t="shared" ref="H3:H66" si="2">IF(AND($A3&lt;&gt;"",$B3&lt;&gt;""),$K$7-G3,"")</f>
        <v>137.93079798264807</v>
      </c>
      <c r="J3" s="5" t="s">
        <v>10</v>
      </c>
      <c r="K3" s="27" t="s">
        <v>22</v>
      </c>
    </row>
    <row r="4" spans="1:12" x14ac:dyDescent="0.3">
      <c r="A4" s="2">
        <v>46179</v>
      </c>
      <c r="B4" s="23">
        <f t="shared" ref="B4:B67" si="3">IF(A4&lt;&gt;"",B3+1,"")</f>
        <v>3</v>
      </c>
      <c r="C4" s="3"/>
      <c r="D4" s="4">
        <f t="shared" si="0"/>
        <v>100</v>
      </c>
      <c r="E4" s="4">
        <f t="shared" si="1"/>
        <v>30.712277859137039</v>
      </c>
      <c r="F4" s="4">
        <f>IF(AND($A4&lt;&gt;"",$B4&lt;&gt;""),D4-E4,"")</f>
        <v>69.287722140862968</v>
      </c>
      <c r="G4" s="4">
        <f>IF(AND($A4&lt;&gt;"",$B4&lt;&gt;""),G3-F4,"")</f>
        <v>9792.7814798764884</v>
      </c>
      <c r="H4" s="4">
        <f t="shared" si="2"/>
        <v>207.21852012351155</v>
      </c>
      <c r="J4" s="5" t="s">
        <v>11</v>
      </c>
      <c r="K4" s="27"/>
    </row>
    <row r="5" spans="1:12" x14ac:dyDescent="0.3">
      <c r="A5" s="19">
        <v>46180</v>
      </c>
      <c r="B5" s="24">
        <f t="shared" si="3"/>
        <v>4</v>
      </c>
      <c r="C5" s="20"/>
      <c r="D5" s="21">
        <f t="shared" si="0"/>
        <v>100</v>
      </c>
      <c r="E5" s="21">
        <f t="shared" si="1"/>
        <v>30.496503285766412</v>
      </c>
      <c r="F5" s="21">
        <f>IF(AND($A5&lt;&gt;"",$B5&lt;&gt;""),D5-E5,"")</f>
        <v>69.503496714233592</v>
      </c>
      <c r="G5" s="21">
        <f>IF(AND($A5&lt;&gt;"",$B5&lt;&gt;""),G4-F5,"")</f>
        <v>9723.2779831622556</v>
      </c>
      <c r="H5" s="21">
        <f t="shared" si="2"/>
        <v>276.72201683774438</v>
      </c>
      <c r="J5" s="5" t="s">
        <v>12</v>
      </c>
      <c r="K5" s="27"/>
    </row>
    <row r="6" spans="1:12" x14ac:dyDescent="0.3">
      <c r="A6" s="2">
        <v>46181</v>
      </c>
      <c r="B6" s="23">
        <f t="shared" si="3"/>
        <v>5</v>
      </c>
      <c r="C6" s="3"/>
      <c r="D6" s="4">
        <f t="shared" si="0"/>
        <v>100</v>
      </c>
      <c r="E6" s="4">
        <f t="shared" si="1"/>
        <v>30.280056751114994</v>
      </c>
      <c r="F6" s="4">
        <f>IF(AND($A6&lt;&gt;"",$B6&lt;&gt;""),D6-E6,"")</f>
        <v>69.719943248885002</v>
      </c>
      <c r="G6" s="4">
        <f t="shared" ref="G6:G69" si="4">IF(AND($A6&lt;&gt;"",$B6&lt;&gt;""),G5-F6,"")</f>
        <v>9653.5580399133705</v>
      </c>
      <c r="H6" s="4">
        <f t="shared" si="2"/>
        <v>346.44196008662948</v>
      </c>
      <c r="J6" s="5" t="s">
        <v>13</v>
      </c>
      <c r="K6" s="27"/>
    </row>
    <row r="7" spans="1:12" x14ac:dyDescent="0.3">
      <c r="A7" s="19">
        <v>46182</v>
      </c>
      <c r="B7" s="24">
        <f t="shared" si="3"/>
        <v>6</v>
      </c>
      <c r="C7" s="20"/>
      <c r="D7" s="21">
        <f t="shared" si="0"/>
        <v>100</v>
      </c>
      <c r="E7" s="21">
        <f t="shared" si="1"/>
        <v>30.062936162573088</v>
      </c>
      <c r="F7" s="21">
        <f t="shared" ref="F7:F70" si="5">IF(AND($A7&lt;&gt;"",$B7&lt;&gt;""),D7-E7,"")</f>
        <v>69.937063837426905</v>
      </c>
      <c r="G7" s="21">
        <f t="shared" si="4"/>
        <v>9583.620976075943</v>
      </c>
      <c r="H7" s="21">
        <f t="shared" si="2"/>
        <v>416.37902392405704</v>
      </c>
      <c r="J7" s="5" t="s">
        <v>7</v>
      </c>
      <c r="K7" s="28">
        <v>10000</v>
      </c>
    </row>
    <row r="8" spans="1:12" x14ac:dyDescent="0.3">
      <c r="A8" s="2">
        <v>46183</v>
      </c>
      <c r="B8" s="23">
        <f t="shared" si="3"/>
        <v>7</v>
      </c>
      <c r="C8" s="3"/>
      <c r="D8" s="4">
        <f t="shared" si="0"/>
        <v>100</v>
      </c>
      <c r="E8" s="4">
        <f t="shared" si="1"/>
        <v>29.845139421014235</v>
      </c>
      <c r="F8" s="4">
        <f t="shared" si="5"/>
        <v>70.154860578985762</v>
      </c>
      <c r="G8" s="4">
        <f t="shared" si="4"/>
        <v>9513.4661154969581</v>
      </c>
      <c r="H8" s="4">
        <f t="shared" si="2"/>
        <v>486.53388450304192</v>
      </c>
      <c r="J8" s="5" t="s">
        <v>14</v>
      </c>
      <c r="K8" s="29">
        <f>RATE(K10,-K9,K7)</f>
        <v>3.1141819460012141E-3</v>
      </c>
    </row>
    <row r="9" spans="1:12" x14ac:dyDescent="0.3">
      <c r="A9" s="19">
        <v>46184</v>
      </c>
      <c r="B9" s="24">
        <f t="shared" si="3"/>
        <v>8</v>
      </c>
      <c r="C9" s="20"/>
      <c r="D9" s="21">
        <f t="shared" si="0"/>
        <v>100</v>
      </c>
      <c r="E9" s="21">
        <f t="shared" si="1"/>
        <v>29.626664420774929</v>
      </c>
      <c r="F9" s="21">
        <f t="shared" si="5"/>
        <v>70.373335579225071</v>
      </c>
      <c r="G9" s="21">
        <f t="shared" si="4"/>
        <v>9443.0927799177334</v>
      </c>
      <c r="H9" s="21">
        <f t="shared" si="2"/>
        <v>556.90722008226658</v>
      </c>
      <c r="J9" s="5" t="s">
        <v>8</v>
      </c>
      <c r="K9" s="30">
        <v>100</v>
      </c>
    </row>
    <row r="10" spans="1:12" x14ac:dyDescent="0.3">
      <c r="A10" s="2">
        <v>46185</v>
      </c>
      <c r="B10" s="23">
        <f t="shared" si="3"/>
        <v>9</v>
      </c>
      <c r="C10" s="3"/>
      <c r="D10" s="4">
        <f t="shared" si="0"/>
        <v>100</v>
      </c>
      <c r="E10" s="4">
        <f t="shared" si="1"/>
        <v>29.407509049634221</v>
      </c>
      <c r="F10" s="4">
        <f t="shared" si="5"/>
        <v>70.592490950365772</v>
      </c>
      <c r="G10" s="4">
        <f t="shared" si="4"/>
        <v>9372.5002889673669</v>
      </c>
      <c r="H10" s="4">
        <f t="shared" si="2"/>
        <v>627.49971103263306</v>
      </c>
      <c r="J10" s="5" t="s">
        <v>15</v>
      </c>
      <c r="K10" s="31">
        <v>120</v>
      </c>
    </row>
    <row r="11" spans="1:12" ht="17.25" thickBot="1" x14ac:dyDescent="0.35">
      <c r="A11" s="19">
        <v>46186</v>
      </c>
      <c r="B11" s="24">
        <f t="shared" si="3"/>
        <v>10</v>
      </c>
      <c r="C11" s="20"/>
      <c r="D11" s="21">
        <f t="shared" si="0"/>
        <v>100</v>
      </c>
      <c r="E11" s="21">
        <f t="shared" si="1"/>
        <v>29.187671188793338</v>
      </c>
      <c r="F11" s="21">
        <f t="shared" si="5"/>
        <v>70.812328811206669</v>
      </c>
      <c r="G11" s="21">
        <f t="shared" si="4"/>
        <v>9301.6879601561595</v>
      </c>
      <c r="H11" s="21">
        <f t="shared" si="2"/>
        <v>698.31203984384047</v>
      </c>
      <c r="J11" s="8"/>
      <c r="L11" s="22"/>
    </row>
    <row r="12" spans="1:12" x14ac:dyDescent="0.3">
      <c r="A12" s="2">
        <v>46187</v>
      </c>
      <c r="B12" s="23">
        <f t="shared" si="3"/>
        <v>11</v>
      </c>
      <c r="C12" s="3"/>
      <c r="D12" s="4">
        <f t="shared" si="0"/>
        <v>100</v>
      </c>
      <c r="E12" s="4">
        <f t="shared" si="1"/>
        <v>28.967148712855174</v>
      </c>
      <c r="F12" s="4">
        <f t="shared" si="5"/>
        <v>71.032851287144823</v>
      </c>
      <c r="G12" s="4">
        <f t="shared" si="4"/>
        <v>9230.6551088690139</v>
      </c>
      <c r="H12" s="4">
        <f t="shared" si="2"/>
        <v>769.34489113098607</v>
      </c>
      <c r="J12" s="9" t="s">
        <v>16</v>
      </c>
      <c r="K12" s="10">
        <f>IFERROR(MAX($B:$B),"")</f>
        <v>120</v>
      </c>
    </row>
    <row r="13" spans="1:12" x14ac:dyDescent="0.3">
      <c r="A13" s="19">
        <v>46188</v>
      </c>
      <c r="B13" s="24">
        <f t="shared" si="3"/>
        <v>12</v>
      </c>
      <c r="C13" s="20"/>
      <c r="D13" s="21">
        <f t="shared" si="0"/>
        <v>100</v>
      </c>
      <c r="E13" s="21">
        <f t="shared" si="1"/>
        <v>28.745939489803757</v>
      </c>
      <c r="F13" s="21">
        <f t="shared" si="5"/>
        <v>71.25406051019624</v>
      </c>
      <c r="G13" s="21">
        <f t="shared" si="4"/>
        <v>9159.4010483588172</v>
      </c>
      <c r="H13" s="21">
        <f t="shared" si="2"/>
        <v>840.59895164118279</v>
      </c>
      <c r="J13" s="25" t="s">
        <v>23</v>
      </c>
      <c r="K13" s="12">
        <f>(K10*K9)-K9*K12</f>
        <v>0</v>
      </c>
    </row>
    <row r="14" spans="1:12" x14ac:dyDescent="0.3">
      <c r="A14" s="2">
        <v>46189</v>
      </c>
      <c r="B14" s="23">
        <f t="shared" si="3"/>
        <v>13</v>
      </c>
      <c r="C14" s="3"/>
      <c r="D14" s="4">
        <f t="shared" si="0"/>
        <v>100</v>
      </c>
      <c r="E14" s="4">
        <f t="shared" si="1"/>
        <v>28.524041380983622</v>
      </c>
      <c r="F14" s="4">
        <f t="shared" si="5"/>
        <v>71.475958619016382</v>
      </c>
      <c r="G14" s="4">
        <f t="shared" si="4"/>
        <v>9087.9250897398015</v>
      </c>
      <c r="H14" s="4">
        <f t="shared" si="2"/>
        <v>912.07491026019852</v>
      </c>
      <c r="J14" s="11" t="s">
        <v>24</v>
      </c>
      <c r="K14" s="12">
        <f>IF(A2="", K9*K10, IFERROR(INDEX($G:$G, MATCH($K$12, $B:$B, 0)), 0))</f>
        <v>4.5272940951690543E-10</v>
      </c>
    </row>
    <row r="15" spans="1:12" ht="17.25" thickBot="1" x14ac:dyDescent="0.35">
      <c r="A15" s="19">
        <v>46190</v>
      </c>
      <c r="B15" s="24">
        <f t="shared" si="3"/>
        <v>14</v>
      </c>
      <c r="C15" s="20"/>
      <c r="D15" s="21">
        <f t="shared" si="0"/>
        <v>100</v>
      </c>
      <c r="E15" s="21">
        <f t="shared" si="1"/>
        <v>28.301452241079154</v>
      </c>
      <c r="F15" s="21">
        <f t="shared" si="5"/>
        <v>71.698547758920853</v>
      </c>
      <c r="G15" s="21">
        <f t="shared" si="4"/>
        <v>9016.2265419808809</v>
      </c>
      <c r="H15" s="21">
        <f t="shared" si="2"/>
        <v>983.77345801911906</v>
      </c>
      <c r="J15" s="13" t="s">
        <v>6</v>
      </c>
      <c r="K15" s="14">
        <f>IFERROR(INDEX($H:$H, MATCH($K$12, $B:$B, 0)), 0)</f>
        <v>9999.9999999995471</v>
      </c>
    </row>
    <row r="16" spans="1:12" x14ac:dyDescent="0.3">
      <c r="A16" s="2">
        <v>46191</v>
      </c>
      <c r="B16" s="23">
        <f t="shared" si="3"/>
        <v>15</v>
      </c>
      <c r="C16" s="3"/>
      <c r="D16" s="4">
        <f t="shared" si="0"/>
        <v>100</v>
      </c>
      <c r="E16" s="4">
        <f t="shared" si="1"/>
        <v>28.078169918093817</v>
      </c>
      <c r="F16" s="4">
        <f t="shared" si="5"/>
        <v>71.92183008190618</v>
      </c>
      <c r="G16" s="4">
        <f t="shared" si="4"/>
        <v>8944.3047118989743</v>
      </c>
      <c r="H16" s="4">
        <f t="shared" si="2"/>
        <v>1055.6952881010257</v>
      </c>
      <c r="J16" s="15" t="s">
        <v>18</v>
      </c>
      <c r="K16" s="16">
        <f>IF(A2,A2, "")</f>
        <v>46177</v>
      </c>
    </row>
    <row r="17" spans="1:11" x14ac:dyDescent="0.3">
      <c r="A17" s="19">
        <v>46192</v>
      </c>
      <c r="B17" s="24">
        <f t="shared" si="3"/>
        <v>16</v>
      </c>
      <c r="C17" s="20"/>
      <c r="D17" s="21">
        <f t="shared" si="0"/>
        <v>100</v>
      </c>
      <c r="E17" s="21">
        <f t="shared" si="1"/>
        <v>27.854192253329376</v>
      </c>
      <c r="F17" s="21">
        <f t="shared" si="5"/>
        <v>72.145807746670627</v>
      </c>
      <c r="G17" s="21">
        <f t="shared" si="4"/>
        <v>8872.1589041523039</v>
      </c>
      <c r="H17" s="21">
        <f t="shared" si="2"/>
        <v>1127.8410958476961</v>
      </c>
      <c r="J17" s="17" t="s">
        <v>19</v>
      </c>
      <c r="K17" s="18">
        <f xml:space="preserve"> IF(A2,(K16 + 120),"")</f>
        <v>46297</v>
      </c>
    </row>
    <row r="18" spans="1:11" x14ac:dyDescent="0.3">
      <c r="A18" s="2">
        <v>46193</v>
      </c>
      <c r="B18" s="23">
        <f t="shared" si="3"/>
        <v>17</v>
      </c>
      <c r="C18" s="3"/>
      <c r="D18" s="4">
        <f t="shared" si="0"/>
        <v>100</v>
      </c>
      <c r="E18" s="4">
        <f t="shared" si="1"/>
        <v>27.629517081365023</v>
      </c>
      <c r="F18" s="4">
        <f t="shared" si="5"/>
        <v>72.370482918634977</v>
      </c>
      <c r="G18" s="4">
        <f t="shared" si="4"/>
        <v>8799.7884212336685</v>
      </c>
      <c r="H18" s="4">
        <f t="shared" si="2"/>
        <v>1200.2115787663315</v>
      </c>
    </row>
    <row r="19" spans="1:11" x14ac:dyDescent="0.3">
      <c r="A19" s="19">
        <v>46194</v>
      </c>
      <c r="B19" s="24">
        <f t="shared" si="3"/>
        <v>18</v>
      </c>
      <c r="C19" s="20"/>
      <c r="D19" s="21">
        <f t="shared" si="0"/>
        <v>100</v>
      </c>
      <c r="E19" s="21">
        <f t="shared" si="1"/>
        <v>27.404142230036417</v>
      </c>
      <c r="F19" s="21">
        <f t="shared" si="5"/>
        <v>72.595857769963587</v>
      </c>
      <c r="G19" s="21">
        <f t="shared" si="4"/>
        <v>8727.1925634637046</v>
      </c>
      <c r="H19" s="21">
        <f t="shared" si="2"/>
        <v>1272.8074365362954</v>
      </c>
    </row>
    <row r="20" spans="1:11" x14ac:dyDescent="0.3">
      <c r="A20" s="2">
        <v>46195</v>
      </c>
      <c r="B20" s="23">
        <f t="shared" si="3"/>
        <v>19</v>
      </c>
      <c r="C20" s="3"/>
      <c r="D20" s="4">
        <f t="shared" si="0"/>
        <v>100</v>
      </c>
      <c r="E20" s="4">
        <f t="shared" si="1"/>
        <v>27.178065520414723</v>
      </c>
      <c r="F20" s="4">
        <f t="shared" si="5"/>
        <v>72.821934479585281</v>
      </c>
      <c r="G20" s="4">
        <f t="shared" si="4"/>
        <v>8654.3706289841193</v>
      </c>
      <c r="H20" s="4">
        <f t="shared" si="2"/>
        <v>1345.6293710158807</v>
      </c>
      <c r="J20" s="22"/>
      <c r="K20" s="22"/>
    </row>
    <row r="21" spans="1:11" x14ac:dyDescent="0.3">
      <c r="A21" s="19">
        <v>46196</v>
      </c>
      <c r="B21" s="24">
        <f t="shared" si="3"/>
        <v>20</v>
      </c>
      <c r="C21" s="20"/>
      <c r="D21" s="21">
        <f t="shared" si="0"/>
        <v>100</v>
      </c>
      <c r="E21" s="21">
        <f t="shared" si="1"/>
        <v>26.951284766785516</v>
      </c>
      <c r="F21" s="21">
        <f t="shared" si="5"/>
        <v>73.04871523321448</v>
      </c>
      <c r="G21" s="21">
        <f t="shared" si="4"/>
        <v>8581.3219137509041</v>
      </c>
      <c r="H21" s="21">
        <f t="shared" si="2"/>
        <v>1418.6780862490959</v>
      </c>
    </row>
    <row r="22" spans="1:11" x14ac:dyDescent="0.3">
      <c r="A22" s="2">
        <v>46197</v>
      </c>
      <c r="B22" s="23">
        <f t="shared" si="3"/>
        <v>21</v>
      </c>
      <c r="C22" s="3"/>
      <c r="D22" s="4">
        <f t="shared" si="0"/>
        <v>100</v>
      </c>
      <c r="E22" s="4">
        <f t="shared" si="1"/>
        <v>26.723797776627652</v>
      </c>
      <c r="F22" s="4">
        <f t="shared" si="5"/>
        <v>73.276202223372351</v>
      </c>
      <c r="G22" s="4">
        <f t="shared" si="4"/>
        <v>8508.0457115275312</v>
      </c>
      <c r="H22" s="4">
        <f t="shared" si="2"/>
        <v>1491.9542884724688</v>
      </c>
    </row>
    <row r="23" spans="1:11" x14ac:dyDescent="0.3">
      <c r="A23" s="19">
        <v>46198</v>
      </c>
      <c r="B23" s="24">
        <f t="shared" si="3"/>
        <v>22</v>
      </c>
      <c r="C23" s="20"/>
      <c r="D23" s="21">
        <f t="shared" si="0"/>
        <v>100</v>
      </c>
      <c r="E23" s="21">
        <f t="shared" si="1"/>
        <v>26.49560235059209</v>
      </c>
      <c r="F23" s="21">
        <f t="shared" si="5"/>
        <v>73.504397649407906</v>
      </c>
      <c r="G23" s="21">
        <f t="shared" si="4"/>
        <v>8434.5413138781241</v>
      </c>
      <c r="H23" s="21">
        <f t="shared" si="2"/>
        <v>1565.4586861218759</v>
      </c>
    </row>
    <row r="24" spans="1:11" x14ac:dyDescent="0.3">
      <c r="A24" s="2">
        <v>46199</v>
      </c>
      <c r="B24" s="23">
        <f t="shared" si="3"/>
        <v>23</v>
      </c>
      <c r="C24" s="3"/>
      <c r="D24" s="4">
        <f t="shared" si="0"/>
        <v>100</v>
      </c>
      <c r="E24" s="4">
        <f t="shared" si="1"/>
        <v>26.266696282480613</v>
      </c>
      <c r="F24" s="4">
        <f t="shared" si="5"/>
        <v>73.733303717519391</v>
      </c>
      <c r="G24" s="4">
        <f t="shared" si="4"/>
        <v>8360.8080101606047</v>
      </c>
      <c r="H24" s="4">
        <f t="shared" si="2"/>
        <v>1639.1919898393953</v>
      </c>
    </row>
    <row r="25" spans="1:11" x14ac:dyDescent="0.3">
      <c r="A25" s="19">
        <v>46200</v>
      </c>
      <c r="B25" s="24">
        <f t="shared" si="3"/>
        <v>24</v>
      </c>
      <c r="C25" s="20"/>
      <c r="D25" s="21">
        <f t="shared" si="0"/>
        <v>100</v>
      </c>
      <c r="E25" s="21">
        <f t="shared" si="1"/>
        <v>26.03707735922449</v>
      </c>
      <c r="F25" s="21">
        <f t="shared" si="5"/>
        <v>73.962922640775503</v>
      </c>
      <c r="G25" s="21">
        <f t="shared" si="4"/>
        <v>8286.8450875198287</v>
      </c>
      <c r="H25" s="21">
        <f t="shared" si="2"/>
        <v>1713.1549124801713</v>
      </c>
    </row>
    <row r="26" spans="1:11" x14ac:dyDescent="0.3">
      <c r="A26" s="2">
        <v>46201</v>
      </c>
      <c r="B26" s="23">
        <f>IF(A26&lt;&gt;"",B25+1,"")</f>
        <v>25</v>
      </c>
      <c r="C26" s="3"/>
      <c r="D26" s="4">
        <f>IF(AND($A26&lt;&gt;"",$B26&lt;&gt;""),$K$9,"")</f>
        <v>100</v>
      </c>
      <c r="E26" s="4">
        <f>IF(AND($A26&lt;&gt;"",$B26&lt;&gt;""),G25*$K$8,"")</f>
        <v>25.806743360863102</v>
      </c>
      <c r="F26" s="4">
        <f>IF(AND($A26&lt;&gt;"",$B26&lt;&gt;""),D26-E26,"")</f>
        <v>74.193256639136905</v>
      </c>
      <c r="G26" s="4">
        <f>IF(AND($A26&lt;&gt;"",$B26&lt;&gt;""),G25-F26,"")</f>
        <v>8212.6518308806917</v>
      </c>
      <c r="H26" s="4">
        <f>IF(AND($A26&lt;&gt;"",$B26&lt;&gt;""),$K$7-G26,"")</f>
        <v>1787.3481691193083</v>
      </c>
    </row>
    <row r="27" spans="1:11" x14ac:dyDescent="0.3">
      <c r="A27" s="19">
        <v>46202</v>
      </c>
      <c r="B27" s="24">
        <f>IF(A27&lt;&gt;"",B26+1,"")</f>
        <v>26</v>
      </c>
      <c r="C27" s="20"/>
      <c r="D27" s="21">
        <f>IF(AND($A27&lt;&gt;"",$B27&lt;&gt;""),$K$9,"")</f>
        <v>100</v>
      </c>
      <c r="E27" s="21">
        <f>IF(AND($A27&lt;&gt;"",$B27&lt;&gt;""),G26*$K$8,"")</f>
        <v>25.575692060522467</v>
      </c>
      <c r="F27" s="21">
        <f>IF(AND($A27&lt;&gt;"",$B27&lt;&gt;""),D27-E27,"")</f>
        <v>74.424307939477529</v>
      </c>
      <c r="G27" s="21">
        <f>IF(AND($A27&lt;&gt;"",$B27&lt;&gt;""),G26-F27,"")</f>
        <v>8138.2275229412144</v>
      </c>
      <c r="H27" s="21">
        <f>IF(AND($A27&lt;&gt;"",$B27&lt;&gt;""),$K$7-G27,"")</f>
        <v>1861.7724770587856</v>
      </c>
    </row>
    <row r="28" spans="1:11" x14ac:dyDescent="0.3">
      <c r="A28" s="2">
        <v>46203</v>
      </c>
      <c r="B28" s="23">
        <f t="shared" si="3"/>
        <v>27</v>
      </c>
      <c r="C28" s="3"/>
      <c r="D28" s="4">
        <f t="shared" si="0"/>
        <v>100</v>
      </c>
      <c r="E28" s="4">
        <f t="shared" si="1"/>
        <v>25.343921224393711</v>
      </c>
      <c r="F28" s="4">
        <f t="shared" si="5"/>
        <v>74.656078775606289</v>
      </c>
      <c r="G28" s="4">
        <f t="shared" si="4"/>
        <v>8063.5714441656082</v>
      </c>
      <c r="H28" s="4">
        <f t="shared" si="2"/>
        <v>1936.4285558343918</v>
      </c>
    </row>
    <row r="29" spans="1:11" x14ac:dyDescent="0.3">
      <c r="A29" s="19">
        <v>46174</v>
      </c>
      <c r="B29" s="24">
        <f t="shared" si="3"/>
        <v>28</v>
      </c>
      <c r="C29" s="20"/>
      <c r="D29" s="21">
        <f t="shared" si="0"/>
        <v>100</v>
      </c>
      <c r="E29" s="21">
        <f t="shared" si="1"/>
        <v>25.111428611711474</v>
      </c>
      <c r="F29" s="21">
        <f t="shared" si="5"/>
        <v>74.888571388288526</v>
      </c>
      <c r="G29" s="21">
        <f t="shared" si="4"/>
        <v>7988.68287277732</v>
      </c>
      <c r="H29" s="21">
        <f t="shared" si="2"/>
        <v>2011.31712722268</v>
      </c>
    </row>
    <row r="30" spans="1:11" x14ac:dyDescent="0.3">
      <c r="A30" s="2">
        <v>46175</v>
      </c>
      <c r="B30" s="23">
        <f t="shared" si="3"/>
        <v>29</v>
      </c>
      <c r="C30" s="3"/>
      <c r="D30" s="4">
        <f t="shared" si="0"/>
        <v>100</v>
      </c>
      <c r="E30" s="4">
        <f t="shared" si="1"/>
        <v>24.878211974732245</v>
      </c>
      <c r="F30" s="4">
        <f t="shared" si="5"/>
        <v>75.121788025267762</v>
      </c>
      <c r="G30" s="4">
        <f t="shared" si="4"/>
        <v>7913.561084752052</v>
      </c>
      <c r="H30" s="4">
        <f t="shared" si="2"/>
        <v>2086.438915247948</v>
      </c>
    </row>
    <row r="31" spans="1:11" x14ac:dyDescent="0.3">
      <c r="A31" s="19">
        <v>46206</v>
      </c>
      <c r="B31" s="24">
        <f t="shared" si="3"/>
        <v>30</v>
      </c>
      <c r="C31" s="20"/>
      <c r="D31" s="21">
        <f t="shared" si="0"/>
        <v>100</v>
      </c>
      <c r="E31" s="21">
        <f t="shared" si="1"/>
        <v>24.644269058712624</v>
      </c>
      <c r="F31" s="21">
        <f t="shared" si="5"/>
        <v>75.355730941287376</v>
      </c>
      <c r="G31" s="21">
        <f t="shared" si="4"/>
        <v>7838.2053538107648</v>
      </c>
      <c r="H31" s="21">
        <f t="shared" si="2"/>
        <v>2161.7946461892352</v>
      </c>
    </row>
    <row r="32" spans="1:11" x14ac:dyDescent="0.3">
      <c r="A32" s="2">
        <v>46207</v>
      </c>
      <c r="B32" s="23">
        <f t="shared" si="3"/>
        <v>31</v>
      </c>
      <c r="C32" s="3"/>
      <c r="D32" s="4">
        <f t="shared" si="0"/>
        <v>100</v>
      </c>
      <c r="E32" s="4">
        <f t="shared" si="1"/>
        <v>24.409597601887544</v>
      </c>
      <c r="F32" s="4">
        <f t="shared" si="5"/>
        <v>75.59040239811246</v>
      </c>
      <c r="G32" s="4">
        <f t="shared" si="4"/>
        <v>7762.6149514126528</v>
      </c>
      <c r="H32" s="4">
        <f t="shared" si="2"/>
        <v>2237.3850485873472</v>
      </c>
    </row>
    <row r="33" spans="1:8" x14ac:dyDescent="0.3">
      <c r="A33" s="19">
        <v>46208</v>
      </c>
      <c r="B33" s="24">
        <f t="shared" si="3"/>
        <v>32</v>
      </c>
      <c r="C33" s="20"/>
      <c r="D33" s="21">
        <f t="shared" si="0"/>
        <v>100</v>
      </c>
      <c r="E33" s="21">
        <f t="shared" si="1"/>
        <v>24.174195335448374</v>
      </c>
      <c r="F33" s="21">
        <f t="shared" si="5"/>
        <v>75.825804664551626</v>
      </c>
      <c r="G33" s="21">
        <f t="shared" si="4"/>
        <v>7686.7891467481013</v>
      </c>
      <c r="H33" s="21">
        <f t="shared" si="2"/>
        <v>2313.2108532518987</v>
      </c>
    </row>
    <row r="34" spans="1:8" x14ac:dyDescent="0.3">
      <c r="A34" s="2">
        <v>46209</v>
      </c>
      <c r="B34" s="23">
        <f t="shared" si="3"/>
        <v>33</v>
      </c>
      <c r="C34" s="3"/>
      <c r="D34" s="4">
        <f t="shared" si="0"/>
        <v>100</v>
      </c>
      <c r="E34" s="4">
        <f t="shared" si="1"/>
        <v>23.938059983521015</v>
      </c>
      <c r="F34" s="4">
        <f t="shared" si="5"/>
        <v>76.061940016478985</v>
      </c>
      <c r="G34" s="4">
        <f t="shared" si="4"/>
        <v>7610.7272067316226</v>
      </c>
      <c r="H34" s="4">
        <f t="shared" si="2"/>
        <v>2389.2727932683774</v>
      </c>
    </row>
    <row r="35" spans="1:8" x14ac:dyDescent="0.3">
      <c r="A35" s="19">
        <v>46210</v>
      </c>
      <c r="B35" s="24">
        <f t="shared" si="3"/>
        <v>34</v>
      </c>
      <c r="C35" s="20"/>
      <c r="D35" s="21">
        <f t="shared" si="0"/>
        <v>100</v>
      </c>
      <c r="E35" s="21">
        <f t="shared" si="1"/>
        <v>23.701189263143871</v>
      </c>
      <c r="F35" s="21">
        <f t="shared" si="5"/>
        <v>76.298810736856126</v>
      </c>
      <c r="G35" s="21">
        <f t="shared" si="4"/>
        <v>7534.4283959947661</v>
      </c>
      <c r="H35" s="21">
        <f t="shared" si="2"/>
        <v>2465.5716040052339</v>
      </c>
    </row>
    <row r="36" spans="1:8" x14ac:dyDescent="0.3">
      <c r="A36" s="2">
        <v>46211</v>
      </c>
      <c r="B36" s="23">
        <f t="shared" si="3"/>
        <v>35</v>
      </c>
      <c r="C36" s="3"/>
      <c r="D36" s="4">
        <f t="shared" si="0"/>
        <v>100</v>
      </c>
      <c r="E36" s="4">
        <f t="shared" si="1"/>
        <v>23.463580884245786</v>
      </c>
      <c r="F36" s="4">
        <f t="shared" si="5"/>
        <v>76.536419115754214</v>
      </c>
      <c r="G36" s="4">
        <f t="shared" si="4"/>
        <v>7457.891976879012</v>
      </c>
      <c r="H36" s="4">
        <f t="shared" si="2"/>
        <v>2542.108023120988</v>
      </c>
    </row>
    <row r="37" spans="1:8" x14ac:dyDescent="0.3">
      <c r="A37" s="19">
        <v>46212</v>
      </c>
      <c r="B37" s="24">
        <f t="shared" si="3"/>
        <v>36</v>
      </c>
      <c r="C37" s="20"/>
      <c r="D37" s="21">
        <f t="shared" si="0"/>
        <v>100</v>
      </c>
      <c r="E37" s="21">
        <f t="shared" si="1"/>
        <v>23.225232549623925</v>
      </c>
      <c r="F37" s="21">
        <f t="shared" si="5"/>
        <v>76.774767450376075</v>
      </c>
      <c r="G37" s="21">
        <f t="shared" si="4"/>
        <v>7381.1172094286358</v>
      </c>
      <c r="H37" s="21">
        <f t="shared" si="2"/>
        <v>2618.8827905713642</v>
      </c>
    </row>
    <row r="38" spans="1:8" x14ac:dyDescent="0.3">
      <c r="A38" s="2">
        <v>46213</v>
      </c>
      <c r="B38" s="23">
        <f t="shared" si="3"/>
        <v>37</v>
      </c>
      <c r="C38" s="3"/>
      <c r="D38" s="4">
        <f t="shared" si="0"/>
        <v>100</v>
      </c>
      <c r="E38" s="4">
        <f t="shared" si="1"/>
        <v>22.986141954921521</v>
      </c>
      <c r="F38" s="4">
        <f t="shared" si="5"/>
        <v>77.013858045078479</v>
      </c>
      <c r="G38" s="4">
        <f t="shared" si="4"/>
        <v>7304.1033513835573</v>
      </c>
      <c r="H38" s="4">
        <f t="shared" si="2"/>
        <v>2695.8966486164427</v>
      </c>
    </row>
    <row r="39" spans="1:8" x14ac:dyDescent="0.3">
      <c r="A39" s="19">
        <v>46214</v>
      </c>
      <c r="B39" s="24">
        <f t="shared" si="3"/>
        <v>38</v>
      </c>
      <c r="C39" s="20"/>
      <c r="D39" s="21">
        <f t="shared" si="0"/>
        <v>100</v>
      </c>
      <c r="E39" s="21">
        <f t="shared" si="1"/>
        <v>22.746306788605636</v>
      </c>
      <c r="F39" s="21">
        <f t="shared" si="5"/>
        <v>77.253693211394364</v>
      </c>
      <c r="G39" s="21">
        <f t="shared" si="4"/>
        <v>7226.8496581721629</v>
      </c>
      <c r="H39" s="21">
        <f t="shared" si="2"/>
        <v>2773.1503418278371</v>
      </c>
    </row>
    <row r="40" spans="1:8" x14ac:dyDescent="0.3">
      <c r="A40" s="2">
        <v>46215</v>
      </c>
      <c r="B40" s="23">
        <f t="shared" si="3"/>
        <v>39</v>
      </c>
      <c r="C40" s="3"/>
      <c r="D40" s="4">
        <f t="shared" si="0"/>
        <v>100</v>
      </c>
      <c r="E40" s="4">
        <f t="shared" si="1"/>
        <v>22.505724731944795</v>
      </c>
      <c r="F40" s="4">
        <f t="shared" si="5"/>
        <v>77.494275268055205</v>
      </c>
      <c r="G40" s="4">
        <f t="shared" si="4"/>
        <v>7149.3553829041075</v>
      </c>
      <c r="H40" s="4">
        <f t="shared" si="2"/>
        <v>2850.6446170958925</v>
      </c>
    </row>
    <row r="41" spans="1:8" x14ac:dyDescent="0.3">
      <c r="A41" s="19">
        <v>46216</v>
      </c>
      <c r="B41" s="24">
        <f t="shared" si="3"/>
        <v>40</v>
      </c>
      <c r="C41" s="20"/>
      <c r="D41" s="21">
        <f t="shared" si="0"/>
        <v>100</v>
      </c>
      <c r="E41" s="21">
        <f t="shared" si="1"/>
        <v>22.264393458986568</v>
      </c>
      <c r="F41" s="21">
        <f t="shared" si="5"/>
        <v>77.735606541013425</v>
      </c>
      <c r="G41" s="21">
        <f t="shared" si="4"/>
        <v>7071.6197763630944</v>
      </c>
      <c r="H41" s="21">
        <f t="shared" si="2"/>
        <v>2928.3802236369056</v>
      </c>
    </row>
    <row r="42" spans="1:8" x14ac:dyDescent="0.3">
      <c r="A42" s="2">
        <v>46217</v>
      </c>
      <c r="B42" s="23">
        <f t="shared" si="3"/>
        <v>41</v>
      </c>
      <c r="C42" s="3"/>
      <c r="D42" s="4">
        <f t="shared" si="0"/>
        <v>100</v>
      </c>
      <c r="E42" s="4">
        <f t="shared" si="1"/>
        <v>22.022310636535092</v>
      </c>
      <c r="F42" s="4">
        <f t="shared" si="5"/>
        <v>77.977689363464904</v>
      </c>
      <c r="G42" s="4">
        <f t="shared" si="4"/>
        <v>6993.6420869996291</v>
      </c>
      <c r="H42" s="4">
        <f t="shared" si="2"/>
        <v>3006.3579130003709</v>
      </c>
    </row>
    <row r="43" spans="1:8" x14ac:dyDescent="0.3">
      <c r="A43" s="19">
        <v>46218</v>
      </c>
      <c r="B43" s="24">
        <f t="shared" si="3"/>
        <v>42</v>
      </c>
      <c r="C43" s="20"/>
      <c r="D43" s="21">
        <f t="shared" si="0"/>
        <v>100</v>
      </c>
      <c r="E43" s="21">
        <f t="shared" si="1"/>
        <v>21.779473924128496</v>
      </c>
      <c r="F43" s="21">
        <f t="shared" si="5"/>
        <v>78.220526075871504</v>
      </c>
      <c r="G43" s="21">
        <f t="shared" si="4"/>
        <v>6915.4215609237572</v>
      </c>
      <c r="H43" s="21">
        <f t="shared" si="2"/>
        <v>3084.5784390762428</v>
      </c>
    </row>
    <row r="44" spans="1:8" x14ac:dyDescent="0.3">
      <c r="A44" s="2">
        <v>46219</v>
      </c>
      <c r="B44" s="23">
        <f t="shared" si="3"/>
        <v>43</v>
      </c>
      <c r="C44" s="3"/>
      <c r="D44" s="4">
        <f t="shared" si="0"/>
        <v>100</v>
      </c>
      <c r="E44" s="4">
        <f t="shared" si="1"/>
        <v>21.535880974016301</v>
      </c>
      <c r="F44" s="4">
        <f t="shared" si="5"/>
        <v>78.464119025983706</v>
      </c>
      <c r="G44" s="4">
        <f t="shared" si="4"/>
        <v>6836.9574418977736</v>
      </c>
      <c r="H44" s="4">
        <f t="shared" si="2"/>
        <v>3163.0425581022264</v>
      </c>
    </row>
    <row r="45" spans="1:8" x14ac:dyDescent="0.3">
      <c r="A45" s="19">
        <v>46220</v>
      </c>
      <c r="B45" s="24">
        <f t="shared" si="3"/>
        <v>44</v>
      </c>
      <c r="C45" s="20"/>
      <c r="D45" s="21">
        <f t="shared" si="0"/>
        <v>100</v>
      </c>
      <c r="E45" s="21">
        <f t="shared" si="1"/>
        <v>21.291529431136691</v>
      </c>
      <c r="F45" s="21">
        <f t="shared" si="5"/>
        <v>78.708470568863305</v>
      </c>
      <c r="G45" s="21">
        <f t="shared" si="4"/>
        <v>6758.2489713289106</v>
      </c>
      <c r="H45" s="21">
        <f t="shared" si="2"/>
        <v>3241.7510286710894</v>
      </c>
    </row>
    <row r="46" spans="1:8" x14ac:dyDescent="0.3">
      <c r="A46" s="2">
        <v>46221</v>
      </c>
      <c r="B46" s="23">
        <f t="shared" si="3"/>
        <v>45</v>
      </c>
      <c r="C46" s="3"/>
      <c r="D46" s="4">
        <f t="shared" si="0"/>
        <v>100</v>
      </c>
      <c r="E46" s="4">
        <f t="shared" si="1"/>
        <v>21.04641693309377</v>
      </c>
      <c r="F46" s="4">
        <f t="shared" si="5"/>
        <v>78.953583066906234</v>
      </c>
      <c r="G46" s="4">
        <f t="shared" si="4"/>
        <v>6679.2953882620041</v>
      </c>
      <c r="H46" s="4">
        <f t="shared" si="2"/>
        <v>3320.7046117379959</v>
      </c>
    </row>
    <row r="47" spans="1:8" x14ac:dyDescent="0.3">
      <c r="A47" s="19">
        <v>46222</v>
      </c>
      <c r="B47" s="24">
        <f t="shared" si="3"/>
        <v>46</v>
      </c>
      <c r="C47" s="20"/>
      <c r="D47" s="21">
        <f t="shared" si="0"/>
        <v>100</v>
      </c>
      <c r="E47" s="21">
        <f t="shared" si="1"/>
        <v>20.800541110134702</v>
      </c>
      <c r="F47" s="21">
        <f t="shared" si="5"/>
        <v>79.199458889865298</v>
      </c>
      <c r="G47" s="21">
        <f t="shared" si="4"/>
        <v>6600.0959293721389</v>
      </c>
      <c r="H47" s="21">
        <f t="shared" si="2"/>
        <v>3399.9040706278611</v>
      </c>
    </row>
    <row r="48" spans="1:8" x14ac:dyDescent="0.3">
      <c r="A48" s="2">
        <v>46222</v>
      </c>
      <c r="B48" s="23">
        <f t="shared" si="3"/>
        <v>47</v>
      </c>
      <c r="C48" s="3"/>
      <c r="D48" s="4">
        <f t="shared" si="0"/>
        <v>100</v>
      </c>
      <c r="E48" s="4">
        <f t="shared" si="1"/>
        <v>20.553899585126821</v>
      </c>
      <c r="F48" s="4">
        <f t="shared" si="5"/>
        <v>79.446100414873172</v>
      </c>
      <c r="G48" s="4">
        <f t="shared" si="4"/>
        <v>6520.6498289572655</v>
      </c>
      <c r="H48" s="4">
        <f t="shared" si="2"/>
        <v>3479.3501710427345</v>
      </c>
    </row>
    <row r="49" spans="1:8" x14ac:dyDescent="0.3">
      <c r="A49" s="19">
        <v>46222</v>
      </c>
      <c r="B49" s="24">
        <f t="shared" si="3"/>
        <v>48</v>
      </c>
      <c r="C49" s="20"/>
      <c r="D49" s="21">
        <f t="shared" si="0"/>
        <v>100</v>
      </c>
      <c r="E49" s="21">
        <f t="shared" si="1"/>
        <v>20.306489973534621</v>
      </c>
      <c r="F49" s="21">
        <f t="shared" si="5"/>
        <v>79.693510026465376</v>
      </c>
      <c r="G49" s="21">
        <f t="shared" si="4"/>
        <v>6440.9563189308001</v>
      </c>
      <c r="H49" s="21">
        <f t="shared" si="2"/>
        <v>3559.0436810691999</v>
      </c>
    </row>
    <row r="50" spans="1:8" x14ac:dyDescent="0.3">
      <c r="A50" s="2">
        <v>46222</v>
      </c>
      <c r="B50" s="23">
        <f t="shared" si="3"/>
        <v>49</v>
      </c>
      <c r="C50" s="3"/>
      <c r="D50" s="4">
        <f t="shared" si="0"/>
        <v>100</v>
      </c>
      <c r="E50" s="4">
        <f t="shared" si="1"/>
        <v>20.058309883396735</v>
      </c>
      <c r="F50" s="4">
        <f t="shared" si="5"/>
        <v>79.941690116603269</v>
      </c>
      <c r="G50" s="4">
        <f t="shared" si="4"/>
        <v>6361.0146288141968</v>
      </c>
      <c r="H50" s="4">
        <f t="shared" si="2"/>
        <v>3638.9853711858032</v>
      </c>
    </row>
    <row r="51" spans="1:8" x14ac:dyDescent="0.3">
      <c r="A51" s="19">
        <v>46222</v>
      </c>
      <c r="B51" s="24">
        <f t="shared" si="3"/>
        <v>50</v>
      </c>
      <c r="C51" s="20"/>
      <c r="D51" s="21">
        <f t="shared" si="0"/>
        <v>100</v>
      </c>
      <c r="E51" s="21">
        <f t="shared" si="1"/>
        <v>19.809356915302786</v>
      </c>
      <c r="F51" s="21">
        <f t="shared" si="5"/>
        <v>80.190643084697214</v>
      </c>
      <c r="G51" s="21">
        <f t="shared" si="4"/>
        <v>6280.8239857294993</v>
      </c>
      <c r="H51" s="21">
        <f t="shared" si="2"/>
        <v>3719.1760142705007</v>
      </c>
    </row>
    <row r="52" spans="1:8" x14ac:dyDescent="0.3">
      <c r="A52" s="2">
        <v>46222</v>
      </c>
      <c r="B52" s="23">
        <f t="shared" si="3"/>
        <v>51</v>
      </c>
      <c r="C52" s="3"/>
      <c r="D52" s="4">
        <f t="shared" si="0"/>
        <v>100</v>
      </c>
      <c r="E52" s="4">
        <f t="shared" si="1"/>
        <v>19.559628662370194</v>
      </c>
      <c r="F52" s="4">
        <f t="shared" si="5"/>
        <v>80.440371337629813</v>
      </c>
      <c r="G52" s="4">
        <f t="shared" si="4"/>
        <v>6200.3836143918697</v>
      </c>
      <c r="H52" s="4">
        <f t="shared" si="2"/>
        <v>3799.6163856081303</v>
      </c>
    </row>
    <row r="53" spans="1:8" x14ac:dyDescent="0.3">
      <c r="A53" s="19">
        <v>46222</v>
      </c>
      <c r="B53" s="24">
        <f t="shared" si="3"/>
        <v>52</v>
      </c>
      <c r="C53" s="20"/>
      <c r="D53" s="21">
        <f t="shared" si="0"/>
        <v>100</v>
      </c>
      <c r="E53" s="21">
        <f t="shared" si="1"/>
        <v>19.309122710220915</v>
      </c>
      <c r="F53" s="21">
        <f t="shared" si="5"/>
        <v>80.690877289779081</v>
      </c>
      <c r="G53" s="21">
        <f t="shared" si="4"/>
        <v>6119.6927371020911</v>
      </c>
      <c r="H53" s="21">
        <f t="shared" si="2"/>
        <v>3880.3072628979089</v>
      </c>
    </row>
    <row r="54" spans="1:8" x14ac:dyDescent="0.3">
      <c r="A54" s="2">
        <v>46230</v>
      </c>
      <c r="B54" s="23">
        <f t="shared" si="3"/>
        <v>53</v>
      </c>
      <c r="C54" s="3"/>
      <c r="D54" s="4">
        <f t="shared" si="0"/>
        <v>100</v>
      </c>
      <c r="E54" s="4">
        <f t="shared" si="1"/>
        <v>19.057836636958086</v>
      </c>
      <c r="F54" s="4">
        <f t="shared" si="5"/>
        <v>80.942163363041914</v>
      </c>
      <c r="G54" s="4">
        <f t="shared" si="4"/>
        <v>6038.7505737390493</v>
      </c>
      <c r="H54" s="4">
        <f t="shared" si="2"/>
        <v>3961.2494262609507</v>
      </c>
    </row>
    <row r="55" spans="1:8" x14ac:dyDescent="0.3">
      <c r="A55" s="19">
        <v>46230</v>
      </c>
      <c r="B55" s="24">
        <f t="shared" si="3"/>
        <v>54</v>
      </c>
      <c r="C55" s="20"/>
      <c r="D55" s="21">
        <f t="shared" si="0"/>
        <v>100</v>
      </c>
      <c r="E55" s="21">
        <f t="shared" si="1"/>
        <v>18.805768013142622</v>
      </c>
      <c r="F55" s="21">
        <f t="shared" si="5"/>
        <v>81.194231986857375</v>
      </c>
      <c r="G55" s="21">
        <f t="shared" si="4"/>
        <v>5957.5563417521917</v>
      </c>
      <c r="H55" s="21">
        <f t="shared" si="2"/>
        <v>4042.4436582478083</v>
      </c>
    </row>
    <row r="56" spans="1:8" x14ac:dyDescent="0.3">
      <c r="A56" s="2">
        <v>46231</v>
      </c>
      <c r="B56" s="23">
        <f t="shared" si="3"/>
        <v>55</v>
      </c>
      <c r="C56" s="3"/>
      <c r="D56" s="4">
        <f t="shared" si="0"/>
        <v>100</v>
      </c>
      <c r="E56" s="4">
        <f t="shared" si="1"/>
        <v>18.552914401769716</v>
      </c>
      <c r="F56" s="4">
        <f t="shared" si="5"/>
        <v>81.447085598230288</v>
      </c>
      <c r="G56" s="4">
        <f t="shared" si="4"/>
        <v>5876.1092561539617</v>
      </c>
      <c r="H56" s="4">
        <f t="shared" si="2"/>
        <v>4123.8907438460383</v>
      </c>
    </row>
    <row r="57" spans="1:8" x14ac:dyDescent="0.3">
      <c r="A57" s="2">
        <v>46232</v>
      </c>
      <c r="B57" s="24">
        <f t="shared" si="3"/>
        <v>56</v>
      </c>
      <c r="C57" s="20"/>
      <c r="D57" s="21">
        <f t="shared" si="0"/>
        <v>100</v>
      </c>
      <c r="E57" s="21">
        <f t="shared" si="1"/>
        <v>18.299273358245291</v>
      </c>
      <c r="F57" s="21">
        <f t="shared" si="5"/>
        <v>81.700726641754713</v>
      </c>
      <c r="G57" s="21">
        <f t="shared" si="4"/>
        <v>5794.4085295122068</v>
      </c>
      <c r="H57" s="21">
        <f t="shared" si="2"/>
        <v>4205.5914704877932</v>
      </c>
    </row>
    <row r="58" spans="1:8" x14ac:dyDescent="0.3">
      <c r="A58" s="2">
        <v>46233</v>
      </c>
      <c r="B58" s="23">
        <f t="shared" si="3"/>
        <v>57</v>
      </c>
      <c r="C58" s="3"/>
      <c r="D58" s="4">
        <f t="shared" si="0"/>
        <v>100</v>
      </c>
      <c r="E58" s="4">
        <f t="shared" si="1"/>
        <v>18.044842430362358</v>
      </c>
      <c r="F58" s="4">
        <f t="shared" si="5"/>
        <v>81.955157569637635</v>
      </c>
      <c r="G58" s="4">
        <f t="shared" si="4"/>
        <v>5712.453371942569</v>
      </c>
      <c r="H58" s="4">
        <f t="shared" si="2"/>
        <v>4287.546628057431</v>
      </c>
    </row>
    <row r="59" spans="1:8" x14ac:dyDescent="0.3">
      <c r="A59" s="19">
        <v>46234</v>
      </c>
      <c r="B59" s="24">
        <f t="shared" si="3"/>
        <v>58</v>
      </c>
      <c r="C59" s="20"/>
      <c r="D59" s="21">
        <f t="shared" si="0"/>
        <v>100</v>
      </c>
      <c r="E59" s="21">
        <f t="shared" si="1"/>
        <v>17.789619158277308</v>
      </c>
      <c r="F59" s="21">
        <f t="shared" si="5"/>
        <v>82.210380841722696</v>
      </c>
      <c r="G59" s="21">
        <f t="shared" si="4"/>
        <v>5630.2429911008467</v>
      </c>
      <c r="H59" s="21">
        <f t="shared" si="2"/>
        <v>4369.7570088991533</v>
      </c>
    </row>
    <row r="60" spans="1:8" x14ac:dyDescent="0.3">
      <c r="A60" s="2">
        <v>46235</v>
      </c>
      <c r="B60" s="23">
        <f t="shared" si="3"/>
        <v>59</v>
      </c>
      <c r="C60" s="3"/>
      <c r="D60" s="4">
        <f t="shared" si="0"/>
        <v>100</v>
      </c>
      <c r="E60" s="4">
        <f t="shared" si="1"/>
        <v>17.533601074486132</v>
      </c>
      <c r="F60" s="4">
        <f t="shared" si="5"/>
        <v>82.466398925513872</v>
      </c>
      <c r="G60" s="4">
        <f t="shared" si="4"/>
        <v>5547.7765921753326</v>
      </c>
      <c r="H60" s="4">
        <f t="shared" si="2"/>
        <v>4452.2234078246674</v>
      </c>
    </row>
    <row r="61" spans="1:8" x14ac:dyDescent="0.3">
      <c r="A61" s="19">
        <v>46236</v>
      </c>
      <c r="B61" s="24">
        <f t="shared" si="3"/>
        <v>60</v>
      </c>
      <c r="C61" s="20"/>
      <c r="D61" s="21">
        <f t="shared" si="0"/>
        <v>100</v>
      </c>
      <c r="E61" s="21">
        <f t="shared" si="1"/>
        <v>17.276785703800563</v>
      </c>
      <c r="F61" s="21">
        <f t="shared" si="5"/>
        <v>82.723214296199444</v>
      </c>
      <c r="G61" s="21">
        <f t="shared" si="4"/>
        <v>5465.0533778791332</v>
      </c>
      <c r="H61" s="21">
        <f t="shared" si="2"/>
        <v>4534.9466221208668</v>
      </c>
    </row>
    <row r="62" spans="1:8" x14ac:dyDescent="0.3">
      <c r="A62" s="2">
        <v>46237</v>
      </c>
      <c r="B62" s="23">
        <f t="shared" si="3"/>
        <v>61</v>
      </c>
      <c r="C62" s="3"/>
      <c r="D62" s="4">
        <f t="shared" si="0"/>
        <v>100</v>
      </c>
      <c r="E62" s="4">
        <f t="shared" si="1"/>
        <v>17.019170563324149</v>
      </c>
      <c r="F62" s="4">
        <f t="shared" si="5"/>
        <v>82.980829436675847</v>
      </c>
      <c r="G62" s="4">
        <f t="shared" si="4"/>
        <v>5382.0725484424574</v>
      </c>
      <c r="H62" s="4">
        <f t="shared" si="2"/>
        <v>4617.9274515575426</v>
      </c>
    </row>
    <row r="63" spans="1:8" x14ac:dyDescent="0.3">
      <c r="A63" s="19">
        <v>46238</v>
      </c>
      <c r="B63" s="24">
        <f t="shared" si="3"/>
        <v>62</v>
      </c>
      <c r="C63" s="20"/>
      <c r="D63" s="21">
        <f t="shared" si="0"/>
        <v>100</v>
      </c>
      <c r="E63" s="21">
        <f t="shared" si="1"/>
        <v>16.760753162428244</v>
      </c>
      <c r="F63" s="21">
        <f t="shared" si="5"/>
        <v>83.239246837571756</v>
      </c>
      <c r="G63" s="21">
        <f t="shared" si="4"/>
        <v>5298.8333016048855</v>
      </c>
      <c r="H63" s="21">
        <f t="shared" si="2"/>
        <v>4701.1666983951145</v>
      </c>
    </row>
    <row r="64" spans="1:8" x14ac:dyDescent="0.3">
      <c r="A64" s="2">
        <v>46239</v>
      </c>
      <c r="B64" s="23">
        <f t="shared" si="3"/>
        <v>63</v>
      </c>
      <c r="C64" s="3"/>
      <c r="D64" s="4">
        <f t="shared" si="0"/>
        <v>100</v>
      </c>
      <c r="E64" s="4">
        <f t="shared" si="1"/>
        <v>16.50153100272794</v>
      </c>
      <c r="F64" s="4">
        <f t="shared" si="5"/>
        <v>83.498468997272056</v>
      </c>
      <c r="G64" s="4">
        <f t="shared" si="4"/>
        <v>5215.3348326076139</v>
      </c>
      <c r="H64" s="4">
        <f t="shared" si="2"/>
        <v>4784.6651673923861</v>
      </c>
    </row>
    <row r="65" spans="1:8" x14ac:dyDescent="0.3">
      <c r="A65" s="19">
        <v>46240</v>
      </c>
      <c r="B65" s="24">
        <f t="shared" si="3"/>
        <v>64</v>
      </c>
      <c r="C65" s="20"/>
      <c r="D65" s="21">
        <f t="shared" si="0"/>
        <v>100</v>
      </c>
      <c r="E65" s="21">
        <f t="shared" si="1"/>
        <v>16.241501578057896</v>
      </c>
      <c r="F65" s="21">
        <f t="shared" si="5"/>
        <v>83.758498421942107</v>
      </c>
      <c r="G65" s="21">
        <f t="shared" si="4"/>
        <v>5131.5763341856718</v>
      </c>
      <c r="H65" s="21">
        <f t="shared" si="2"/>
        <v>4868.4236658143282</v>
      </c>
    </row>
    <row r="66" spans="1:8" x14ac:dyDescent="0.3">
      <c r="A66" s="2">
        <v>46241</v>
      </c>
      <c r="B66" s="23">
        <f t="shared" si="3"/>
        <v>65</v>
      </c>
      <c r="C66" s="3"/>
      <c r="D66" s="4">
        <f t="shared" ref="D66:D121" si="6">IF(AND($A66&lt;&gt;"",$B66&lt;&gt;""),$K$9,"")</f>
        <v>100</v>
      </c>
      <c r="E66" s="4">
        <f t="shared" si="1"/>
        <v>15.980662374448112</v>
      </c>
      <c r="F66" s="4">
        <f t="shared" si="5"/>
        <v>84.019337625551884</v>
      </c>
      <c r="G66" s="4">
        <f t="shared" si="4"/>
        <v>5047.5569965601198</v>
      </c>
      <c r="H66" s="4">
        <f t="shared" si="2"/>
        <v>4952.4430034398802</v>
      </c>
    </row>
    <row r="67" spans="1:8" x14ac:dyDescent="0.3">
      <c r="A67" s="19">
        <v>46242</v>
      </c>
      <c r="B67" s="24">
        <f t="shared" si="3"/>
        <v>66</v>
      </c>
      <c r="C67" s="20"/>
      <c r="D67" s="21">
        <f t="shared" si="6"/>
        <v>100</v>
      </c>
      <c r="E67" s="21">
        <f t="shared" ref="E67:E121" si="7">IF(AND($A67&lt;&gt;"",$B67&lt;&gt;""),G66*$K$8,"")</f>
        <v>15.719010870099638</v>
      </c>
      <c r="F67" s="21">
        <f t="shared" si="5"/>
        <v>84.280989129900362</v>
      </c>
      <c r="G67" s="21">
        <f t="shared" si="4"/>
        <v>4963.2760074302196</v>
      </c>
      <c r="H67" s="21">
        <f t="shared" ref="H67:H121" si="8">IF(AND($A67&lt;&gt;"",$B67&lt;&gt;""),$K$7-G67,"")</f>
        <v>5036.7239925697804</v>
      </c>
    </row>
    <row r="68" spans="1:8" x14ac:dyDescent="0.3">
      <c r="A68" s="2">
        <v>46243</v>
      </c>
      <c r="B68" s="23">
        <f t="shared" ref="B68:B121" si="9">IF(A68&lt;&gt;"",B67+1,"")</f>
        <v>67</v>
      </c>
      <c r="C68" s="3"/>
      <c r="D68" s="4">
        <f t="shared" si="6"/>
        <v>100</v>
      </c>
      <c r="E68" s="4">
        <f t="shared" si="7"/>
        <v>15.456544535360178</v>
      </c>
      <c r="F68" s="4">
        <f t="shared" si="5"/>
        <v>84.54345546463982</v>
      </c>
      <c r="G68" s="4">
        <f t="shared" si="4"/>
        <v>4878.7325519655797</v>
      </c>
      <c r="H68" s="4">
        <f t="shared" si="8"/>
        <v>5121.2674480344203</v>
      </c>
    </row>
    <row r="69" spans="1:8" x14ac:dyDescent="0.3">
      <c r="A69" s="19">
        <v>46244</v>
      </c>
      <c r="B69" s="24">
        <f t="shared" si="9"/>
        <v>68</v>
      </c>
      <c r="C69" s="20"/>
      <c r="D69" s="21">
        <f t="shared" si="6"/>
        <v>100</v>
      </c>
      <c r="E69" s="21">
        <f t="shared" si="7"/>
        <v>15.193260832699638</v>
      </c>
      <c r="F69" s="21">
        <f t="shared" si="5"/>
        <v>84.806739167300364</v>
      </c>
      <c r="G69" s="21">
        <f t="shared" si="4"/>
        <v>4793.9258127982794</v>
      </c>
      <c r="H69" s="21">
        <f t="shared" si="8"/>
        <v>5206.0741872017206</v>
      </c>
    </row>
    <row r="70" spans="1:8" x14ac:dyDescent="0.3">
      <c r="A70" s="2">
        <v>46245</v>
      </c>
      <c r="B70" s="23">
        <f t="shared" si="9"/>
        <v>69</v>
      </c>
      <c r="C70" s="3"/>
      <c r="D70" s="4">
        <f t="shared" si="6"/>
        <v>100</v>
      </c>
      <c r="E70" s="4">
        <f t="shared" si="7"/>
        <v>14.929157216685597</v>
      </c>
      <c r="F70" s="4">
        <f t="shared" si="5"/>
        <v>85.070842783314404</v>
      </c>
      <c r="G70" s="4">
        <f t="shared" ref="G70:G121" si="10">IF(AND($A70&lt;&gt;"",$B70&lt;&gt;""),G69-F70,"")</f>
        <v>4708.8549700149651</v>
      </c>
      <c r="H70" s="4">
        <f t="shared" si="8"/>
        <v>5291.1450299850349</v>
      </c>
    </row>
    <row r="71" spans="1:8" x14ac:dyDescent="0.3">
      <c r="A71" s="19">
        <v>46246</v>
      </c>
      <c r="B71" s="24">
        <f t="shared" si="9"/>
        <v>70</v>
      </c>
      <c r="C71" s="20"/>
      <c r="D71" s="21">
        <f t="shared" si="6"/>
        <v>100</v>
      </c>
      <c r="E71" s="21">
        <f t="shared" si="7"/>
        <v>14.664231133958694</v>
      </c>
      <c r="F71" s="21">
        <f t="shared" ref="F71:F121" si="11">IF(AND($A71&lt;&gt;"",$B71&lt;&gt;""),D71-E71,"")</f>
        <v>85.335768866041306</v>
      </c>
      <c r="G71" s="21">
        <f t="shared" si="10"/>
        <v>4623.5192011489235</v>
      </c>
      <c r="H71" s="21">
        <f t="shared" si="8"/>
        <v>5376.4807988510765</v>
      </c>
    </row>
    <row r="72" spans="1:8" x14ac:dyDescent="0.3">
      <c r="A72" s="2">
        <v>46247</v>
      </c>
      <c r="B72" s="23">
        <f t="shared" si="9"/>
        <v>71</v>
      </c>
      <c r="C72" s="3"/>
      <c r="D72" s="4">
        <f t="shared" si="6"/>
        <v>100</v>
      </c>
      <c r="E72" s="4">
        <f t="shared" si="7"/>
        <v>14.398480023207934</v>
      </c>
      <c r="F72" s="4">
        <f t="shared" si="11"/>
        <v>85.601519976792062</v>
      </c>
      <c r="G72" s="4">
        <f t="shared" si="10"/>
        <v>4537.9176811721318</v>
      </c>
      <c r="H72" s="4">
        <f t="shared" si="8"/>
        <v>5462.0823188278682</v>
      </c>
    </row>
    <row r="73" spans="1:8" x14ac:dyDescent="0.3">
      <c r="A73" s="19">
        <v>46248</v>
      </c>
      <c r="B73" s="24">
        <f t="shared" si="9"/>
        <v>72</v>
      </c>
      <c r="C73" s="20"/>
      <c r="D73" s="21">
        <f t="shared" si="6"/>
        <v>100</v>
      </c>
      <c r="E73" s="21">
        <f t="shared" si="7"/>
        <v>14.131901315145946</v>
      </c>
      <c r="F73" s="21">
        <f t="shared" si="11"/>
        <v>85.868098684854061</v>
      </c>
      <c r="G73" s="21">
        <f t="shared" si="10"/>
        <v>4452.0495824872778</v>
      </c>
      <c r="H73" s="21">
        <f t="shared" si="8"/>
        <v>5547.9504175127222</v>
      </c>
    </row>
    <row r="74" spans="1:8" x14ac:dyDescent="0.3">
      <c r="A74" s="2">
        <v>46249</v>
      </c>
      <c r="B74" s="23">
        <f t="shared" si="9"/>
        <v>73</v>
      </c>
      <c r="C74" s="3"/>
      <c r="D74" s="4">
        <f t="shared" si="6"/>
        <v>100</v>
      </c>
      <c r="E74" s="4">
        <f t="shared" si="7"/>
        <v>13.864492432484123</v>
      </c>
      <c r="F74" s="4">
        <f t="shared" si="11"/>
        <v>86.135507567515873</v>
      </c>
      <c r="G74" s="4">
        <f t="shared" si="10"/>
        <v>4365.9140749197622</v>
      </c>
      <c r="H74" s="4">
        <f t="shared" si="8"/>
        <v>5634.0859250802378</v>
      </c>
    </row>
    <row r="75" spans="1:8" x14ac:dyDescent="0.3">
      <c r="A75" s="19">
        <v>46250</v>
      </c>
      <c r="B75" s="24">
        <f t="shared" si="9"/>
        <v>74</v>
      </c>
      <c r="C75" s="20"/>
      <c r="D75" s="21">
        <f t="shared" si="6"/>
        <v>100</v>
      </c>
      <c r="E75" s="21">
        <f t="shared" si="7"/>
        <v>13.596250789907716</v>
      </c>
      <c r="F75" s="21">
        <f t="shared" si="11"/>
        <v>86.403749210092286</v>
      </c>
      <c r="G75" s="21">
        <f t="shared" si="10"/>
        <v>4279.5103257096698</v>
      </c>
      <c r="H75" s="21">
        <f t="shared" si="8"/>
        <v>5720.4896742903302</v>
      </c>
    </row>
    <row r="76" spans="1:8" x14ac:dyDescent="0.3">
      <c r="A76" s="2">
        <v>46251</v>
      </c>
      <c r="B76" s="23">
        <f t="shared" si="9"/>
        <v>75</v>
      </c>
      <c r="C76" s="3"/>
      <c r="D76" s="4">
        <f t="shared" si="6"/>
        <v>100</v>
      </c>
      <c r="E76" s="4">
        <f t="shared" si="7"/>
        <v>13.327173794050829</v>
      </c>
      <c r="F76" s="4">
        <f t="shared" si="11"/>
        <v>86.672826205949178</v>
      </c>
      <c r="G76" s="4">
        <f t="shared" si="10"/>
        <v>4192.8374995037202</v>
      </c>
      <c r="H76" s="4">
        <f t="shared" si="8"/>
        <v>5807.1625004962798</v>
      </c>
    </row>
    <row r="77" spans="1:8" x14ac:dyDescent="0.3">
      <c r="A77" s="19">
        <v>46252</v>
      </c>
      <c r="B77" s="24">
        <f t="shared" si="9"/>
        <v>76</v>
      </c>
      <c r="C77" s="20"/>
      <c r="D77" s="21">
        <f t="shared" si="6"/>
        <v>100</v>
      </c>
      <c r="E77" s="21">
        <f t="shared" si="7"/>
        <v>13.057258843471359</v>
      </c>
      <c r="F77" s="21">
        <f t="shared" si="11"/>
        <v>86.942741156528641</v>
      </c>
      <c r="G77" s="21">
        <f t="shared" si="10"/>
        <v>4105.8947583471918</v>
      </c>
      <c r="H77" s="21">
        <f t="shared" si="8"/>
        <v>5894.1052416528082</v>
      </c>
    </row>
    <row r="78" spans="1:8" x14ac:dyDescent="0.3">
      <c r="A78" s="2">
        <v>46253</v>
      </c>
      <c r="B78" s="23">
        <f t="shared" si="9"/>
        <v>77</v>
      </c>
      <c r="C78" s="3"/>
      <c r="D78" s="4">
        <f t="shared" si="6"/>
        <v>100</v>
      </c>
      <c r="E78" s="4">
        <f t="shared" si="7"/>
        <v>12.786503328625843</v>
      </c>
      <c r="F78" s="4">
        <f t="shared" si="11"/>
        <v>87.213496671374159</v>
      </c>
      <c r="G78" s="4">
        <f t="shared" si="10"/>
        <v>4018.6812616758175</v>
      </c>
      <c r="H78" s="4">
        <f t="shared" si="8"/>
        <v>5981.318738324182</v>
      </c>
    </row>
    <row r="79" spans="1:8" x14ac:dyDescent="0.3">
      <c r="A79" s="19">
        <v>46254</v>
      </c>
      <c r="B79" s="24">
        <f t="shared" si="9"/>
        <v>78</v>
      </c>
      <c r="C79" s="20"/>
      <c r="D79" s="21">
        <f t="shared" si="6"/>
        <v>100</v>
      </c>
      <c r="E79" s="21">
        <f t="shared" si="7"/>
        <v>12.514904631844212</v>
      </c>
      <c r="F79" s="21">
        <f t="shared" si="11"/>
        <v>87.485095368155783</v>
      </c>
      <c r="G79" s="21">
        <f t="shared" si="10"/>
        <v>3931.1961663076618</v>
      </c>
      <c r="H79" s="21">
        <f t="shared" si="8"/>
        <v>6068.8038336923382</v>
      </c>
    </row>
    <row r="80" spans="1:8" x14ac:dyDescent="0.3">
      <c r="A80" s="2">
        <v>46255</v>
      </c>
      <c r="B80" s="23">
        <f t="shared" si="9"/>
        <v>79</v>
      </c>
      <c r="C80" s="3"/>
      <c r="D80" s="4">
        <f t="shared" si="6"/>
        <v>100</v>
      </c>
      <c r="E80" s="4">
        <f t="shared" si="7"/>
        <v>12.242460127304506</v>
      </c>
      <c r="F80" s="4">
        <f t="shared" si="11"/>
        <v>87.757539872695489</v>
      </c>
      <c r="G80" s="4">
        <f t="shared" si="10"/>
        <v>3843.4386264349664</v>
      </c>
      <c r="H80" s="4">
        <f t="shared" si="8"/>
        <v>6156.5613735650331</v>
      </c>
    </row>
    <row r="81" spans="1:8" x14ac:dyDescent="0.3">
      <c r="A81" s="19">
        <v>46256</v>
      </c>
      <c r="B81" s="24">
        <f t="shared" si="9"/>
        <v>80</v>
      </c>
      <c r="C81" s="20"/>
      <c r="D81" s="21">
        <f t="shared" si="6"/>
        <v>100</v>
      </c>
      <c r="E81" s="21">
        <f t="shared" si="7"/>
        <v>11.969167181007478</v>
      </c>
      <c r="F81" s="21">
        <f t="shared" si="11"/>
        <v>88.030832818992522</v>
      </c>
      <c r="G81" s="21">
        <f t="shared" si="10"/>
        <v>3755.4077936159738</v>
      </c>
      <c r="H81" s="21">
        <f t="shared" si="8"/>
        <v>6244.5922063840262</v>
      </c>
    </row>
    <row r="82" spans="1:8" x14ac:dyDescent="0.3">
      <c r="A82" s="2">
        <v>46257</v>
      </c>
      <c r="B82" s="23">
        <f t="shared" si="9"/>
        <v>81</v>
      </c>
      <c r="C82" s="3"/>
      <c r="D82" s="4">
        <f t="shared" si="6"/>
        <v>100</v>
      </c>
      <c r="E82" s="4">
        <f t="shared" si="7"/>
        <v>11.695023150751119</v>
      </c>
      <c r="F82" s="4">
        <f t="shared" si="11"/>
        <v>88.304976849248874</v>
      </c>
      <c r="G82" s="4">
        <f t="shared" si="10"/>
        <v>3667.102816766725</v>
      </c>
      <c r="H82" s="4">
        <f t="shared" si="8"/>
        <v>6332.8971832332754</v>
      </c>
    </row>
    <row r="83" spans="1:8" x14ac:dyDescent="0.3">
      <c r="A83" s="19">
        <v>46258</v>
      </c>
      <c r="B83" s="24">
        <f t="shared" si="9"/>
        <v>82</v>
      </c>
      <c r="C83" s="20"/>
      <c r="D83" s="21">
        <f t="shared" si="6"/>
        <v>100</v>
      </c>
      <c r="E83" s="21">
        <f t="shared" si="7"/>
        <v>11.420025386105134</v>
      </c>
      <c r="F83" s="21">
        <f t="shared" si="11"/>
        <v>88.579974613894862</v>
      </c>
      <c r="G83" s="21">
        <f t="shared" si="10"/>
        <v>3578.52284215283</v>
      </c>
      <c r="H83" s="21">
        <f t="shared" si="8"/>
        <v>6421.47715784717</v>
      </c>
    </row>
    <row r="84" spans="1:8" x14ac:dyDescent="0.3">
      <c r="A84" s="2">
        <v>46259</v>
      </c>
      <c r="B84" s="23">
        <f t="shared" si="9"/>
        <v>83</v>
      </c>
      <c r="C84" s="3"/>
      <c r="D84" s="4">
        <f t="shared" si="6"/>
        <v>100</v>
      </c>
      <c r="E84" s="4">
        <f t="shared" si="7"/>
        <v>11.144171228385297</v>
      </c>
      <c r="F84" s="4">
        <f t="shared" si="11"/>
        <v>88.855828771614711</v>
      </c>
      <c r="G84" s="4">
        <f t="shared" si="10"/>
        <v>3489.6670133812154</v>
      </c>
      <c r="H84" s="4">
        <f t="shared" si="8"/>
        <v>6510.3329866187851</v>
      </c>
    </row>
    <row r="85" spans="1:8" x14ac:dyDescent="0.3">
      <c r="A85" s="19">
        <v>46261</v>
      </c>
      <c r="B85" s="24">
        <f t="shared" si="9"/>
        <v>84</v>
      </c>
      <c r="C85" s="20"/>
      <c r="D85" s="21">
        <f t="shared" si="6"/>
        <v>100</v>
      </c>
      <c r="E85" s="21">
        <f t="shared" si="7"/>
        <v>10.867458010627759</v>
      </c>
      <c r="F85" s="21">
        <f t="shared" si="11"/>
        <v>89.132541989372243</v>
      </c>
      <c r="G85" s="21">
        <f t="shared" si="10"/>
        <v>3400.534471391843</v>
      </c>
      <c r="H85" s="21">
        <f t="shared" si="8"/>
        <v>6599.465528608157</v>
      </c>
    </row>
    <row r="86" spans="1:8" x14ac:dyDescent="0.3">
      <c r="A86" s="2">
        <v>46261</v>
      </c>
      <c r="B86" s="23">
        <f t="shared" si="9"/>
        <v>85</v>
      </c>
      <c r="C86" s="3"/>
      <c r="D86" s="4">
        <f t="shared" si="6"/>
        <v>100</v>
      </c>
      <c r="E86" s="4">
        <f t="shared" si="7"/>
        <v>10.589883057563259</v>
      </c>
      <c r="F86" s="4">
        <f t="shared" si="11"/>
        <v>89.410116942436744</v>
      </c>
      <c r="G86" s="4">
        <f t="shared" si="10"/>
        <v>3311.1243544494064</v>
      </c>
      <c r="H86" s="4">
        <f t="shared" si="8"/>
        <v>6688.8756455505936</v>
      </c>
    </row>
    <row r="87" spans="1:8" x14ac:dyDescent="0.3">
      <c r="A87" s="19">
        <v>46261</v>
      </c>
      <c r="B87" s="24">
        <f t="shared" si="9"/>
        <v>86</v>
      </c>
      <c r="C87" s="20"/>
      <c r="D87" s="21">
        <f t="shared" si="6"/>
        <v>100</v>
      </c>
      <c r="E87" s="21">
        <f t="shared" si="7"/>
        <v>10.311443685591266</v>
      </c>
      <c r="F87" s="21">
        <f t="shared" si="11"/>
        <v>89.688556314408729</v>
      </c>
      <c r="G87" s="21">
        <f t="shared" si="10"/>
        <v>3221.4357981349976</v>
      </c>
      <c r="H87" s="21">
        <f t="shared" si="8"/>
        <v>6778.5642018650024</v>
      </c>
    </row>
    <row r="88" spans="1:8" x14ac:dyDescent="0.3">
      <c r="A88" s="2">
        <v>46261</v>
      </c>
      <c r="B88" s="23">
        <f t="shared" si="9"/>
        <v>87</v>
      </c>
      <c r="C88" s="3"/>
      <c r="D88" s="4">
        <f t="shared" si="6"/>
        <v>100</v>
      </c>
      <c r="E88" s="4">
        <f t="shared" si="7"/>
        <v>10.032137202754022</v>
      </c>
      <c r="F88" s="4">
        <f t="shared" si="11"/>
        <v>89.967862797245971</v>
      </c>
      <c r="G88" s="4">
        <f t="shared" si="10"/>
        <v>3131.4679353377514</v>
      </c>
      <c r="H88" s="4">
        <f t="shared" si="8"/>
        <v>6868.5320646622486</v>
      </c>
    </row>
    <row r="89" spans="1:8" x14ac:dyDescent="0.3">
      <c r="A89" s="19">
        <v>46261</v>
      </c>
      <c r="B89" s="24">
        <f t="shared" si="9"/>
        <v>88</v>
      </c>
      <c r="C89" s="20"/>
      <c r="D89" s="21">
        <f t="shared" si="6"/>
        <v>100</v>
      </c>
      <c r="E89" s="21">
        <f t="shared" si="7"/>
        <v>9.7519609087105223</v>
      </c>
      <c r="F89" s="21">
        <f t="shared" si="11"/>
        <v>90.248039091289485</v>
      </c>
      <c r="G89" s="21">
        <f t="shared" si="10"/>
        <v>3041.2198962464618</v>
      </c>
      <c r="H89" s="21">
        <f t="shared" si="8"/>
        <v>6958.7801037535382</v>
      </c>
    </row>
    <row r="90" spans="1:8" x14ac:dyDescent="0.3">
      <c r="A90" s="2">
        <v>46261</v>
      </c>
      <c r="B90" s="23">
        <f t="shared" si="9"/>
        <v>89</v>
      </c>
      <c r="C90" s="3"/>
      <c r="D90" s="4">
        <f t="shared" si="6"/>
        <v>100</v>
      </c>
      <c r="E90" s="4">
        <f t="shared" si="7"/>
        <v>9.4709120947104175</v>
      </c>
      <c r="F90" s="4">
        <f t="shared" si="11"/>
        <v>90.529087905289586</v>
      </c>
      <c r="G90" s="4">
        <f t="shared" si="10"/>
        <v>2950.6908083411722</v>
      </c>
      <c r="H90" s="4">
        <f t="shared" si="8"/>
        <v>7049.3091916588273</v>
      </c>
    </row>
    <row r="91" spans="1:8" x14ac:dyDescent="0.3">
      <c r="A91" s="19">
        <v>46261</v>
      </c>
      <c r="B91" s="24">
        <f t="shared" si="9"/>
        <v>90</v>
      </c>
      <c r="C91" s="20"/>
      <c r="D91" s="21">
        <f t="shared" si="6"/>
        <v>100</v>
      </c>
      <c r="E91" s="21">
        <f t="shared" si="7"/>
        <v>9.1889880435678073</v>
      </c>
      <c r="F91" s="21">
        <f t="shared" si="11"/>
        <v>90.811011956432196</v>
      </c>
      <c r="G91" s="21">
        <f t="shared" si="10"/>
        <v>2859.8797963847401</v>
      </c>
      <c r="H91" s="21">
        <f t="shared" si="8"/>
        <v>7140.1202036152599</v>
      </c>
    </row>
    <row r="92" spans="1:8" x14ac:dyDescent="0.3">
      <c r="A92" s="2">
        <v>46261</v>
      </c>
      <c r="B92" s="23">
        <f t="shared" si="9"/>
        <v>91</v>
      </c>
      <c r="C92" s="3"/>
      <c r="D92" s="4">
        <f t="shared" si="6"/>
        <v>100</v>
      </c>
      <c r="E92" s="4">
        <f t="shared" si="7"/>
        <v>8.906186029634986</v>
      </c>
      <c r="F92" s="4">
        <f t="shared" si="11"/>
        <v>91.093813970365019</v>
      </c>
      <c r="G92" s="4">
        <f t="shared" si="10"/>
        <v>2768.7859824143752</v>
      </c>
      <c r="H92" s="4">
        <f t="shared" si="8"/>
        <v>7231.2140175856248</v>
      </c>
    </row>
    <row r="93" spans="1:8" x14ac:dyDescent="0.3">
      <c r="A93" s="19">
        <v>46261</v>
      </c>
      <c r="B93" s="24">
        <f t="shared" si="9"/>
        <v>92</v>
      </c>
      <c r="C93" s="20"/>
      <c r="D93" s="21">
        <f t="shared" si="6"/>
        <v>100</v>
      </c>
      <c r="E93" s="21">
        <f t="shared" si="7"/>
        <v>8.6225033187760829</v>
      </c>
      <c r="F93" s="21">
        <f t="shared" si="11"/>
        <v>91.377496681223917</v>
      </c>
      <c r="G93" s="21">
        <f t="shared" si="10"/>
        <v>2677.4084857331513</v>
      </c>
      <c r="H93" s="21">
        <f t="shared" si="8"/>
        <v>7322.5915142668491</v>
      </c>
    </row>
    <row r="94" spans="1:8" x14ac:dyDescent="0.3">
      <c r="A94" s="2">
        <v>46261</v>
      </c>
      <c r="B94" s="23">
        <f t="shared" si="9"/>
        <v>93</v>
      </c>
      <c r="C94" s="3"/>
      <c r="D94" s="4">
        <f t="shared" si="6"/>
        <v>100</v>
      </c>
      <c r="E94" s="4">
        <f t="shared" si="7"/>
        <v>8.3379371683406287</v>
      </c>
      <c r="F94" s="4">
        <f t="shared" si="11"/>
        <v>91.66206283165937</v>
      </c>
      <c r="G94" s="4">
        <f t="shared" si="10"/>
        <v>2585.7464229014918</v>
      </c>
      <c r="H94" s="4">
        <f t="shared" si="8"/>
        <v>7414.2535770985087</v>
      </c>
    </row>
    <row r="95" spans="1:8" x14ac:dyDescent="0.3">
      <c r="A95" s="19">
        <v>46265</v>
      </c>
      <c r="B95" s="24">
        <f t="shared" si="9"/>
        <v>94</v>
      </c>
      <c r="C95" s="20"/>
      <c r="D95" s="21">
        <f t="shared" si="6"/>
        <v>100</v>
      </c>
      <c r="E95" s="21">
        <f t="shared" si="7"/>
        <v>8.0524848271370466</v>
      </c>
      <c r="F95" s="21">
        <f t="shared" si="11"/>
        <v>91.94751517286295</v>
      </c>
      <c r="G95" s="21">
        <f t="shared" si="10"/>
        <v>2493.7989077286288</v>
      </c>
      <c r="H95" s="21">
        <f t="shared" si="8"/>
        <v>7506.2010922713707</v>
      </c>
    </row>
    <row r="96" spans="1:8" x14ac:dyDescent="0.3">
      <c r="A96" s="2">
        <v>46265</v>
      </c>
      <c r="B96" s="23">
        <f t="shared" si="9"/>
        <v>95</v>
      </c>
      <c r="C96" s="3"/>
      <c r="D96" s="4">
        <f t="shared" si="6"/>
        <v>100</v>
      </c>
      <c r="E96" s="4">
        <f t="shared" si="7"/>
        <v>7.7661435354060435</v>
      </c>
      <c r="F96" s="4">
        <f t="shared" si="11"/>
        <v>92.233856464593956</v>
      </c>
      <c r="G96" s="4">
        <f t="shared" si="10"/>
        <v>2401.565051264035</v>
      </c>
      <c r="H96" s="4">
        <f t="shared" si="8"/>
        <v>7598.434948735965</v>
      </c>
    </row>
    <row r="97" spans="1:8" x14ac:dyDescent="0.3">
      <c r="A97" s="19">
        <v>46265</v>
      </c>
      <c r="B97" s="24">
        <f t="shared" si="9"/>
        <v>96</v>
      </c>
      <c r="C97" s="20"/>
      <c r="D97" s="21">
        <f t="shared" si="6"/>
        <v>100</v>
      </c>
      <c r="E97" s="21">
        <f t="shared" si="7"/>
        <v>7.478910524793938</v>
      </c>
      <c r="F97" s="21">
        <f t="shared" si="11"/>
        <v>92.521089475206068</v>
      </c>
      <c r="G97" s="21">
        <f t="shared" si="10"/>
        <v>2309.0439617888287</v>
      </c>
      <c r="H97" s="21">
        <f t="shared" si="8"/>
        <v>7690.9560382111713</v>
      </c>
    </row>
    <row r="98" spans="1:8" x14ac:dyDescent="0.3">
      <c r="A98" s="2">
        <v>46265</v>
      </c>
      <c r="B98" s="23">
        <f t="shared" si="9"/>
        <v>97</v>
      </c>
      <c r="C98" s="3"/>
      <c r="D98" s="4">
        <f t="shared" si="6"/>
        <v>100</v>
      </c>
      <c r="E98" s="4">
        <f t="shared" si="7"/>
        <v>7.1907830183258881</v>
      </c>
      <c r="F98" s="4">
        <f t="shared" si="11"/>
        <v>92.809216981674112</v>
      </c>
      <c r="G98" s="4">
        <f t="shared" si="10"/>
        <v>2216.2347448071546</v>
      </c>
      <c r="H98" s="4">
        <f t="shared" si="8"/>
        <v>7783.7652551928459</v>
      </c>
    </row>
    <row r="99" spans="1:8" x14ac:dyDescent="0.3">
      <c r="A99" s="19">
        <v>46265</v>
      </c>
      <c r="B99" s="24">
        <f t="shared" si="9"/>
        <v>98</v>
      </c>
      <c r="C99" s="20"/>
      <c r="D99" s="21">
        <f t="shared" si="6"/>
        <v>100</v>
      </c>
      <c r="E99" s="21">
        <f t="shared" si="7"/>
        <v>6.9017582303790492</v>
      </c>
      <c r="F99" s="21">
        <f t="shared" si="11"/>
        <v>93.098241769620955</v>
      </c>
      <c r="G99" s="21">
        <f t="shared" si="10"/>
        <v>2123.1365030375337</v>
      </c>
      <c r="H99" s="21">
        <f t="shared" si="8"/>
        <v>7876.8634969624663</v>
      </c>
    </row>
    <row r="100" spans="1:8" x14ac:dyDescent="0.3">
      <c r="A100" s="2">
        <v>46265</v>
      </c>
      <c r="B100" s="23">
        <f t="shared" si="9"/>
        <v>99</v>
      </c>
      <c r="C100" s="3"/>
      <c r="D100" s="4">
        <f t="shared" si="6"/>
        <v>100</v>
      </c>
      <c r="E100" s="4">
        <f t="shared" si="7"/>
        <v>6.611833366655639</v>
      </c>
      <c r="F100" s="4">
        <f t="shared" si="11"/>
        <v>93.388166633344355</v>
      </c>
      <c r="G100" s="4">
        <f t="shared" si="10"/>
        <v>2029.7483364041893</v>
      </c>
      <c r="H100" s="4">
        <f t="shared" si="8"/>
        <v>7970.2516635958109</v>
      </c>
    </row>
    <row r="101" spans="1:8" x14ac:dyDescent="0.3">
      <c r="A101" s="19">
        <v>46265</v>
      </c>
      <c r="B101" s="24">
        <f t="shared" si="9"/>
        <v>100</v>
      </c>
      <c r="C101" s="20"/>
      <c r="D101" s="21">
        <f t="shared" si="6"/>
        <v>100</v>
      </c>
      <c r="E101" s="21">
        <f t="shared" si="7"/>
        <v>6.3210056241559256</v>
      </c>
      <c r="F101" s="21">
        <f t="shared" si="11"/>
        <v>93.67899437584407</v>
      </c>
      <c r="G101" s="21">
        <f t="shared" si="10"/>
        <v>1936.0693420283453</v>
      </c>
      <c r="H101" s="21">
        <f t="shared" si="8"/>
        <v>8063.9306579716549</v>
      </c>
    </row>
    <row r="102" spans="1:8" x14ac:dyDescent="0.3">
      <c r="A102" s="2">
        <v>46265</v>
      </c>
      <c r="B102" s="23">
        <f t="shared" si="9"/>
        <v>101</v>
      </c>
      <c r="C102" s="3"/>
      <c r="D102" s="4">
        <f t="shared" si="6"/>
        <v>100</v>
      </c>
      <c r="E102" s="4">
        <f t="shared" si="7"/>
        <v>6.0292721911511231</v>
      </c>
      <c r="F102" s="4">
        <f t="shared" si="11"/>
        <v>93.970727808848878</v>
      </c>
      <c r="G102" s="4">
        <f t="shared" si="10"/>
        <v>1842.0986142194965</v>
      </c>
      <c r="H102" s="4">
        <f t="shared" si="8"/>
        <v>8157.9013857805039</v>
      </c>
    </row>
    <row r="103" spans="1:8" x14ac:dyDescent="0.3">
      <c r="A103" s="19">
        <v>46265</v>
      </c>
      <c r="B103" s="24">
        <f t="shared" si="9"/>
        <v>102</v>
      </c>
      <c r="C103" s="20"/>
      <c r="D103" s="21">
        <f t="shared" si="6"/>
        <v>100</v>
      </c>
      <c r="E103" s="21">
        <f t="shared" si="7"/>
        <v>5.7366302471562118</v>
      </c>
      <c r="F103" s="21">
        <f t="shared" si="11"/>
        <v>94.263369752843786</v>
      </c>
      <c r="G103" s="21">
        <f t="shared" si="10"/>
        <v>1747.8352444666527</v>
      </c>
      <c r="H103" s="21">
        <f t="shared" si="8"/>
        <v>8252.1647555333475</v>
      </c>
    </row>
    <row r="104" spans="1:8" x14ac:dyDescent="0.3">
      <c r="A104" s="2">
        <v>46265</v>
      </c>
      <c r="B104" s="23">
        <f t="shared" si="9"/>
        <v>103</v>
      </c>
      <c r="C104" s="3"/>
      <c r="D104" s="4">
        <f t="shared" si="6"/>
        <v>100</v>
      </c>
      <c r="E104" s="4">
        <f t="shared" si="7"/>
        <v>5.4430769629026683</v>
      </c>
      <c r="F104" s="4">
        <f t="shared" si="11"/>
        <v>94.556923037097334</v>
      </c>
      <c r="G104" s="4">
        <f t="shared" si="10"/>
        <v>1653.2783214295555</v>
      </c>
      <c r="H104" s="4">
        <f t="shared" si="8"/>
        <v>8346.7216785704441</v>
      </c>
    </row>
    <row r="105" spans="1:8" x14ac:dyDescent="0.3">
      <c r="A105" s="19">
        <v>46265</v>
      </c>
      <c r="B105" s="24">
        <f t="shared" si="9"/>
        <v>104</v>
      </c>
      <c r="C105" s="20"/>
      <c r="D105" s="21">
        <f t="shared" si="6"/>
        <v>100</v>
      </c>
      <c r="E105" s="21">
        <f t="shared" si="7"/>
        <v>5.1486095003111139</v>
      </c>
      <c r="F105" s="21">
        <f t="shared" si="11"/>
        <v>94.85139049968889</v>
      </c>
      <c r="G105" s="21">
        <f t="shared" si="10"/>
        <v>1558.4269309298666</v>
      </c>
      <c r="H105" s="21">
        <f t="shared" si="8"/>
        <v>8441.573069070133</v>
      </c>
    </row>
    <row r="106" spans="1:8" x14ac:dyDescent="0.3">
      <c r="A106" s="2">
        <v>46265</v>
      </c>
      <c r="B106" s="23">
        <f t="shared" si="9"/>
        <v>105</v>
      </c>
      <c r="C106" s="3"/>
      <c r="D106" s="4">
        <f t="shared" si="6"/>
        <v>100</v>
      </c>
      <c r="E106" s="4">
        <f t="shared" si="7"/>
        <v>4.8532250124638718</v>
      </c>
      <c r="F106" s="4">
        <f t="shared" si="11"/>
        <v>95.146774987536133</v>
      </c>
      <c r="G106" s="4">
        <f t="shared" si="10"/>
        <v>1463.2801559423303</v>
      </c>
      <c r="H106" s="4">
        <f t="shared" si="8"/>
        <v>8536.7198440576703</v>
      </c>
    </row>
    <row r="107" spans="1:8" x14ac:dyDescent="0.3">
      <c r="A107" s="19">
        <v>46265</v>
      </c>
      <c r="B107" s="24">
        <f t="shared" si="9"/>
        <v>106</v>
      </c>
      <c r="C107" s="20"/>
      <c r="D107" s="21">
        <f t="shared" si="6"/>
        <v>100</v>
      </c>
      <c r="E107" s="21">
        <f t="shared" si="7"/>
        <v>4.5569206435774463</v>
      </c>
      <c r="F107" s="21">
        <f t="shared" si="11"/>
        <v>95.443079356422558</v>
      </c>
      <c r="G107" s="21">
        <f t="shared" si="10"/>
        <v>1367.8370765859079</v>
      </c>
      <c r="H107" s="21">
        <f t="shared" si="8"/>
        <v>8632.1629234140928</v>
      </c>
    </row>
    <row r="108" spans="1:8" x14ac:dyDescent="0.3">
      <c r="A108" s="2">
        <v>46265</v>
      </c>
      <c r="B108" s="23">
        <f t="shared" si="9"/>
        <v>107</v>
      </c>
      <c r="C108" s="3"/>
      <c r="D108" s="4">
        <f t="shared" si="6"/>
        <v>100</v>
      </c>
      <c r="E108" s="4">
        <f t="shared" si="7"/>
        <v>4.259693528974914</v>
      </c>
      <c r="F108" s="4">
        <f t="shared" si="11"/>
        <v>95.740306471025093</v>
      </c>
      <c r="G108" s="4">
        <f t="shared" si="10"/>
        <v>1272.0967701148827</v>
      </c>
      <c r="H108" s="4">
        <f t="shared" si="8"/>
        <v>8727.903229885118</v>
      </c>
    </row>
    <row r="109" spans="1:8" x14ac:dyDescent="0.3">
      <c r="A109" s="19">
        <v>46265</v>
      </c>
      <c r="B109" s="24">
        <f t="shared" si="9"/>
        <v>108</v>
      </c>
      <c r="C109" s="20"/>
      <c r="D109" s="21">
        <f t="shared" si="6"/>
        <v>100</v>
      </c>
      <c r="E109" s="21">
        <f t="shared" si="7"/>
        <v>3.9615407950582244</v>
      </c>
      <c r="F109" s="21">
        <f t="shared" si="11"/>
        <v>96.038459204941773</v>
      </c>
      <c r="G109" s="21">
        <f t="shared" si="10"/>
        <v>1176.0583109099409</v>
      </c>
      <c r="H109" s="21">
        <f t="shared" si="8"/>
        <v>8823.9416890900593</v>
      </c>
    </row>
    <row r="110" spans="1:8" x14ac:dyDescent="0.3">
      <c r="A110" s="2">
        <v>46265</v>
      </c>
      <c r="B110" s="23">
        <f t="shared" si="9"/>
        <v>109</v>
      </c>
      <c r="C110" s="3"/>
      <c r="D110" s="4">
        <f t="shared" si="6"/>
        <v>100</v>
      </c>
      <c r="E110" s="4">
        <f t="shared" si="7"/>
        <v>3.6624595592804208</v>
      </c>
      <c r="F110" s="4">
        <f t="shared" si="11"/>
        <v>96.337540440719579</v>
      </c>
      <c r="G110" s="4">
        <f t="shared" si="10"/>
        <v>1079.7207704692214</v>
      </c>
      <c r="H110" s="4">
        <f t="shared" si="8"/>
        <v>8920.279229530779</v>
      </c>
    </row>
    <row r="111" spans="1:8" x14ac:dyDescent="0.3">
      <c r="A111" s="19">
        <v>46265</v>
      </c>
      <c r="B111" s="24">
        <f t="shared" si="9"/>
        <v>110</v>
      </c>
      <c r="C111" s="20"/>
      <c r="D111" s="21">
        <f t="shared" si="6"/>
        <v>100</v>
      </c>
      <c r="E111" s="21">
        <f t="shared" si="7"/>
        <v>3.3624469301177702</v>
      </c>
      <c r="F111" s="21">
        <f t="shared" si="11"/>
        <v>96.63755306988223</v>
      </c>
      <c r="G111" s="21">
        <f t="shared" si="10"/>
        <v>983.08321739933922</v>
      </c>
      <c r="H111" s="21">
        <f t="shared" si="8"/>
        <v>9016.9167826006615</v>
      </c>
    </row>
    <row r="112" spans="1:8" x14ac:dyDescent="0.3">
      <c r="A112" s="2">
        <v>46265</v>
      </c>
      <c r="B112" s="23">
        <f t="shared" si="9"/>
        <v>111</v>
      </c>
      <c r="C112" s="3"/>
      <c r="D112" s="4">
        <f t="shared" si="6"/>
        <v>100</v>
      </c>
      <c r="E112" s="4">
        <f t="shared" si="7"/>
        <v>3.061500007041809</v>
      </c>
      <c r="F112" s="4">
        <f t="shared" si="11"/>
        <v>96.938499992958185</v>
      </c>
      <c r="G112" s="4">
        <f t="shared" si="10"/>
        <v>886.14471740638101</v>
      </c>
      <c r="H112" s="4">
        <f t="shared" si="8"/>
        <v>9113.8552825936185</v>
      </c>
    </row>
    <row r="113" spans="1:8" x14ac:dyDescent="0.3">
      <c r="A113" s="19">
        <v>46265</v>
      </c>
      <c r="B113" s="24">
        <f t="shared" si="9"/>
        <v>112</v>
      </c>
      <c r="C113" s="20"/>
      <c r="D113" s="21">
        <f t="shared" si="6"/>
        <v>100</v>
      </c>
      <c r="E113" s="21">
        <f t="shared" si="7"/>
        <v>2.7596158804912996</v>
      </c>
      <c r="F113" s="21">
        <f t="shared" si="11"/>
        <v>97.240384119508704</v>
      </c>
      <c r="G113" s="21">
        <f t="shared" si="10"/>
        <v>788.90433328687232</v>
      </c>
      <c r="H113" s="21">
        <f t="shared" si="8"/>
        <v>9211.0956667131286</v>
      </c>
    </row>
    <row r="114" spans="1:8" x14ac:dyDescent="0.3">
      <c r="A114" s="2">
        <v>46265</v>
      </c>
      <c r="B114" s="23">
        <f t="shared" si="9"/>
        <v>113</v>
      </c>
      <c r="C114" s="3"/>
      <c r="D114" s="4">
        <f t="shared" si="6"/>
        <v>100</v>
      </c>
      <c r="E114" s="4">
        <f t="shared" si="7"/>
        <v>2.4567916318441023</v>
      </c>
      <c r="F114" s="4">
        <f t="shared" si="11"/>
        <v>97.543208368155902</v>
      </c>
      <c r="G114" s="4">
        <f t="shared" si="10"/>
        <v>691.36112491871643</v>
      </c>
      <c r="H114" s="4">
        <f t="shared" si="8"/>
        <v>9308.6388750812839</v>
      </c>
    </row>
    <row r="115" spans="1:8" x14ac:dyDescent="0.3">
      <c r="A115" s="19">
        <v>46265</v>
      </c>
      <c r="B115" s="24">
        <f t="shared" si="9"/>
        <v>114</v>
      </c>
      <c r="C115" s="20"/>
      <c r="D115" s="21">
        <f t="shared" si="6"/>
        <v>100</v>
      </c>
      <c r="E115" s="21">
        <f t="shared" si="7"/>
        <v>2.1530243333889567</v>
      </c>
      <c r="F115" s="21">
        <f t="shared" si="11"/>
        <v>97.846975666611044</v>
      </c>
      <c r="G115" s="21">
        <f t="shared" si="10"/>
        <v>593.51414925210543</v>
      </c>
      <c r="H115" s="21">
        <f t="shared" si="8"/>
        <v>9406.4858507478948</v>
      </c>
    </row>
    <row r="116" spans="1:8" x14ac:dyDescent="0.3">
      <c r="A116" s="2">
        <v>46265</v>
      </c>
      <c r="B116" s="23">
        <f t="shared" si="9"/>
        <v>115</v>
      </c>
      <c r="C116" s="3"/>
      <c r="D116" s="4">
        <f t="shared" si="6"/>
        <v>100</v>
      </c>
      <c r="E116" s="4">
        <f t="shared" si="7"/>
        <v>1.8483110482971767</v>
      </c>
      <c r="F116" s="4">
        <f t="shared" si="11"/>
        <v>98.151688951702823</v>
      </c>
      <c r="G116" s="4">
        <f t="shared" si="10"/>
        <v>495.36246030040263</v>
      </c>
      <c r="H116" s="4">
        <f t="shared" si="8"/>
        <v>9504.6375396995973</v>
      </c>
    </row>
    <row r="117" spans="1:8" x14ac:dyDescent="0.3">
      <c r="A117" s="19">
        <v>46265</v>
      </c>
      <c r="B117" s="24">
        <f t="shared" si="9"/>
        <v>116</v>
      </c>
      <c r="C117" s="20"/>
      <c r="D117" s="21">
        <f t="shared" si="6"/>
        <v>100</v>
      </c>
      <c r="E117" s="21">
        <f t="shared" si="7"/>
        <v>1.5426488305942569</v>
      </c>
      <c r="F117" s="21">
        <f t="shared" si="11"/>
        <v>98.45735116940574</v>
      </c>
      <c r="G117" s="21">
        <f t="shared" si="10"/>
        <v>396.90510913099689</v>
      </c>
      <c r="H117" s="21">
        <f t="shared" si="8"/>
        <v>9603.0948908690025</v>
      </c>
    </row>
    <row r="118" spans="1:8" x14ac:dyDescent="0.3">
      <c r="A118" s="2">
        <v>46265</v>
      </c>
      <c r="B118" s="23">
        <f t="shared" si="9"/>
        <v>117</v>
      </c>
      <c r="C118" s="3"/>
      <c r="D118" s="4">
        <f t="shared" si="6"/>
        <v>100</v>
      </c>
      <c r="E118" s="4">
        <f t="shared" si="7"/>
        <v>1.2360347251313921</v>
      </c>
      <c r="F118" s="4">
        <f t="shared" si="11"/>
        <v>98.76396527486861</v>
      </c>
      <c r="G118" s="4">
        <f t="shared" si="10"/>
        <v>298.14114385612828</v>
      </c>
      <c r="H118" s="4">
        <f t="shared" si="8"/>
        <v>9701.8588561438719</v>
      </c>
    </row>
    <row r="119" spans="1:8" x14ac:dyDescent="0.3">
      <c r="A119" s="19">
        <v>46265</v>
      </c>
      <c r="B119" s="24">
        <f t="shared" si="9"/>
        <v>118</v>
      </c>
      <c r="C119" s="20"/>
      <c r="D119" s="21">
        <f t="shared" si="6"/>
        <v>100</v>
      </c>
      <c r="E119" s="21">
        <f t="shared" si="7"/>
        <v>0.92846576755690546</v>
      </c>
      <c r="F119" s="21">
        <f t="shared" si="11"/>
        <v>99.071534232443099</v>
      </c>
      <c r="G119" s="21">
        <f t="shared" si="10"/>
        <v>199.06960962368518</v>
      </c>
      <c r="H119" s="21">
        <f t="shared" si="8"/>
        <v>9800.9303903763157</v>
      </c>
    </row>
    <row r="120" spans="1:8" x14ac:dyDescent="0.3">
      <c r="A120" s="2">
        <v>46265</v>
      </c>
      <c r="B120" s="23">
        <f t="shared" si="9"/>
        <v>119</v>
      </c>
      <c r="C120" s="3"/>
      <c r="D120" s="4">
        <f t="shared" si="6"/>
        <v>100</v>
      </c>
      <c r="E120" s="4">
        <f t="shared" si="7"/>
        <v>0.61993898428758998</v>
      </c>
      <c r="F120" s="4">
        <f t="shared" si="11"/>
        <v>99.380061015712414</v>
      </c>
      <c r="G120" s="4">
        <f t="shared" si="10"/>
        <v>99.689548607972768</v>
      </c>
      <c r="H120" s="4">
        <f t="shared" si="8"/>
        <v>9900.310451392028</v>
      </c>
    </row>
    <row r="121" spans="1:8" x14ac:dyDescent="0.3">
      <c r="A121" s="19">
        <v>46265</v>
      </c>
      <c r="B121" s="24">
        <f t="shared" si="9"/>
        <v>120</v>
      </c>
      <c r="C121" s="20"/>
      <c r="D121" s="21">
        <f t="shared" si="6"/>
        <v>100</v>
      </c>
      <c r="E121" s="21">
        <f t="shared" si="7"/>
        <v>0.31045139247995929</v>
      </c>
      <c r="F121" s="21">
        <f t="shared" si="11"/>
        <v>99.689548607520038</v>
      </c>
      <c r="G121" s="21">
        <f t="shared" si="10"/>
        <v>4.5272940951690543E-10</v>
      </c>
      <c r="H121" s="21">
        <f t="shared" si="8"/>
        <v>9999.9999999995471</v>
      </c>
    </row>
  </sheetData>
  <sheetProtection algorithmName="SHA-512" hashValue="vWb8i54XVKAaOS68sLVZ0XlIEat06AEkFXEiRXcim98gQTXteXqhJSxf2R5bmuzQgTzgqJypDrvYX1G0AIG7yQ==" saltValue="sJdqri2gDoYxDUXYT9BaH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topLeftCell="A29" workbookViewId="0">
      <selection activeCell="A44" sqref="A44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1.8554687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46266</v>
      </c>
      <c r="B2" s="23">
        <f>IF(A2&lt;&gt;"",1,"")</f>
        <v>1</v>
      </c>
      <c r="C2" s="3"/>
      <c r="D2" s="4">
        <f t="shared" ref="D2:D65" si="0">IF(AND($A2&lt;&gt;"",$B2&lt;&gt;""),$K$9,"")</f>
        <v>300</v>
      </c>
      <c r="E2" s="4">
        <f>IF(AND($A2&lt;&gt;"",$B2&lt;&gt;""),$K$7*$K$8,"")</f>
        <v>93.425458380031429</v>
      </c>
      <c r="F2" s="4">
        <f>IF(AND($A2&lt;&gt;"",$B2&lt;&gt;""),D2-E2,"")</f>
        <v>206.57454161996856</v>
      </c>
      <c r="G2" s="4">
        <f>IF(AND($A2&lt;&gt;"",$B2&lt;&gt;""),$K$7-F2,"")</f>
        <v>29793.425458380032</v>
      </c>
      <c r="H2" s="4">
        <f>IF(AND($A2&lt;&gt;"",$B2&lt;&gt;""),$K$7-G2,"")</f>
        <v>206.57454161996793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L30000D120-Bidyabati2-N218</v>
      </c>
    </row>
    <row r="3" spans="1:12" x14ac:dyDescent="0.3">
      <c r="A3" s="19">
        <v>46267</v>
      </c>
      <c r="B3" s="24">
        <f>IF(A3&lt;&gt;"",B2+1,"")</f>
        <v>2</v>
      </c>
      <c r="C3" s="20"/>
      <c r="D3" s="21">
        <f t="shared" si="0"/>
        <v>300</v>
      </c>
      <c r="E3" s="21">
        <f t="shared" ref="E3:E66" si="1">IF(AND($A3&lt;&gt;"",$B3&lt;&gt;""),G2*$K$8,"")</f>
        <v>92.782147672015086</v>
      </c>
      <c r="F3" s="21">
        <f>IF(AND($A3&lt;&gt;"",$B3&lt;&gt;""),D3-E3,"")</f>
        <v>207.21785232798493</v>
      </c>
      <c r="G3" s="21">
        <f>IF(AND($A3&lt;&gt;"",$B3&lt;&gt;""),G2-F3,"")</f>
        <v>29586.207606052049</v>
      </c>
      <c r="H3" s="21">
        <f t="shared" ref="H3:H66" si="2">IF(AND($A3&lt;&gt;"",$B3&lt;&gt;""),$K$7-G3,"")</f>
        <v>413.7923939479515</v>
      </c>
      <c r="J3" s="5" t="s">
        <v>10</v>
      </c>
      <c r="K3" s="27" t="s">
        <v>22</v>
      </c>
    </row>
    <row r="4" spans="1:12" x14ac:dyDescent="0.3">
      <c r="A4" s="2">
        <v>46268</v>
      </c>
      <c r="B4" s="23">
        <f t="shared" ref="B4:B67" si="3">IF(A4&lt;&gt;"",B3+1,"")</f>
        <v>3</v>
      </c>
      <c r="C4" s="3"/>
      <c r="D4" s="4">
        <f t="shared" si="0"/>
        <v>300</v>
      </c>
      <c r="E4" s="4">
        <f t="shared" si="1"/>
        <v>92.136833577406165</v>
      </c>
      <c r="F4" s="4">
        <f>IF(AND($A4&lt;&gt;"",$B4&lt;&gt;""),D4-E4,"")</f>
        <v>207.86316642259385</v>
      </c>
      <c r="G4" s="4">
        <f>IF(AND($A4&lt;&gt;"",$B4&lt;&gt;""),G3-F4,"")</f>
        <v>29378.344439629454</v>
      </c>
      <c r="H4" s="4">
        <f t="shared" si="2"/>
        <v>621.65556037054557</v>
      </c>
      <c r="J4" s="5" t="s">
        <v>11</v>
      </c>
      <c r="K4" s="27"/>
    </row>
    <row r="5" spans="1:12" x14ac:dyDescent="0.3">
      <c r="A5" s="19">
        <v>46269</v>
      </c>
      <c r="B5" s="24">
        <f t="shared" si="3"/>
        <v>4</v>
      </c>
      <c r="C5" s="20"/>
      <c r="D5" s="21">
        <f t="shared" si="0"/>
        <v>300</v>
      </c>
      <c r="E5" s="21">
        <f t="shared" si="1"/>
        <v>91.489509857294308</v>
      </c>
      <c r="F5" s="21">
        <f>IF(AND($A5&lt;&gt;"",$B5&lt;&gt;""),D5-E5,"")</f>
        <v>208.51049014270569</v>
      </c>
      <c r="G5" s="21">
        <f>IF(AND($A5&lt;&gt;"",$B5&lt;&gt;""),G4-F5,"")</f>
        <v>29169.83394948675</v>
      </c>
      <c r="H5" s="21">
        <f t="shared" si="2"/>
        <v>830.1660505132495</v>
      </c>
      <c r="J5" s="5" t="s">
        <v>12</v>
      </c>
      <c r="K5" s="27"/>
    </row>
    <row r="6" spans="1:12" x14ac:dyDescent="0.3">
      <c r="A6" s="2">
        <v>46269</v>
      </c>
      <c r="B6" s="23">
        <f t="shared" si="3"/>
        <v>5</v>
      </c>
      <c r="C6" s="3"/>
      <c r="D6" s="4">
        <f t="shared" si="0"/>
        <v>300</v>
      </c>
      <c r="E6" s="4">
        <f t="shared" si="1"/>
        <v>90.840170253340077</v>
      </c>
      <c r="F6" s="4">
        <f>IF(AND($A6&lt;&gt;"",$B6&lt;&gt;""),D6-E6,"")</f>
        <v>209.15982974665991</v>
      </c>
      <c r="G6" s="4">
        <f t="shared" ref="G6:G69" si="4">IF(AND($A6&lt;&gt;"",$B6&lt;&gt;""),G5-F6,"")</f>
        <v>28960.674119740092</v>
      </c>
      <c r="H6" s="4">
        <f t="shared" si="2"/>
        <v>1039.3258802599084</v>
      </c>
      <c r="J6" s="5" t="s">
        <v>13</v>
      </c>
      <c r="K6" s="27"/>
    </row>
    <row r="7" spans="1:12" x14ac:dyDescent="0.3">
      <c r="A7" s="19">
        <v>46271</v>
      </c>
      <c r="B7" s="24">
        <f t="shared" si="3"/>
        <v>6</v>
      </c>
      <c r="C7" s="20"/>
      <c r="D7" s="21">
        <f t="shared" si="0"/>
        <v>300</v>
      </c>
      <c r="E7" s="21">
        <f t="shared" si="1"/>
        <v>90.188808487714368</v>
      </c>
      <c r="F7" s="21">
        <f t="shared" ref="F7:F70" si="5">IF(AND($A7&lt;&gt;"",$B7&lt;&gt;""),D7-E7,"")</f>
        <v>209.81119151228563</v>
      </c>
      <c r="G7" s="21">
        <f t="shared" si="4"/>
        <v>28750.862928227805</v>
      </c>
      <c r="H7" s="21">
        <f t="shared" si="2"/>
        <v>1249.1370717721948</v>
      </c>
      <c r="J7" s="5" t="s">
        <v>7</v>
      </c>
      <c r="K7" s="28">
        <v>30000</v>
      </c>
    </row>
    <row r="8" spans="1:12" x14ac:dyDescent="0.3">
      <c r="A8" s="2">
        <v>46272</v>
      </c>
      <c r="B8" s="23">
        <f t="shared" si="3"/>
        <v>7</v>
      </c>
      <c r="C8" s="3"/>
      <c r="D8" s="4">
        <f t="shared" si="0"/>
        <v>300</v>
      </c>
      <c r="E8" s="4">
        <f t="shared" si="1"/>
        <v>89.53541826303784</v>
      </c>
      <c r="F8" s="4">
        <f t="shared" si="5"/>
        <v>210.46458173696215</v>
      </c>
      <c r="G8" s="4">
        <f t="shared" si="4"/>
        <v>28540.398346490842</v>
      </c>
      <c r="H8" s="4">
        <f t="shared" si="2"/>
        <v>1459.6016535091585</v>
      </c>
      <c r="J8" s="5" t="s">
        <v>14</v>
      </c>
      <c r="K8" s="29">
        <f>RATE(K10,-K9,K7)</f>
        <v>3.1141819460010476E-3</v>
      </c>
    </row>
    <row r="9" spans="1:12" x14ac:dyDescent="0.3">
      <c r="A9" s="19">
        <v>46273</v>
      </c>
      <c r="B9" s="24">
        <f t="shared" si="3"/>
        <v>8</v>
      </c>
      <c r="C9" s="20"/>
      <c r="D9" s="21">
        <f t="shared" si="0"/>
        <v>300</v>
      </c>
      <c r="E9" s="21">
        <f t="shared" si="1"/>
        <v>88.879993262319928</v>
      </c>
      <c r="F9" s="21">
        <f t="shared" si="5"/>
        <v>211.12000673768006</v>
      </c>
      <c r="G9" s="21">
        <f t="shared" si="4"/>
        <v>28329.27833975316</v>
      </c>
      <c r="H9" s="21">
        <f t="shared" si="2"/>
        <v>1670.7216602468397</v>
      </c>
      <c r="J9" s="5" t="s">
        <v>8</v>
      </c>
      <c r="K9" s="30">
        <v>300</v>
      </c>
    </row>
    <row r="10" spans="1:12" x14ac:dyDescent="0.3">
      <c r="A10" s="2">
        <v>46274</v>
      </c>
      <c r="B10" s="23">
        <f t="shared" si="3"/>
        <v>9</v>
      </c>
      <c r="C10" s="3"/>
      <c r="D10" s="4">
        <f t="shared" si="0"/>
        <v>300</v>
      </c>
      <c r="E10" s="4">
        <f t="shared" si="1"/>
        <v>88.222527148897825</v>
      </c>
      <c r="F10" s="4">
        <f t="shared" si="5"/>
        <v>211.77747285110217</v>
      </c>
      <c r="G10" s="4">
        <f t="shared" si="4"/>
        <v>28117.500866902057</v>
      </c>
      <c r="H10" s="4">
        <f t="shared" si="2"/>
        <v>1882.4991330979428</v>
      </c>
      <c r="J10" s="5" t="s">
        <v>15</v>
      </c>
      <c r="K10" s="31">
        <v>120</v>
      </c>
    </row>
    <row r="11" spans="1:12" ht="17.25" thickBot="1" x14ac:dyDescent="0.35">
      <c r="A11" s="19">
        <v>46275</v>
      </c>
      <c r="B11" s="24">
        <f t="shared" si="3"/>
        <v>10</v>
      </c>
      <c r="C11" s="20"/>
      <c r="D11" s="21">
        <f t="shared" si="0"/>
        <v>300</v>
      </c>
      <c r="E11" s="21">
        <f t="shared" si="1"/>
        <v>87.56301356637519</v>
      </c>
      <c r="F11" s="21">
        <f t="shared" si="5"/>
        <v>212.43698643362481</v>
      </c>
      <c r="G11" s="21">
        <f t="shared" si="4"/>
        <v>27905.063880468431</v>
      </c>
      <c r="H11" s="21">
        <f t="shared" si="2"/>
        <v>2094.9361195315687</v>
      </c>
      <c r="J11" s="8"/>
      <c r="L11" s="22"/>
    </row>
    <row r="12" spans="1:12" x14ac:dyDescent="0.3">
      <c r="A12" s="2">
        <v>46276</v>
      </c>
      <c r="B12" s="23">
        <f t="shared" si="3"/>
        <v>11</v>
      </c>
      <c r="C12" s="3"/>
      <c r="D12" s="4">
        <f t="shared" si="0"/>
        <v>300</v>
      </c>
      <c r="E12" s="4">
        <f t="shared" si="1"/>
        <v>86.901446138560729</v>
      </c>
      <c r="F12" s="4">
        <f t="shared" si="5"/>
        <v>213.09855386143926</v>
      </c>
      <c r="G12" s="4">
        <f t="shared" si="4"/>
        <v>27691.965326606991</v>
      </c>
      <c r="H12" s="4">
        <f t="shared" si="2"/>
        <v>2308.0346733930091</v>
      </c>
      <c r="J12" s="9" t="s">
        <v>16</v>
      </c>
      <c r="K12" s="10">
        <f>IFERROR(MAX($B:$B),"")</f>
        <v>42</v>
      </c>
    </row>
    <row r="13" spans="1:12" x14ac:dyDescent="0.3">
      <c r="A13" s="19">
        <v>46277</v>
      </c>
      <c r="B13" s="24">
        <f t="shared" si="3"/>
        <v>12</v>
      </c>
      <c r="C13" s="20"/>
      <c r="D13" s="21">
        <f t="shared" si="0"/>
        <v>300</v>
      </c>
      <c r="E13" s="21">
        <f t="shared" si="1"/>
        <v>86.237818469406491</v>
      </c>
      <c r="F13" s="21">
        <f t="shared" si="5"/>
        <v>213.76218153059352</v>
      </c>
      <c r="G13" s="21">
        <f t="shared" si="4"/>
        <v>27478.203145076397</v>
      </c>
      <c r="H13" s="21">
        <f t="shared" si="2"/>
        <v>2521.796854923603</v>
      </c>
      <c r="J13" s="25" t="s">
        <v>23</v>
      </c>
      <c r="K13" s="12">
        <f>(K10*K9)-K9*K12</f>
        <v>23400</v>
      </c>
    </row>
    <row r="14" spans="1:12" x14ac:dyDescent="0.3">
      <c r="A14" s="2">
        <v>46278</v>
      </c>
      <c r="B14" s="23">
        <f t="shared" si="3"/>
        <v>13</v>
      </c>
      <c r="C14" s="3"/>
      <c r="D14" s="4">
        <f t="shared" si="0"/>
        <v>300</v>
      </c>
      <c r="E14" s="4">
        <f t="shared" si="1"/>
        <v>85.572124142946123</v>
      </c>
      <c r="F14" s="4">
        <f t="shared" si="5"/>
        <v>214.42787585705389</v>
      </c>
      <c r="G14" s="4">
        <f t="shared" si="4"/>
        <v>27263.775269219343</v>
      </c>
      <c r="H14" s="4">
        <f t="shared" si="2"/>
        <v>2736.2247307806574</v>
      </c>
      <c r="J14" s="11" t="s">
        <v>24</v>
      </c>
      <c r="K14" s="12">
        <f>IF(A2="", K9*K10, IFERROR(INDEX($G:$G, MATCH($K$12, $B:$B, 0)), 0))</f>
        <v>20746.264682771092</v>
      </c>
    </row>
    <row r="15" spans="1:12" ht="17.25" thickBot="1" x14ac:dyDescent="0.35">
      <c r="A15" s="19">
        <v>46279</v>
      </c>
      <c r="B15" s="24">
        <f t="shared" si="3"/>
        <v>14</v>
      </c>
      <c r="C15" s="20"/>
      <c r="D15" s="21">
        <f t="shared" si="0"/>
        <v>300</v>
      </c>
      <c r="E15" s="21">
        <f t="shared" si="1"/>
        <v>84.904356723232723</v>
      </c>
      <c r="F15" s="21">
        <f t="shared" si="5"/>
        <v>215.09564327676728</v>
      </c>
      <c r="G15" s="21">
        <f t="shared" si="4"/>
        <v>27048.679625942576</v>
      </c>
      <c r="H15" s="21">
        <f t="shared" si="2"/>
        <v>2951.3203740574245</v>
      </c>
      <c r="J15" s="13" t="s">
        <v>6</v>
      </c>
      <c r="K15" s="14">
        <f>IFERROR(INDEX($H:$H, MATCH($K$12, $B:$B, 0)), 0)</f>
        <v>9253.7353172289077</v>
      </c>
    </row>
    <row r="16" spans="1:12" x14ac:dyDescent="0.3">
      <c r="A16" s="2">
        <v>46280</v>
      </c>
      <c r="B16" s="23">
        <f t="shared" si="3"/>
        <v>15</v>
      </c>
      <c r="C16" s="3"/>
      <c r="D16" s="4">
        <f t="shared" si="0"/>
        <v>300</v>
      </c>
      <c r="E16" s="4">
        <f t="shared" si="1"/>
        <v>84.234509754276743</v>
      </c>
      <c r="F16" s="4">
        <f t="shared" si="5"/>
        <v>215.76549024572324</v>
      </c>
      <c r="G16" s="4">
        <f t="shared" si="4"/>
        <v>26832.914135696854</v>
      </c>
      <c r="H16" s="4">
        <f t="shared" si="2"/>
        <v>3167.0858643031461</v>
      </c>
      <c r="J16" s="15" t="s">
        <v>18</v>
      </c>
      <c r="K16" s="16">
        <f>IF(A2,A2, "")</f>
        <v>46266</v>
      </c>
    </row>
    <row r="17" spans="1:11" x14ac:dyDescent="0.3">
      <c r="A17" s="19">
        <v>46281</v>
      </c>
      <c r="B17" s="24">
        <f t="shared" si="3"/>
        <v>16</v>
      </c>
      <c r="C17" s="20"/>
      <c r="D17" s="21">
        <f t="shared" si="0"/>
        <v>300</v>
      </c>
      <c r="E17" s="21">
        <f t="shared" si="1"/>
        <v>83.562576759983443</v>
      </c>
      <c r="F17" s="21">
        <f t="shared" si="5"/>
        <v>216.43742324001656</v>
      </c>
      <c r="G17" s="21">
        <f t="shared" si="4"/>
        <v>26616.476712456839</v>
      </c>
      <c r="H17" s="21">
        <f t="shared" si="2"/>
        <v>3383.5232875431611</v>
      </c>
      <c r="J17" s="17" t="s">
        <v>19</v>
      </c>
      <c r="K17" s="18">
        <f xml:space="preserve"> IF(A2,(K16 + 120),"")</f>
        <v>46386</v>
      </c>
    </row>
    <row r="18" spans="1:11" x14ac:dyDescent="0.3">
      <c r="A18" s="2">
        <v>46282</v>
      </c>
      <c r="B18" s="23">
        <f t="shared" si="3"/>
        <v>17</v>
      </c>
      <c r="C18" s="3"/>
      <c r="D18" s="4">
        <f t="shared" si="0"/>
        <v>300</v>
      </c>
      <c r="E18" s="4">
        <f t="shared" si="1"/>
        <v>82.888551244090408</v>
      </c>
      <c r="F18" s="4">
        <f t="shared" si="5"/>
        <v>217.11144875590958</v>
      </c>
      <c r="G18" s="4">
        <f t="shared" si="4"/>
        <v>26399.365263700929</v>
      </c>
      <c r="H18" s="4">
        <f t="shared" si="2"/>
        <v>3600.6347362990709</v>
      </c>
    </row>
    <row r="19" spans="1:11" x14ac:dyDescent="0.3">
      <c r="A19" s="19">
        <v>46283</v>
      </c>
      <c r="B19" s="24">
        <f t="shared" si="3"/>
        <v>18</v>
      </c>
      <c r="C19" s="20"/>
      <c r="D19" s="21">
        <f t="shared" si="0"/>
        <v>300</v>
      </c>
      <c r="E19" s="21">
        <f t="shared" si="1"/>
        <v>82.212426690104621</v>
      </c>
      <c r="F19" s="21">
        <f t="shared" si="5"/>
        <v>217.78757330989538</v>
      </c>
      <c r="G19" s="21">
        <f t="shared" si="4"/>
        <v>26181.577690391034</v>
      </c>
      <c r="H19" s="21">
        <f t="shared" si="2"/>
        <v>3818.4223096089663</v>
      </c>
    </row>
    <row r="20" spans="1:11" x14ac:dyDescent="0.3">
      <c r="A20" s="2">
        <v>46284</v>
      </c>
      <c r="B20" s="23">
        <f t="shared" si="3"/>
        <v>19</v>
      </c>
      <c r="C20" s="3"/>
      <c r="D20" s="4">
        <f t="shared" si="0"/>
        <v>300</v>
      </c>
      <c r="E20" s="4">
        <f t="shared" si="1"/>
        <v>81.534196561239568</v>
      </c>
      <c r="F20" s="4">
        <f t="shared" si="5"/>
        <v>218.46580343876042</v>
      </c>
      <c r="G20" s="4">
        <f t="shared" si="4"/>
        <v>25963.111886952272</v>
      </c>
      <c r="H20" s="4">
        <f t="shared" si="2"/>
        <v>4036.8881130477275</v>
      </c>
      <c r="J20" s="22"/>
      <c r="K20" s="22"/>
    </row>
    <row r="21" spans="1:11" x14ac:dyDescent="0.3">
      <c r="A21" s="19">
        <v>46285</v>
      </c>
      <c r="B21" s="24">
        <f t="shared" si="3"/>
        <v>20</v>
      </c>
      <c r="C21" s="20"/>
      <c r="D21" s="21">
        <f t="shared" si="0"/>
        <v>300</v>
      </c>
      <c r="E21" s="21">
        <f t="shared" si="1"/>
        <v>80.853854300351955</v>
      </c>
      <c r="F21" s="21">
        <f t="shared" si="5"/>
        <v>219.14614569964806</v>
      </c>
      <c r="G21" s="21">
        <f t="shared" si="4"/>
        <v>25743.965741252625</v>
      </c>
      <c r="H21" s="21">
        <f t="shared" si="2"/>
        <v>4256.0342587473751</v>
      </c>
    </row>
    <row r="22" spans="1:11" x14ac:dyDescent="0.3">
      <c r="A22" s="2">
        <v>46286</v>
      </c>
      <c r="B22" s="23">
        <f t="shared" si="3"/>
        <v>21</v>
      </c>
      <c r="C22" s="3"/>
      <c r="D22" s="4">
        <f t="shared" si="0"/>
        <v>300</v>
      </c>
      <c r="E22" s="4">
        <f t="shared" si="1"/>
        <v>80.171393329878399</v>
      </c>
      <c r="F22" s="4">
        <f t="shared" si="5"/>
        <v>219.82860667012159</v>
      </c>
      <c r="G22" s="4">
        <f t="shared" si="4"/>
        <v>25524.137134582503</v>
      </c>
      <c r="H22" s="4">
        <f t="shared" si="2"/>
        <v>4475.8628654174972</v>
      </c>
    </row>
    <row r="23" spans="1:11" x14ac:dyDescent="0.3">
      <c r="A23" s="19">
        <v>46287</v>
      </c>
      <c r="B23" s="24">
        <f t="shared" si="3"/>
        <v>22</v>
      </c>
      <c r="C23" s="20"/>
      <c r="D23" s="21">
        <f t="shared" si="0"/>
        <v>300</v>
      </c>
      <c r="E23" s="21">
        <f t="shared" si="1"/>
        <v>79.486807051771748</v>
      </c>
      <c r="F23" s="21">
        <f t="shared" si="5"/>
        <v>220.51319294822827</v>
      </c>
      <c r="G23" s="21">
        <f t="shared" si="4"/>
        <v>25303.623941634276</v>
      </c>
      <c r="H23" s="21">
        <f t="shared" si="2"/>
        <v>4696.376058365724</v>
      </c>
    </row>
    <row r="24" spans="1:11" x14ac:dyDescent="0.3">
      <c r="A24" s="2">
        <v>46288</v>
      </c>
      <c r="B24" s="23">
        <f t="shared" si="3"/>
        <v>23</v>
      </c>
      <c r="C24" s="3"/>
      <c r="D24" s="4">
        <f t="shared" si="0"/>
        <v>300</v>
      </c>
      <c r="E24" s="4">
        <f t="shared" si="1"/>
        <v>78.800088847437323</v>
      </c>
      <c r="F24" s="4">
        <f t="shared" si="5"/>
        <v>221.19991115256266</v>
      </c>
      <c r="G24" s="4">
        <f t="shared" si="4"/>
        <v>25082.424030481714</v>
      </c>
      <c r="H24" s="4">
        <f t="shared" si="2"/>
        <v>4917.575969518286</v>
      </c>
    </row>
    <row r="25" spans="1:11" x14ac:dyDescent="0.3">
      <c r="A25" s="19">
        <v>46288</v>
      </c>
      <c r="B25" s="24">
        <f t="shared" si="3"/>
        <v>24</v>
      </c>
      <c r="C25" s="20"/>
      <c r="D25" s="21">
        <f t="shared" si="0"/>
        <v>300</v>
      </c>
      <c r="E25" s="21">
        <f t="shared" si="1"/>
        <v>78.111232077668987</v>
      </c>
      <c r="F25" s="21">
        <f t="shared" si="5"/>
        <v>221.888767922331</v>
      </c>
      <c r="G25" s="21">
        <f t="shared" si="4"/>
        <v>24860.535262559384</v>
      </c>
      <c r="H25" s="21">
        <f t="shared" si="2"/>
        <v>5139.4647374406159</v>
      </c>
    </row>
    <row r="26" spans="1:11" x14ac:dyDescent="0.3">
      <c r="A26" s="2">
        <v>46290</v>
      </c>
      <c r="B26" s="23">
        <f>IF(A26&lt;&gt;"",B25+1,"")</f>
        <v>25</v>
      </c>
      <c r="C26" s="3"/>
      <c r="D26" s="4">
        <f>IF(AND($A26&lt;&gt;"",$B26&lt;&gt;""),$K$9,"")</f>
        <v>300</v>
      </c>
      <c r="E26" s="4">
        <f>IF(AND($A26&lt;&gt;"",$B26&lt;&gt;""),G25*$K$8,"")</f>
        <v>77.420230082584851</v>
      </c>
      <c r="F26" s="4">
        <f>IF(AND($A26&lt;&gt;"",$B26&lt;&gt;""),D26-E26,"")</f>
        <v>222.57976991741515</v>
      </c>
      <c r="G26" s="4">
        <f>IF(AND($A26&lt;&gt;"",$B26&lt;&gt;""),G25-F26,"")</f>
        <v>24637.95549264197</v>
      </c>
      <c r="H26" s="4">
        <f>IF(AND($A26&lt;&gt;"",$B26&lt;&gt;""),$K$7-G26,"")</f>
        <v>5362.0445073580304</v>
      </c>
    </row>
    <row r="27" spans="1:11" x14ac:dyDescent="0.3">
      <c r="A27" s="19">
        <v>46291</v>
      </c>
      <c r="B27" s="24">
        <f>IF(A27&lt;&gt;"",B26+1,"")</f>
        <v>26</v>
      </c>
      <c r="C27" s="20"/>
      <c r="D27" s="21">
        <f>IF(AND($A27&lt;&gt;"",$B27&lt;&gt;""),$K$9,"")</f>
        <v>300</v>
      </c>
      <c r="E27" s="21">
        <f>IF(AND($A27&lt;&gt;"",$B27&lt;&gt;""),G26*$K$8,"")</f>
        <v>76.727076181562964</v>
      </c>
      <c r="F27" s="21">
        <f>IF(AND($A27&lt;&gt;"",$B27&lt;&gt;""),D27-E27,"")</f>
        <v>223.27292381843705</v>
      </c>
      <c r="G27" s="21">
        <f>IF(AND($A27&lt;&gt;"",$B27&lt;&gt;""),G26-F27,"")</f>
        <v>24414.682568823533</v>
      </c>
      <c r="H27" s="21">
        <f>IF(AND($A27&lt;&gt;"",$B27&lt;&gt;""),$K$7-G27,"")</f>
        <v>5585.3174311764669</v>
      </c>
    </row>
    <row r="28" spans="1:11" x14ac:dyDescent="0.3">
      <c r="A28" s="2">
        <v>46291</v>
      </c>
      <c r="B28" s="23">
        <f t="shared" si="3"/>
        <v>27</v>
      </c>
      <c r="C28" s="3"/>
      <c r="D28" s="4">
        <f t="shared" si="0"/>
        <v>300</v>
      </c>
      <c r="E28" s="4">
        <f t="shared" si="1"/>
        <v>76.031763673176727</v>
      </c>
      <c r="F28" s="4">
        <f t="shared" si="5"/>
        <v>223.96823632682327</v>
      </c>
      <c r="G28" s="4">
        <f t="shared" si="4"/>
        <v>24190.714332496711</v>
      </c>
      <c r="H28" s="4">
        <f t="shared" si="2"/>
        <v>5809.285667503289</v>
      </c>
    </row>
    <row r="29" spans="1:11" x14ac:dyDescent="0.3">
      <c r="A29" s="19">
        <v>46293</v>
      </c>
      <c r="B29" s="24">
        <f t="shared" si="3"/>
        <v>28</v>
      </c>
      <c r="C29" s="20"/>
      <c r="D29" s="21">
        <f t="shared" si="0"/>
        <v>300</v>
      </c>
      <c r="E29" s="21">
        <f t="shared" si="1"/>
        <v>75.334285835130046</v>
      </c>
      <c r="F29" s="21">
        <f t="shared" si="5"/>
        <v>224.66571416486994</v>
      </c>
      <c r="G29" s="21">
        <f t="shared" si="4"/>
        <v>23966.048618331843</v>
      </c>
      <c r="H29" s="21">
        <f t="shared" si="2"/>
        <v>6033.9513816681574</v>
      </c>
    </row>
    <row r="30" spans="1:11" x14ac:dyDescent="0.3">
      <c r="A30" s="2">
        <v>46294</v>
      </c>
      <c r="B30" s="23">
        <f t="shared" si="3"/>
        <v>29</v>
      </c>
      <c r="C30" s="3"/>
      <c r="D30" s="4">
        <f t="shared" si="0"/>
        <v>300</v>
      </c>
      <c r="E30" s="4">
        <f t="shared" si="1"/>
        <v>74.634635924192381</v>
      </c>
      <c r="F30" s="4">
        <f t="shared" si="5"/>
        <v>225.36536407580763</v>
      </c>
      <c r="G30" s="4">
        <f t="shared" si="4"/>
        <v>23740.683254256033</v>
      </c>
      <c r="H30" s="4">
        <f t="shared" si="2"/>
        <v>6259.3167457439667</v>
      </c>
    </row>
    <row r="31" spans="1:11" x14ac:dyDescent="0.3">
      <c r="A31" s="19">
        <v>46295</v>
      </c>
      <c r="B31" s="24">
        <f t="shared" si="3"/>
        <v>30</v>
      </c>
      <c r="C31" s="20"/>
      <c r="D31" s="21">
        <f t="shared" si="0"/>
        <v>300</v>
      </c>
      <c r="E31" s="21">
        <f t="shared" si="1"/>
        <v>73.932807176133537</v>
      </c>
      <c r="F31" s="21">
        <f t="shared" si="5"/>
        <v>226.06719282386646</v>
      </c>
      <c r="G31" s="21">
        <f t="shared" si="4"/>
        <v>23514.616061432167</v>
      </c>
      <c r="H31" s="21">
        <f t="shared" si="2"/>
        <v>6485.383938567833</v>
      </c>
    </row>
    <row r="32" spans="1:11" x14ac:dyDescent="0.3">
      <c r="A32" s="2">
        <v>46296</v>
      </c>
      <c r="B32" s="23">
        <f t="shared" si="3"/>
        <v>31</v>
      </c>
      <c r="C32" s="3"/>
      <c r="D32" s="4">
        <f t="shared" si="0"/>
        <v>300</v>
      </c>
      <c r="E32" s="4">
        <f t="shared" si="1"/>
        <v>73.228792805658316</v>
      </c>
      <c r="F32" s="4">
        <f t="shared" si="5"/>
        <v>226.77120719434168</v>
      </c>
      <c r="G32" s="4">
        <f t="shared" si="4"/>
        <v>23287.844854237825</v>
      </c>
      <c r="H32" s="4">
        <f t="shared" si="2"/>
        <v>6712.1551457621754</v>
      </c>
    </row>
    <row r="33" spans="1:8" x14ac:dyDescent="0.3">
      <c r="A33" s="19">
        <v>46297</v>
      </c>
      <c r="B33" s="24">
        <f t="shared" si="3"/>
        <v>32</v>
      </c>
      <c r="C33" s="20"/>
      <c r="D33" s="21">
        <f t="shared" si="0"/>
        <v>300</v>
      </c>
      <c r="E33" s="21">
        <f t="shared" si="1"/>
        <v>72.522586006340831</v>
      </c>
      <c r="F33" s="21">
        <f t="shared" si="5"/>
        <v>227.47741399365918</v>
      </c>
      <c r="G33" s="21">
        <f t="shared" si="4"/>
        <v>23060.367440244165</v>
      </c>
      <c r="H33" s="21">
        <f t="shared" si="2"/>
        <v>6939.6325597558352</v>
      </c>
    </row>
    <row r="34" spans="1:8" x14ac:dyDescent="0.3">
      <c r="A34" s="2">
        <v>46298</v>
      </c>
      <c r="B34" s="23">
        <f t="shared" si="3"/>
        <v>33</v>
      </c>
      <c r="C34" s="3"/>
      <c r="D34" s="4">
        <f t="shared" si="0"/>
        <v>300</v>
      </c>
      <c r="E34" s="4">
        <f t="shared" si="1"/>
        <v>71.814179950558767</v>
      </c>
      <c r="F34" s="4">
        <f t="shared" si="5"/>
        <v>228.18582004944125</v>
      </c>
      <c r="G34" s="4">
        <f t="shared" si="4"/>
        <v>22832.181620194722</v>
      </c>
      <c r="H34" s="4">
        <f t="shared" si="2"/>
        <v>7167.8183798052778</v>
      </c>
    </row>
    <row r="35" spans="1:8" x14ac:dyDescent="0.3">
      <c r="A35" s="19">
        <v>46299</v>
      </c>
      <c r="B35" s="24">
        <f t="shared" si="3"/>
        <v>34</v>
      </c>
      <c r="C35" s="20"/>
      <c r="D35" s="21">
        <f t="shared" si="0"/>
        <v>300</v>
      </c>
      <c r="E35" s="21">
        <f t="shared" si="1"/>
        <v>71.103567789427359</v>
      </c>
      <c r="F35" s="21">
        <f t="shared" si="5"/>
        <v>228.89643221057264</v>
      </c>
      <c r="G35" s="21">
        <f t="shared" si="4"/>
        <v>22603.285187984151</v>
      </c>
      <c r="H35" s="21">
        <f t="shared" si="2"/>
        <v>7396.714812015849</v>
      </c>
    </row>
    <row r="36" spans="1:8" x14ac:dyDescent="0.3">
      <c r="A36" s="2">
        <v>46300</v>
      </c>
      <c r="B36" s="23">
        <f t="shared" si="3"/>
        <v>35</v>
      </c>
      <c r="C36" s="3"/>
      <c r="D36" s="4">
        <f t="shared" si="0"/>
        <v>300</v>
      </c>
      <c r="E36" s="4">
        <f t="shared" si="1"/>
        <v>70.390742652733138</v>
      </c>
      <c r="F36" s="4">
        <f t="shared" si="5"/>
        <v>229.60925734726686</v>
      </c>
      <c r="G36" s="4">
        <f t="shared" si="4"/>
        <v>22373.675930636884</v>
      </c>
      <c r="H36" s="4">
        <f t="shared" si="2"/>
        <v>7626.324069363116</v>
      </c>
    </row>
    <row r="37" spans="1:8" x14ac:dyDescent="0.3">
      <c r="A37" s="19">
        <v>46301</v>
      </c>
      <c r="B37" s="24">
        <f t="shared" si="3"/>
        <v>36</v>
      </c>
      <c r="C37" s="20"/>
      <c r="D37" s="21">
        <f t="shared" si="0"/>
        <v>300</v>
      </c>
      <c r="E37" s="21">
        <f t="shared" si="1"/>
        <v>69.675697648867569</v>
      </c>
      <c r="F37" s="21">
        <f t="shared" si="5"/>
        <v>230.32430235113242</v>
      </c>
      <c r="G37" s="21">
        <f t="shared" si="4"/>
        <v>22143.351628285753</v>
      </c>
      <c r="H37" s="21">
        <f t="shared" si="2"/>
        <v>7856.6483717142473</v>
      </c>
    </row>
    <row r="38" spans="1:8" x14ac:dyDescent="0.3">
      <c r="A38" s="2">
        <v>46302</v>
      </c>
      <c r="B38" s="23">
        <f t="shared" si="3"/>
        <v>37</v>
      </c>
      <c r="C38" s="3"/>
      <c r="D38" s="4">
        <f t="shared" si="0"/>
        <v>300</v>
      </c>
      <c r="E38" s="4">
        <f t="shared" si="1"/>
        <v>68.958425864760386</v>
      </c>
      <c r="F38" s="4">
        <f t="shared" si="5"/>
        <v>231.04157413523961</v>
      </c>
      <c r="G38" s="4">
        <f t="shared" si="4"/>
        <v>21912.310054150512</v>
      </c>
      <c r="H38" s="4">
        <f t="shared" si="2"/>
        <v>8087.6899458494881</v>
      </c>
    </row>
    <row r="39" spans="1:8" x14ac:dyDescent="0.3">
      <c r="A39" s="19">
        <v>46303</v>
      </c>
      <c r="B39" s="24">
        <f t="shared" si="3"/>
        <v>38</v>
      </c>
      <c r="C39" s="20"/>
      <c r="D39" s="21">
        <f t="shared" si="0"/>
        <v>300</v>
      </c>
      <c r="E39" s="21">
        <f t="shared" si="1"/>
        <v>68.23892036581276</v>
      </c>
      <c r="F39" s="21">
        <f t="shared" si="5"/>
        <v>231.76107963418724</v>
      </c>
      <c r="G39" s="21">
        <f t="shared" si="4"/>
        <v>21680.548974516325</v>
      </c>
      <c r="H39" s="21">
        <f t="shared" si="2"/>
        <v>8319.451025483675</v>
      </c>
    </row>
    <row r="40" spans="1:8" x14ac:dyDescent="0.3">
      <c r="A40" s="2">
        <v>46304</v>
      </c>
      <c r="B40" s="23">
        <f t="shared" si="3"/>
        <v>39</v>
      </c>
      <c r="C40" s="3"/>
      <c r="D40" s="4">
        <f t="shared" si="0"/>
        <v>300</v>
      </c>
      <c r="E40" s="4">
        <f t="shared" si="1"/>
        <v>67.517174195830265</v>
      </c>
      <c r="F40" s="4">
        <f t="shared" si="5"/>
        <v>232.48282580416975</v>
      </c>
      <c r="G40" s="4">
        <f t="shared" si="4"/>
        <v>21448.066148712154</v>
      </c>
      <c r="H40" s="4">
        <f t="shared" si="2"/>
        <v>8551.9338512878458</v>
      </c>
    </row>
    <row r="41" spans="1:8" x14ac:dyDescent="0.3">
      <c r="A41" s="19">
        <v>46305</v>
      </c>
      <c r="B41" s="24">
        <f t="shared" si="3"/>
        <v>40</v>
      </c>
      <c r="C41" s="20"/>
      <c r="D41" s="21">
        <f t="shared" si="0"/>
        <v>300</v>
      </c>
      <c r="E41" s="21">
        <f t="shared" si="1"/>
        <v>66.793180376955618</v>
      </c>
      <c r="F41" s="21">
        <f t="shared" si="5"/>
        <v>233.2068196230444</v>
      </c>
      <c r="G41" s="21">
        <f t="shared" si="4"/>
        <v>21214.859329089111</v>
      </c>
      <c r="H41" s="21">
        <f t="shared" si="2"/>
        <v>8785.1406709108887</v>
      </c>
    </row>
    <row r="42" spans="1:8" x14ac:dyDescent="0.3">
      <c r="A42" s="2">
        <v>46306</v>
      </c>
      <c r="B42" s="23">
        <f t="shared" si="3"/>
        <v>41</v>
      </c>
      <c r="C42" s="3"/>
      <c r="D42" s="4">
        <f t="shared" si="0"/>
        <v>300</v>
      </c>
      <c r="E42" s="4">
        <f t="shared" si="1"/>
        <v>66.066931909601209</v>
      </c>
      <c r="F42" s="4">
        <f t="shared" si="5"/>
        <v>233.93306809039879</v>
      </c>
      <c r="G42" s="4">
        <f t="shared" si="4"/>
        <v>20980.926260998713</v>
      </c>
      <c r="H42" s="4">
        <f t="shared" si="2"/>
        <v>9019.0737390012873</v>
      </c>
    </row>
    <row r="43" spans="1:8" x14ac:dyDescent="0.3">
      <c r="A43" s="19">
        <v>46307</v>
      </c>
      <c r="B43" s="24">
        <f t="shared" si="3"/>
        <v>42</v>
      </c>
      <c r="C43" s="20"/>
      <c r="D43" s="21">
        <f t="shared" si="0"/>
        <v>300</v>
      </c>
      <c r="E43" s="21">
        <f t="shared" si="1"/>
        <v>65.338421772381452</v>
      </c>
      <c r="F43" s="21">
        <f t="shared" si="5"/>
        <v>234.66157822761855</v>
      </c>
      <c r="G43" s="21">
        <f t="shared" si="4"/>
        <v>20746.264682771092</v>
      </c>
      <c r="H43" s="21">
        <f t="shared" si="2"/>
        <v>9253.7353172289077</v>
      </c>
    </row>
    <row r="44" spans="1:8" x14ac:dyDescent="0.3">
      <c r="A44" s="2"/>
      <c r="B44" s="23" t="str">
        <f t="shared" si="3"/>
        <v/>
      </c>
      <c r="C44" s="3"/>
      <c r="D44" s="4" t="str">
        <f t="shared" si="0"/>
        <v/>
      </c>
      <c r="E44" s="4" t="str">
        <f t="shared" si="1"/>
        <v/>
      </c>
      <c r="F44" s="4" t="str">
        <f t="shared" si="5"/>
        <v/>
      </c>
      <c r="G44" s="4" t="str">
        <f t="shared" si="4"/>
        <v/>
      </c>
      <c r="H44" s="4" t="str">
        <f t="shared" si="2"/>
        <v/>
      </c>
    </row>
    <row r="45" spans="1:8" x14ac:dyDescent="0.3">
      <c r="A45" s="19"/>
      <c r="B45" s="24" t="str">
        <f t="shared" si="3"/>
        <v/>
      </c>
      <c r="C45" s="20"/>
      <c r="D45" s="21" t="str">
        <f t="shared" si="0"/>
        <v/>
      </c>
      <c r="E45" s="21" t="str">
        <f t="shared" si="1"/>
        <v/>
      </c>
      <c r="F45" s="21" t="str">
        <f t="shared" si="5"/>
        <v/>
      </c>
      <c r="G45" s="21" t="str">
        <f t="shared" si="4"/>
        <v/>
      </c>
      <c r="H45" s="21" t="str">
        <f t="shared" si="2"/>
        <v/>
      </c>
    </row>
    <row r="46" spans="1:8" x14ac:dyDescent="0.3">
      <c r="A46" s="2"/>
      <c r="B46" s="23" t="str">
        <f t="shared" si="3"/>
        <v/>
      </c>
      <c r="C46" s="3"/>
      <c r="D46" s="4" t="str">
        <f t="shared" si="0"/>
        <v/>
      </c>
      <c r="E46" s="4" t="str">
        <f t="shared" si="1"/>
        <v/>
      </c>
      <c r="F46" s="4" t="str">
        <f t="shared" si="5"/>
        <v/>
      </c>
      <c r="G46" s="4" t="str">
        <f t="shared" si="4"/>
        <v/>
      </c>
      <c r="H46" s="4" t="str">
        <f t="shared" si="2"/>
        <v/>
      </c>
    </row>
    <row r="47" spans="1:8" x14ac:dyDescent="0.3">
      <c r="A47" s="19"/>
      <c r="B47" s="24" t="str">
        <f t="shared" si="3"/>
        <v/>
      </c>
      <c r="C47" s="20"/>
      <c r="D47" s="21" t="str">
        <f t="shared" si="0"/>
        <v/>
      </c>
      <c r="E47" s="21" t="str">
        <f t="shared" si="1"/>
        <v/>
      </c>
      <c r="F47" s="21" t="str">
        <f t="shared" si="5"/>
        <v/>
      </c>
      <c r="G47" s="21" t="str">
        <f t="shared" si="4"/>
        <v/>
      </c>
      <c r="H47" s="21" t="str">
        <f t="shared" si="2"/>
        <v/>
      </c>
    </row>
    <row r="48" spans="1:8" x14ac:dyDescent="0.3">
      <c r="A48" s="2"/>
      <c r="B48" s="23" t="str">
        <f t="shared" si="3"/>
        <v/>
      </c>
      <c r="C48" s="3"/>
      <c r="D48" s="4" t="str">
        <f t="shared" si="0"/>
        <v/>
      </c>
      <c r="E48" s="4" t="str">
        <f t="shared" si="1"/>
        <v/>
      </c>
      <c r="F48" s="4" t="str">
        <f t="shared" si="5"/>
        <v/>
      </c>
      <c r="G48" s="4" t="str">
        <f t="shared" si="4"/>
        <v/>
      </c>
      <c r="H48" s="4" t="str">
        <f t="shared" si="2"/>
        <v/>
      </c>
    </row>
    <row r="49" spans="1:8" x14ac:dyDescent="0.3">
      <c r="A49" s="19"/>
      <c r="B49" s="24" t="str">
        <f t="shared" si="3"/>
        <v/>
      </c>
      <c r="C49" s="20"/>
      <c r="D49" s="21" t="str">
        <f t="shared" si="0"/>
        <v/>
      </c>
      <c r="E49" s="21" t="str">
        <f t="shared" si="1"/>
        <v/>
      </c>
      <c r="F49" s="21" t="str">
        <f t="shared" si="5"/>
        <v/>
      </c>
      <c r="G49" s="21" t="str">
        <f t="shared" si="4"/>
        <v/>
      </c>
      <c r="H49" s="21" t="str">
        <f t="shared" si="2"/>
        <v/>
      </c>
    </row>
    <row r="50" spans="1:8" x14ac:dyDescent="0.3">
      <c r="A50" s="2"/>
      <c r="B50" s="23" t="str">
        <f t="shared" si="3"/>
        <v/>
      </c>
      <c r="C50" s="3"/>
      <c r="D50" s="4" t="str">
        <f t="shared" si="0"/>
        <v/>
      </c>
      <c r="E50" s="4" t="str">
        <f t="shared" si="1"/>
        <v/>
      </c>
      <c r="F50" s="4" t="str">
        <f t="shared" si="5"/>
        <v/>
      </c>
      <c r="G50" s="4" t="str">
        <f t="shared" si="4"/>
        <v/>
      </c>
      <c r="H50" s="4" t="str">
        <f t="shared" si="2"/>
        <v/>
      </c>
    </row>
    <row r="51" spans="1:8" x14ac:dyDescent="0.3">
      <c r="A51" s="19"/>
      <c r="B51" s="24" t="str">
        <f t="shared" si="3"/>
        <v/>
      </c>
      <c r="C51" s="20"/>
      <c r="D51" s="21" t="str">
        <f t="shared" si="0"/>
        <v/>
      </c>
      <c r="E51" s="21" t="str">
        <f t="shared" si="1"/>
        <v/>
      </c>
      <c r="F51" s="21" t="str">
        <f t="shared" si="5"/>
        <v/>
      </c>
      <c r="G51" s="21" t="str">
        <f t="shared" si="4"/>
        <v/>
      </c>
      <c r="H51" s="21" t="str">
        <f t="shared" si="2"/>
        <v/>
      </c>
    </row>
    <row r="52" spans="1:8" x14ac:dyDescent="0.3">
      <c r="A52" s="2"/>
      <c r="B52" s="23" t="str">
        <f t="shared" si="3"/>
        <v/>
      </c>
      <c r="C52" s="3"/>
      <c r="D52" s="4" t="str">
        <f t="shared" si="0"/>
        <v/>
      </c>
      <c r="E52" s="4" t="str">
        <f t="shared" si="1"/>
        <v/>
      </c>
      <c r="F52" s="4" t="str">
        <f t="shared" si="5"/>
        <v/>
      </c>
      <c r="G52" s="4" t="str">
        <f t="shared" si="4"/>
        <v/>
      </c>
      <c r="H52" s="4" t="str">
        <f t="shared" si="2"/>
        <v/>
      </c>
    </row>
    <row r="53" spans="1:8" x14ac:dyDescent="0.3">
      <c r="A53" s="19"/>
      <c r="B53" s="24" t="str">
        <f t="shared" si="3"/>
        <v/>
      </c>
      <c r="C53" s="20"/>
      <c r="D53" s="21" t="str">
        <f t="shared" si="0"/>
        <v/>
      </c>
      <c r="E53" s="21" t="str">
        <f t="shared" si="1"/>
        <v/>
      </c>
      <c r="F53" s="21" t="str">
        <f t="shared" si="5"/>
        <v/>
      </c>
      <c r="G53" s="21" t="str">
        <f t="shared" si="4"/>
        <v/>
      </c>
      <c r="H53" s="21" t="str">
        <f t="shared" si="2"/>
        <v/>
      </c>
    </row>
    <row r="54" spans="1:8" x14ac:dyDescent="0.3">
      <c r="A54" s="2"/>
      <c r="B54" s="23" t="str">
        <f t="shared" si="3"/>
        <v/>
      </c>
      <c r="C54" s="3"/>
      <c r="D54" s="4" t="str">
        <f t="shared" si="0"/>
        <v/>
      </c>
      <c r="E54" s="4" t="str">
        <f t="shared" si="1"/>
        <v/>
      </c>
      <c r="F54" s="4" t="str">
        <f t="shared" si="5"/>
        <v/>
      </c>
      <c r="G54" s="4" t="str">
        <f t="shared" si="4"/>
        <v/>
      </c>
      <c r="H54" s="4" t="str">
        <f t="shared" si="2"/>
        <v/>
      </c>
    </row>
    <row r="55" spans="1:8" x14ac:dyDescent="0.3">
      <c r="A55" s="19"/>
      <c r="B55" s="24" t="str">
        <f t="shared" si="3"/>
        <v/>
      </c>
      <c r="C55" s="20"/>
      <c r="D55" s="21" t="str">
        <f t="shared" si="0"/>
        <v/>
      </c>
      <c r="E55" s="21" t="str">
        <f t="shared" si="1"/>
        <v/>
      </c>
      <c r="F55" s="21" t="str">
        <f t="shared" si="5"/>
        <v/>
      </c>
      <c r="G55" s="21" t="str">
        <f t="shared" si="4"/>
        <v/>
      </c>
      <c r="H55" s="21" t="str">
        <f t="shared" si="2"/>
        <v/>
      </c>
    </row>
    <row r="56" spans="1:8" x14ac:dyDescent="0.3">
      <c r="A56" s="2"/>
      <c r="B56" s="23" t="str">
        <f t="shared" si="3"/>
        <v/>
      </c>
      <c r="C56" s="3"/>
      <c r="D56" s="4" t="str">
        <f t="shared" si="0"/>
        <v/>
      </c>
      <c r="E56" s="4" t="str">
        <f t="shared" si="1"/>
        <v/>
      </c>
      <c r="F56" s="4" t="str">
        <f t="shared" si="5"/>
        <v/>
      </c>
      <c r="G56" s="4" t="str">
        <f t="shared" si="4"/>
        <v/>
      </c>
      <c r="H56" s="4" t="str">
        <f t="shared" si="2"/>
        <v/>
      </c>
    </row>
    <row r="57" spans="1:8" x14ac:dyDescent="0.3">
      <c r="A57" s="2"/>
      <c r="B57" s="24" t="str">
        <f t="shared" si="3"/>
        <v/>
      </c>
      <c r="C57" s="20"/>
      <c r="D57" s="21" t="str">
        <f t="shared" si="0"/>
        <v/>
      </c>
      <c r="E57" s="21" t="str">
        <f t="shared" si="1"/>
        <v/>
      </c>
      <c r="F57" s="21" t="str">
        <f t="shared" si="5"/>
        <v/>
      </c>
      <c r="G57" s="21" t="str">
        <f t="shared" si="4"/>
        <v/>
      </c>
      <c r="H57" s="21" t="str">
        <f t="shared" si="2"/>
        <v/>
      </c>
    </row>
    <row r="58" spans="1:8" x14ac:dyDescent="0.3">
      <c r="A58" s="2"/>
      <c r="B58" s="23" t="str">
        <f t="shared" si="3"/>
        <v/>
      </c>
      <c r="C58" s="3"/>
      <c r="D58" s="4" t="str">
        <f t="shared" si="0"/>
        <v/>
      </c>
      <c r="E58" s="4" t="str">
        <f t="shared" si="1"/>
        <v/>
      </c>
      <c r="F58" s="4" t="str">
        <f t="shared" si="5"/>
        <v/>
      </c>
      <c r="G58" s="4" t="str">
        <f t="shared" si="4"/>
        <v/>
      </c>
      <c r="H58" s="4" t="str">
        <f t="shared" si="2"/>
        <v/>
      </c>
    </row>
    <row r="59" spans="1:8" x14ac:dyDescent="0.3">
      <c r="A59" s="19"/>
      <c r="B59" s="24" t="str">
        <f t="shared" si="3"/>
        <v/>
      </c>
      <c r="C59" s="20"/>
      <c r="D59" s="21" t="str">
        <f t="shared" si="0"/>
        <v/>
      </c>
      <c r="E59" s="21" t="str">
        <f t="shared" si="1"/>
        <v/>
      </c>
      <c r="F59" s="21" t="str">
        <f t="shared" si="5"/>
        <v/>
      </c>
      <c r="G59" s="21" t="str">
        <f t="shared" si="4"/>
        <v/>
      </c>
      <c r="H59" s="21" t="str">
        <f t="shared" si="2"/>
        <v/>
      </c>
    </row>
    <row r="60" spans="1:8" x14ac:dyDescent="0.3">
      <c r="A60" s="2"/>
      <c r="B60" s="23" t="str">
        <f t="shared" si="3"/>
        <v/>
      </c>
      <c r="C60" s="3"/>
      <c r="D60" s="4" t="str">
        <f t="shared" si="0"/>
        <v/>
      </c>
      <c r="E60" s="4" t="str">
        <f t="shared" si="1"/>
        <v/>
      </c>
      <c r="F60" s="4" t="str">
        <f t="shared" si="5"/>
        <v/>
      </c>
      <c r="G60" s="4" t="str">
        <f t="shared" si="4"/>
        <v/>
      </c>
      <c r="H60" s="4" t="str">
        <f t="shared" si="2"/>
        <v/>
      </c>
    </row>
    <row r="61" spans="1:8" x14ac:dyDescent="0.3">
      <c r="A61" s="19"/>
      <c r="B61" s="24" t="str">
        <f t="shared" si="3"/>
        <v/>
      </c>
      <c r="C61" s="20"/>
      <c r="D61" s="21" t="str">
        <f t="shared" si="0"/>
        <v/>
      </c>
      <c r="E61" s="21" t="str">
        <f t="shared" si="1"/>
        <v/>
      </c>
      <c r="F61" s="21" t="str">
        <f t="shared" si="5"/>
        <v/>
      </c>
      <c r="G61" s="21" t="str">
        <f t="shared" si="4"/>
        <v/>
      </c>
      <c r="H61" s="21" t="str">
        <f t="shared" si="2"/>
        <v/>
      </c>
    </row>
    <row r="62" spans="1:8" x14ac:dyDescent="0.3">
      <c r="A62" s="2"/>
      <c r="B62" s="23" t="str">
        <f t="shared" si="3"/>
        <v/>
      </c>
      <c r="C62" s="3"/>
      <c r="D62" s="4" t="str">
        <f t="shared" si="0"/>
        <v/>
      </c>
      <c r="E62" s="4" t="str">
        <f t="shared" si="1"/>
        <v/>
      </c>
      <c r="F62" s="4" t="str">
        <f t="shared" si="5"/>
        <v/>
      </c>
      <c r="G62" s="4" t="str">
        <f t="shared" si="4"/>
        <v/>
      </c>
      <c r="H62" s="4" t="str">
        <f t="shared" si="2"/>
        <v/>
      </c>
    </row>
    <row r="63" spans="1:8" x14ac:dyDescent="0.3">
      <c r="A63" s="19"/>
      <c r="B63" s="24" t="str">
        <f t="shared" si="3"/>
        <v/>
      </c>
      <c r="C63" s="20"/>
      <c r="D63" s="21" t="str">
        <f t="shared" si="0"/>
        <v/>
      </c>
      <c r="E63" s="21" t="str">
        <f t="shared" si="1"/>
        <v/>
      </c>
      <c r="F63" s="21" t="str">
        <f t="shared" si="5"/>
        <v/>
      </c>
      <c r="G63" s="21" t="str">
        <f t="shared" si="4"/>
        <v/>
      </c>
      <c r="H63" s="21" t="str">
        <f t="shared" si="2"/>
        <v/>
      </c>
    </row>
    <row r="64" spans="1:8" x14ac:dyDescent="0.3">
      <c r="A64" s="2"/>
      <c r="B64" s="23" t="str">
        <f t="shared" si="3"/>
        <v/>
      </c>
      <c r="C64" s="3"/>
      <c r="D64" s="4" t="str">
        <f t="shared" si="0"/>
        <v/>
      </c>
      <c r="E64" s="4" t="str">
        <f t="shared" si="1"/>
        <v/>
      </c>
      <c r="F64" s="4" t="str">
        <f t="shared" si="5"/>
        <v/>
      </c>
      <c r="G64" s="4" t="str">
        <f t="shared" si="4"/>
        <v/>
      </c>
      <c r="H64" s="4" t="str">
        <f t="shared" si="2"/>
        <v/>
      </c>
    </row>
    <row r="65" spans="1:8" x14ac:dyDescent="0.3">
      <c r="A65" s="19"/>
      <c r="B65" s="24" t="str">
        <f t="shared" si="3"/>
        <v/>
      </c>
      <c r="C65" s="20"/>
      <c r="D65" s="21" t="str">
        <f t="shared" si="0"/>
        <v/>
      </c>
      <c r="E65" s="21" t="str">
        <f t="shared" si="1"/>
        <v/>
      </c>
      <c r="F65" s="21" t="str">
        <f t="shared" si="5"/>
        <v/>
      </c>
      <c r="G65" s="21" t="str">
        <f t="shared" si="4"/>
        <v/>
      </c>
      <c r="H65" s="21" t="str">
        <f t="shared" si="2"/>
        <v/>
      </c>
    </row>
    <row r="66" spans="1:8" x14ac:dyDescent="0.3">
      <c r="A66" s="2"/>
      <c r="B66" s="23" t="str">
        <f t="shared" si="3"/>
        <v/>
      </c>
      <c r="C66" s="3"/>
      <c r="D66" s="4" t="str">
        <f t="shared" ref="D66:D121" si="6">IF(AND($A66&lt;&gt;"",$B66&lt;&gt;""),$K$9,"")</f>
        <v/>
      </c>
      <c r="E66" s="4" t="str">
        <f t="shared" si="1"/>
        <v/>
      </c>
      <c r="F66" s="4" t="str">
        <f t="shared" si="5"/>
        <v/>
      </c>
      <c r="G66" s="4" t="str">
        <f t="shared" si="4"/>
        <v/>
      </c>
      <c r="H66" s="4" t="str">
        <f t="shared" si="2"/>
        <v/>
      </c>
    </row>
    <row r="67" spans="1:8" x14ac:dyDescent="0.3">
      <c r="A67" s="19"/>
      <c r="B67" s="24" t="str">
        <f t="shared" si="3"/>
        <v/>
      </c>
      <c r="C67" s="20"/>
      <c r="D67" s="21" t="str">
        <f t="shared" si="6"/>
        <v/>
      </c>
      <c r="E67" s="21" t="str">
        <f t="shared" ref="E67:E121" si="7">IF(AND($A67&lt;&gt;"",$B67&lt;&gt;""),G66*$K$8,"")</f>
        <v/>
      </c>
      <c r="F67" s="21" t="str">
        <f t="shared" si="5"/>
        <v/>
      </c>
      <c r="G67" s="21" t="str">
        <f t="shared" si="4"/>
        <v/>
      </c>
      <c r="H67" s="21" t="str">
        <f t="shared" ref="H67:H121" si="8">IF(AND($A67&lt;&gt;"",$B67&lt;&gt;""),$K$7-G67,"")</f>
        <v/>
      </c>
    </row>
    <row r="68" spans="1:8" x14ac:dyDescent="0.3">
      <c r="A68" s="2"/>
      <c r="B68" s="23" t="str">
        <f t="shared" ref="B68:B121" si="9">IF(A68&lt;&gt;"",B67+1,"")</f>
        <v/>
      </c>
      <c r="C68" s="3"/>
      <c r="D68" s="4" t="str">
        <f t="shared" si="6"/>
        <v/>
      </c>
      <c r="E68" s="4" t="str">
        <f t="shared" si="7"/>
        <v/>
      </c>
      <c r="F68" s="4" t="str">
        <f t="shared" si="5"/>
        <v/>
      </c>
      <c r="G68" s="4" t="str">
        <f t="shared" si="4"/>
        <v/>
      </c>
      <c r="H68" s="4" t="str">
        <f t="shared" si="8"/>
        <v/>
      </c>
    </row>
    <row r="69" spans="1:8" x14ac:dyDescent="0.3">
      <c r="A69" s="19"/>
      <c r="B69" s="24" t="str">
        <f t="shared" si="9"/>
        <v/>
      </c>
      <c r="C69" s="20"/>
      <c r="D69" s="21" t="str">
        <f t="shared" si="6"/>
        <v/>
      </c>
      <c r="E69" s="21" t="str">
        <f t="shared" si="7"/>
        <v/>
      </c>
      <c r="F69" s="21" t="str">
        <f t="shared" si="5"/>
        <v/>
      </c>
      <c r="G69" s="21" t="str">
        <f t="shared" si="4"/>
        <v/>
      </c>
      <c r="H69" s="21" t="str">
        <f t="shared" si="8"/>
        <v/>
      </c>
    </row>
    <row r="70" spans="1:8" x14ac:dyDescent="0.3">
      <c r="A70" s="2"/>
      <c r="B70" s="23" t="str">
        <f t="shared" si="9"/>
        <v/>
      </c>
      <c r="C70" s="3"/>
      <c r="D70" s="4" t="str">
        <f t="shared" si="6"/>
        <v/>
      </c>
      <c r="E70" s="4" t="str">
        <f t="shared" si="7"/>
        <v/>
      </c>
      <c r="F70" s="4" t="str">
        <f t="shared" si="5"/>
        <v/>
      </c>
      <c r="G70" s="4" t="str">
        <f t="shared" ref="G70:G121" si="10">IF(AND($A70&lt;&gt;"",$B70&lt;&gt;""),G69-F70,"")</f>
        <v/>
      </c>
      <c r="H70" s="4" t="str">
        <f t="shared" si="8"/>
        <v/>
      </c>
    </row>
    <row r="71" spans="1:8" x14ac:dyDescent="0.3">
      <c r="A71" s="19"/>
      <c r="B71" s="24" t="str">
        <f t="shared" si="9"/>
        <v/>
      </c>
      <c r="C71" s="20"/>
      <c r="D71" s="21" t="str">
        <f t="shared" si="6"/>
        <v/>
      </c>
      <c r="E71" s="21" t="str">
        <f t="shared" si="7"/>
        <v/>
      </c>
      <c r="F71" s="21" t="str">
        <f t="shared" ref="F71:F121" si="11">IF(AND($A71&lt;&gt;"",$B71&lt;&gt;""),D71-E71,"")</f>
        <v/>
      </c>
      <c r="G71" s="21" t="str">
        <f t="shared" si="10"/>
        <v/>
      </c>
      <c r="H71" s="21" t="str">
        <f t="shared" si="8"/>
        <v/>
      </c>
    </row>
    <row r="72" spans="1:8" x14ac:dyDescent="0.3">
      <c r="A72" s="2"/>
      <c r="B72" s="23" t="str">
        <f t="shared" si="9"/>
        <v/>
      </c>
      <c r="C72" s="3"/>
      <c r="D72" s="4" t="str">
        <f t="shared" si="6"/>
        <v/>
      </c>
      <c r="E72" s="4" t="str">
        <f t="shared" si="7"/>
        <v/>
      </c>
      <c r="F72" s="4" t="str">
        <f t="shared" si="11"/>
        <v/>
      </c>
      <c r="G72" s="4" t="str">
        <f t="shared" si="10"/>
        <v/>
      </c>
      <c r="H72" s="4" t="str">
        <f t="shared" si="8"/>
        <v/>
      </c>
    </row>
    <row r="73" spans="1:8" x14ac:dyDescent="0.3">
      <c r="A73" s="19"/>
      <c r="B73" s="24" t="str">
        <f t="shared" si="9"/>
        <v/>
      </c>
      <c r="C73" s="20"/>
      <c r="D73" s="21" t="str">
        <f t="shared" si="6"/>
        <v/>
      </c>
      <c r="E73" s="21" t="str">
        <f t="shared" si="7"/>
        <v/>
      </c>
      <c r="F73" s="21" t="str">
        <f t="shared" si="11"/>
        <v/>
      </c>
      <c r="G73" s="21" t="str">
        <f t="shared" si="10"/>
        <v/>
      </c>
      <c r="H73" s="21" t="str">
        <f t="shared" si="8"/>
        <v/>
      </c>
    </row>
    <row r="74" spans="1:8" x14ac:dyDescent="0.3">
      <c r="A74" s="2"/>
      <c r="B74" s="23" t="str">
        <f t="shared" si="9"/>
        <v/>
      </c>
      <c r="C74" s="3"/>
      <c r="D74" s="4" t="str">
        <f t="shared" si="6"/>
        <v/>
      </c>
      <c r="E74" s="4" t="str">
        <f t="shared" si="7"/>
        <v/>
      </c>
      <c r="F74" s="4" t="str">
        <f t="shared" si="11"/>
        <v/>
      </c>
      <c r="G74" s="4" t="str">
        <f t="shared" si="10"/>
        <v/>
      </c>
      <c r="H74" s="4" t="str">
        <f t="shared" si="8"/>
        <v/>
      </c>
    </row>
    <row r="75" spans="1:8" x14ac:dyDescent="0.3">
      <c r="A75" s="19"/>
      <c r="B75" s="24" t="str">
        <f t="shared" si="9"/>
        <v/>
      </c>
      <c r="C75" s="20"/>
      <c r="D75" s="21" t="str">
        <f t="shared" si="6"/>
        <v/>
      </c>
      <c r="E75" s="21" t="str">
        <f t="shared" si="7"/>
        <v/>
      </c>
      <c r="F75" s="21" t="str">
        <f t="shared" si="11"/>
        <v/>
      </c>
      <c r="G75" s="21" t="str">
        <f t="shared" si="10"/>
        <v/>
      </c>
      <c r="H75" s="21" t="str">
        <f t="shared" si="8"/>
        <v/>
      </c>
    </row>
    <row r="76" spans="1:8" x14ac:dyDescent="0.3">
      <c r="A76" s="2"/>
      <c r="B76" s="23" t="str">
        <f t="shared" si="9"/>
        <v/>
      </c>
      <c r="C76" s="3"/>
      <c r="D76" s="4" t="str">
        <f t="shared" si="6"/>
        <v/>
      </c>
      <c r="E76" s="4" t="str">
        <f t="shared" si="7"/>
        <v/>
      </c>
      <c r="F76" s="4" t="str">
        <f t="shared" si="11"/>
        <v/>
      </c>
      <c r="G76" s="4" t="str">
        <f t="shared" si="10"/>
        <v/>
      </c>
      <c r="H76" s="4" t="str">
        <f t="shared" si="8"/>
        <v/>
      </c>
    </row>
    <row r="77" spans="1:8" x14ac:dyDescent="0.3">
      <c r="A77" s="19"/>
      <c r="B77" s="24" t="str">
        <f t="shared" si="9"/>
        <v/>
      </c>
      <c r="C77" s="20"/>
      <c r="D77" s="21" t="str">
        <f t="shared" si="6"/>
        <v/>
      </c>
      <c r="E77" s="21" t="str">
        <f t="shared" si="7"/>
        <v/>
      </c>
      <c r="F77" s="21" t="str">
        <f t="shared" si="11"/>
        <v/>
      </c>
      <c r="G77" s="21" t="str">
        <f t="shared" si="10"/>
        <v/>
      </c>
      <c r="H77" s="21" t="str">
        <f t="shared" si="8"/>
        <v/>
      </c>
    </row>
    <row r="78" spans="1:8" x14ac:dyDescent="0.3">
      <c r="A78" s="2"/>
      <c r="B78" s="23" t="str">
        <f t="shared" si="9"/>
        <v/>
      </c>
      <c r="C78" s="3"/>
      <c r="D78" s="4" t="str">
        <f t="shared" si="6"/>
        <v/>
      </c>
      <c r="E78" s="4" t="str">
        <f t="shared" si="7"/>
        <v/>
      </c>
      <c r="F78" s="4" t="str">
        <f t="shared" si="11"/>
        <v/>
      </c>
      <c r="G78" s="4" t="str">
        <f t="shared" si="10"/>
        <v/>
      </c>
      <c r="H78" s="4" t="str">
        <f t="shared" si="8"/>
        <v/>
      </c>
    </row>
    <row r="79" spans="1:8" x14ac:dyDescent="0.3">
      <c r="A79" s="19"/>
      <c r="B79" s="24" t="str">
        <f t="shared" si="9"/>
        <v/>
      </c>
      <c r="C79" s="20"/>
      <c r="D79" s="21" t="str">
        <f t="shared" si="6"/>
        <v/>
      </c>
      <c r="E79" s="21" t="str">
        <f t="shared" si="7"/>
        <v/>
      </c>
      <c r="F79" s="21" t="str">
        <f t="shared" si="11"/>
        <v/>
      </c>
      <c r="G79" s="21" t="str">
        <f t="shared" si="10"/>
        <v/>
      </c>
      <c r="H79" s="21" t="str">
        <f t="shared" si="8"/>
        <v/>
      </c>
    </row>
    <row r="80" spans="1:8" x14ac:dyDescent="0.3">
      <c r="A80" s="2"/>
      <c r="B80" s="23" t="str">
        <f t="shared" si="9"/>
        <v/>
      </c>
      <c r="C80" s="3"/>
      <c r="D80" s="4" t="str">
        <f t="shared" si="6"/>
        <v/>
      </c>
      <c r="E80" s="4" t="str">
        <f t="shared" si="7"/>
        <v/>
      </c>
      <c r="F80" s="4" t="str">
        <f t="shared" si="11"/>
        <v/>
      </c>
      <c r="G80" s="4" t="str">
        <f t="shared" si="10"/>
        <v/>
      </c>
      <c r="H80" s="4" t="str">
        <f t="shared" si="8"/>
        <v/>
      </c>
    </row>
    <row r="81" spans="1:8" x14ac:dyDescent="0.3">
      <c r="A81" s="19"/>
      <c r="B81" s="24" t="str">
        <f t="shared" si="9"/>
        <v/>
      </c>
      <c r="C81" s="20"/>
      <c r="D81" s="21" t="str">
        <f t="shared" si="6"/>
        <v/>
      </c>
      <c r="E81" s="21" t="str">
        <f t="shared" si="7"/>
        <v/>
      </c>
      <c r="F81" s="21" t="str">
        <f t="shared" si="11"/>
        <v/>
      </c>
      <c r="G81" s="21" t="str">
        <f t="shared" si="10"/>
        <v/>
      </c>
      <c r="H81" s="21" t="str">
        <f t="shared" si="8"/>
        <v/>
      </c>
    </row>
    <row r="82" spans="1:8" x14ac:dyDescent="0.3">
      <c r="A82" s="2"/>
      <c r="B82" s="23" t="str">
        <f t="shared" si="9"/>
        <v/>
      </c>
      <c r="C82" s="3"/>
      <c r="D82" s="4" t="str">
        <f t="shared" si="6"/>
        <v/>
      </c>
      <c r="E82" s="4" t="str">
        <f t="shared" si="7"/>
        <v/>
      </c>
      <c r="F82" s="4" t="str">
        <f t="shared" si="11"/>
        <v/>
      </c>
      <c r="G82" s="4" t="str">
        <f t="shared" si="10"/>
        <v/>
      </c>
      <c r="H82" s="4" t="str">
        <f t="shared" si="8"/>
        <v/>
      </c>
    </row>
    <row r="83" spans="1:8" x14ac:dyDescent="0.3">
      <c r="A83" s="19"/>
      <c r="B83" s="24" t="str">
        <f t="shared" si="9"/>
        <v/>
      </c>
      <c r="C83" s="20"/>
      <c r="D83" s="21" t="str">
        <f t="shared" si="6"/>
        <v/>
      </c>
      <c r="E83" s="21" t="str">
        <f t="shared" si="7"/>
        <v/>
      </c>
      <c r="F83" s="21" t="str">
        <f t="shared" si="11"/>
        <v/>
      </c>
      <c r="G83" s="21" t="str">
        <f t="shared" si="10"/>
        <v/>
      </c>
      <c r="H83" s="21" t="str">
        <f t="shared" si="8"/>
        <v/>
      </c>
    </row>
    <row r="84" spans="1:8" x14ac:dyDescent="0.3">
      <c r="A84" s="2"/>
      <c r="B84" s="23" t="str">
        <f t="shared" si="9"/>
        <v/>
      </c>
      <c r="C84" s="3"/>
      <c r="D84" s="4" t="str">
        <f t="shared" si="6"/>
        <v/>
      </c>
      <c r="E84" s="4" t="str">
        <f t="shared" si="7"/>
        <v/>
      </c>
      <c r="F84" s="4" t="str">
        <f t="shared" si="11"/>
        <v/>
      </c>
      <c r="G84" s="4" t="str">
        <f t="shared" si="10"/>
        <v/>
      </c>
      <c r="H84" s="4" t="str">
        <f t="shared" si="8"/>
        <v/>
      </c>
    </row>
    <row r="85" spans="1:8" x14ac:dyDescent="0.3">
      <c r="A85" s="19"/>
      <c r="B85" s="24" t="str">
        <f t="shared" si="9"/>
        <v/>
      </c>
      <c r="C85" s="20"/>
      <c r="D85" s="21" t="str">
        <f t="shared" si="6"/>
        <v/>
      </c>
      <c r="E85" s="21" t="str">
        <f t="shared" si="7"/>
        <v/>
      </c>
      <c r="F85" s="21" t="str">
        <f t="shared" si="11"/>
        <v/>
      </c>
      <c r="G85" s="21" t="str">
        <f t="shared" si="10"/>
        <v/>
      </c>
      <c r="H85" s="21" t="str">
        <f t="shared" si="8"/>
        <v/>
      </c>
    </row>
    <row r="86" spans="1:8" x14ac:dyDescent="0.3">
      <c r="A86" s="2"/>
      <c r="B86" s="23" t="str">
        <f t="shared" si="9"/>
        <v/>
      </c>
      <c r="C86" s="3"/>
      <c r="D86" s="4" t="str">
        <f t="shared" si="6"/>
        <v/>
      </c>
      <c r="E86" s="4" t="str">
        <f t="shared" si="7"/>
        <v/>
      </c>
      <c r="F86" s="4" t="str">
        <f t="shared" si="11"/>
        <v/>
      </c>
      <c r="G86" s="4" t="str">
        <f t="shared" si="10"/>
        <v/>
      </c>
      <c r="H86" s="4" t="str">
        <f t="shared" si="8"/>
        <v/>
      </c>
    </row>
    <row r="87" spans="1:8" x14ac:dyDescent="0.3">
      <c r="A87" s="19"/>
      <c r="B87" s="24" t="str">
        <f t="shared" si="9"/>
        <v/>
      </c>
      <c r="C87" s="20"/>
      <c r="D87" s="21" t="str">
        <f t="shared" si="6"/>
        <v/>
      </c>
      <c r="E87" s="21" t="str">
        <f t="shared" si="7"/>
        <v/>
      </c>
      <c r="F87" s="21" t="str">
        <f t="shared" si="11"/>
        <v/>
      </c>
      <c r="G87" s="21" t="str">
        <f t="shared" si="10"/>
        <v/>
      </c>
      <c r="H87" s="21" t="str">
        <f t="shared" si="8"/>
        <v/>
      </c>
    </row>
    <row r="88" spans="1:8" x14ac:dyDescent="0.3">
      <c r="A88" s="2"/>
      <c r="B88" s="23" t="str">
        <f t="shared" si="9"/>
        <v/>
      </c>
      <c r="C88" s="3"/>
      <c r="D88" s="4" t="str">
        <f t="shared" si="6"/>
        <v/>
      </c>
      <c r="E88" s="4" t="str">
        <f t="shared" si="7"/>
        <v/>
      </c>
      <c r="F88" s="4" t="str">
        <f t="shared" si="11"/>
        <v/>
      </c>
      <c r="G88" s="4" t="str">
        <f t="shared" si="10"/>
        <v/>
      </c>
      <c r="H88" s="4" t="str">
        <f t="shared" si="8"/>
        <v/>
      </c>
    </row>
    <row r="89" spans="1:8" x14ac:dyDescent="0.3">
      <c r="A89" s="19"/>
      <c r="B89" s="24" t="str">
        <f t="shared" si="9"/>
        <v/>
      </c>
      <c r="C89" s="20"/>
      <c r="D89" s="21" t="str">
        <f t="shared" si="6"/>
        <v/>
      </c>
      <c r="E89" s="21" t="str">
        <f t="shared" si="7"/>
        <v/>
      </c>
      <c r="F89" s="21" t="str">
        <f t="shared" si="11"/>
        <v/>
      </c>
      <c r="G89" s="21" t="str">
        <f t="shared" si="10"/>
        <v/>
      </c>
      <c r="H89" s="21" t="str">
        <f t="shared" si="8"/>
        <v/>
      </c>
    </row>
    <row r="90" spans="1:8" x14ac:dyDescent="0.3">
      <c r="A90" s="2"/>
      <c r="B90" s="23" t="str">
        <f t="shared" si="9"/>
        <v/>
      </c>
      <c r="C90" s="3"/>
      <c r="D90" s="4" t="str">
        <f t="shared" si="6"/>
        <v/>
      </c>
      <c r="E90" s="4" t="str">
        <f t="shared" si="7"/>
        <v/>
      </c>
      <c r="F90" s="4" t="str">
        <f t="shared" si="11"/>
        <v/>
      </c>
      <c r="G90" s="4" t="str">
        <f t="shared" si="10"/>
        <v/>
      </c>
      <c r="H90" s="4" t="str">
        <f t="shared" si="8"/>
        <v/>
      </c>
    </row>
    <row r="91" spans="1:8" x14ac:dyDescent="0.3">
      <c r="A91" s="19"/>
      <c r="B91" s="24" t="str">
        <f t="shared" si="9"/>
        <v/>
      </c>
      <c r="C91" s="20"/>
      <c r="D91" s="21" t="str">
        <f t="shared" si="6"/>
        <v/>
      </c>
      <c r="E91" s="21" t="str">
        <f t="shared" si="7"/>
        <v/>
      </c>
      <c r="F91" s="21" t="str">
        <f t="shared" si="11"/>
        <v/>
      </c>
      <c r="G91" s="21" t="str">
        <f t="shared" si="10"/>
        <v/>
      </c>
      <c r="H91" s="21" t="str">
        <f t="shared" si="8"/>
        <v/>
      </c>
    </row>
    <row r="92" spans="1:8" x14ac:dyDescent="0.3">
      <c r="A92" s="2"/>
      <c r="B92" s="23" t="str">
        <f t="shared" si="9"/>
        <v/>
      </c>
      <c r="C92" s="3"/>
      <c r="D92" s="4" t="str">
        <f t="shared" si="6"/>
        <v/>
      </c>
      <c r="E92" s="4" t="str">
        <f t="shared" si="7"/>
        <v/>
      </c>
      <c r="F92" s="4" t="str">
        <f t="shared" si="11"/>
        <v/>
      </c>
      <c r="G92" s="4" t="str">
        <f t="shared" si="10"/>
        <v/>
      </c>
      <c r="H92" s="4" t="str">
        <f t="shared" si="8"/>
        <v/>
      </c>
    </row>
    <row r="93" spans="1:8" x14ac:dyDescent="0.3">
      <c r="A93" s="19"/>
      <c r="B93" s="24" t="str">
        <f t="shared" si="9"/>
        <v/>
      </c>
      <c r="C93" s="20"/>
      <c r="D93" s="21" t="str">
        <f t="shared" si="6"/>
        <v/>
      </c>
      <c r="E93" s="21" t="str">
        <f t="shared" si="7"/>
        <v/>
      </c>
      <c r="F93" s="21" t="str">
        <f t="shared" si="11"/>
        <v/>
      </c>
      <c r="G93" s="21" t="str">
        <f t="shared" si="10"/>
        <v/>
      </c>
      <c r="H93" s="21" t="str">
        <f t="shared" si="8"/>
        <v/>
      </c>
    </row>
    <row r="94" spans="1:8" x14ac:dyDescent="0.3">
      <c r="A94" s="2"/>
      <c r="B94" s="23" t="str">
        <f t="shared" si="9"/>
        <v/>
      </c>
      <c r="C94" s="3"/>
      <c r="D94" s="4" t="str">
        <f t="shared" si="6"/>
        <v/>
      </c>
      <c r="E94" s="4" t="str">
        <f t="shared" si="7"/>
        <v/>
      </c>
      <c r="F94" s="4" t="str">
        <f t="shared" si="11"/>
        <v/>
      </c>
      <c r="G94" s="4" t="str">
        <f t="shared" si="10"/>
        <v/>
      </c>
      <c r="H94" s="4" t="str">
        <f t="shared" si="8"/>
        <v/>
      </c>
    </row>
    <row r="95" spans="1:8" x14ac:dyDescent="0.3">
      <c r="A95" s="19"/>
      <c r="B95" s="24" t="str">
        <f t="shared" si="9"/>
        <v/>
      </c>
      <c r="C95" s="20"/>
      <c r="D95" s="21" t="str">
        <f t="shared" si="6"/>
        <v/>
      </c>
      <c r="E95" s="21" t="str">
        <f t="shared" si="7"/>
        <v/>
      </c>
      <c r="F95" s="21" t="str">
        <f t="shared" si="11"/>
        <v/>
      </c>
      <c r="G95" s="21" t="str">
        <f t="shared" si="10"/>
        <v/>
      </c>
      <c r="H95" s="21" t="str">
        <f t="shared" si="8"/>
        <v/>
      </c>
    </row>
    <row r="96" spans="1:8" x14ac:dyDescent="0.3">
      <c r="A96" s="2"/>
      <c r="B96" s="23" t="str">
        <f t="shared" si="9"/>
        <v/>
      </c>
      <c r="C96" s="3"/>
      <c r="D96" s="4" t="str">
        <f t="shared" si="6"/>
        <v/>
      </c>
      <c r="E96" s="4" t="str">
        <f t="shared" si="7"/>
        <v/>
      </c>
      <c r="F96" s="4" t="str">
        <f t="shared" si="11"/>
        <v/>
      </c>
      <c r="G96" s="4" t="str">
        <f t="shared" si="10"/>
        <v/>
      </c>
      <c r="H96" s="4" t="str">
        <f t="shared" si="8"/>
        <v/>
      </c>
    </row>
    <row r="97" spans="1:8" x14ac:dyDescent="0.3">
      <c r="A97" s="19"/>
      <c r="B97" s="24" t="str">
        <f t="shared" si="9"/>
        <v/>
      </c>
      <c r="C97" s="20"/>
      <c r="D97" s="21" t="str">
        <f t="shared" si="6"/>
        <v/>
      </c>
      <c r="E97" s="21" t="str">
        <f t="shared" si="7"/>
        <v/>
      </c>
      <c r="F97" s="21" t="str">
        <f t="shared" si="11"/>
        <v/>
      </c>
      <c r="G97" s="21" t="str">
        <f t="shared" si="10"/>
        <v/>
      </c>
      <c r="H97" s="21" t="str">
        <f t="shared" si="8"/>
        <v/>
      </c>
    </row>
    <row r="98" spans="1:8" x14ac:dyDescent="0.3">
      <c r="A98" s="2"/>
      <c r="B98" s="23" t="str">
        <f t="shared" si="9"/>
        <v/>
      </c>
      <c r="C98" s="3"/>
      <c r="D98" s="4" t="str">
        <f t="shared" si="6"/>
        <v/>
      </c>
      <c r="E98" s="4" t="str">
        <f t="shared" si="7"/>
        <v/>
      </c>
      <c r="F98" s="4" t="str">
        <f t="shared" si="11"/>
        <v/>
      </c>
      <c r="G98" s="4" t="str">
        <f t="shared" si="10"/>
        <v/>
      </c>
      <c r="H98" s="4" t="str">
        <f t="shared" si="8"/>
        <v/>
      </c>
    </row>
    <row r="99" spans="1:8" x14ac:dyDescent="0.3">
      <c r="A99" s="19"/>
      <c r="B99" s="24" t="str">
        <f t="shared" si="9"/>
        <v/>
      </c>
      <c r="C99" s="20"/>
      <c r="D99" s="21" t="str">
        <f t="shared" si="6"/>
        <v/>
      </c>
      <c r="E99" s="21" t="str">
        <f t="shared" si="7"/>
        <v/>
      </c>
      <c r="F99" s="21" t="str">
        <f t="shared" si="11"/>
        <v/>
      </c>
      <c r="G99" s="21" t="str">
        <f t="shared" si="10"/>
        <v/>
      </c>
      <c r="H99" s="21" t="str">
        <f t="shared" si="8"/>
        <v/>
      </c>
    </row>
    <row r="100" spans="1:8" x14ac:dyDescent="0.3">
      <c r="A100" s="2"/>
      <c r="B100" s="23" t="str">
        <f t="shared" si="9"/>
        <v/>
      </c>
      <c r="C100" s="3"/>
      <c r="D100" s="4" t="str">
        <f t="shared" si="6"/>
        <v/>
      </c>
      <c r="E100" s="4" t="str">
        <f t="shared" si="7"/>
        <v/>
      </c>
      <c r="F100" s="4" t="str">
        <f t="shared" si="11"/>
        <v/>
      </c>
      <c r="G100" s="4" t="str">
        <f t="shared" si="10"/>
        <v/>
      </c>
      <c r="H100" s="4" t="str">
        <f t="shared" si="8"/>
        <v/>
      </c>
    </row>
    <row r="101" spans="1:8" x14ac:dyDescent="0.3">
      <c r="A101" s="19"/>
      <c r="B101" s="24" t="str">
        <f t="shared" si="9"/>
        <v/>
      </c>
      <c r="C101" s="20"/>
      <c r="D101" s="21" t="str">
        <f t="shared" si="6"/>
        <v/>
      </c>
      <c r="E101" s="21" t="str">
        <f t="shared" si="7"/>
        <v/>
      </c>
      <c r="F101" s="21" t="str">
        <f t="shared" si="11"/>
        <v/>
      </c>
      <c r="G101" s="21" t="str">
        <f t="shared" si="10"/>
        <v/>
      </c>
      <c r="H101" s="21" t="str">
        <f t="shared" si="8"/>
        <v/>
      </c>
    </row>
    <row r="102" spans="1:8" x14ac:dyDescent="0.3">
      <c r="A102" s="2"/>
      <c r="B102" s="23" t="str">
        <f t="shared" si="9"/>
        <v/>
      </c>
      <c r="C102" s="3"/>
      <c r="D102" s="4" t="str">
        <f t="shared" si="6"/>
        <v/>
      </c>
      <c r="E102" s="4" t="str">
        <f t="shared" si="7"/>
        <v/>
      </c>
      <c r="F102" s="4" t="str">
        <f t="shared" si="11"/>
        <v/>
      </c>
      <c r="G102" s="4" t="str">
        <f t="shared" si="10"/>
        <v/>
      </c>
      <c r="H102" s="4" t="str">
        <f t="shared" si="8"/>
        <v/>
      </c>
    </row>
    <row r="103" spans="1:8" x14ac:dyDescent="0.3">
      <c r="A103" s="19"/>
      <c r="B103" s="24" t="str">
        <f t="shared" si="9"/>
        <v/>
      </c>
      <c r="C103" s="20"/>
      <c r="D103" s="21" t="str">
        <f t="shared" si="6"/>
        <v/>
      </c>
      <c r="E103" s="21" t="str">
        <f t="shared" si="7"/>
        <v/>
      </c>
      <c r="F103" s="21" t="str">
        <f t="shared" si="11"/>
        <v/>
      </c>
      <c r="G103" s="21" t="str">
        <f t="shared" si="10"/>
        <v/>
      </c>
      <c r="H103" s="21" t="str">
        <f t="shared" si="8"/>
        <v/>
      </c>
    </row>
    <row r="104" spans="1:8" x14ac:dyDescent="0.3">
      <c r="A104" s="2"/>
      <c r="B104" s="23" t="str">
        <f t="shared" si="9"/>
        <v/>
      </c>
      <c r="C104" s="3"/>
      <c r="D104" s="4" t="str">
        <f t="shared" si="6"/>
        <v/>
      </c>
      <c r="E104" s="4" t="str">
        <f t="shared" si="7"/>
        <v/>
      </c>
      <c r="F104" s="4" t="str">
        <f t="shared" si="11"/>
        <v/>
      </c>
      <c r="G104" s="4" t="str">
        <f t="shared" si="10"/>
        <v/>
      </c>
      <c r="H104" s="4" t="str">
        <f t="shared" si="8"/>
        <v/>
      </c>
    </row>
    <row r="105" spans="1:8" x14ac:dyDescent="0.3">
      <c r="A105" s="19"/>
      <c r="B105" s="24" t="str">
        <f t="shared" si="9"/>
        <v/>
      </c>
      <c r="C105" s="20"/>
      <c r="D105" s="21" t="str">
        <f t="shared" si="6"/>
        <v/>
      </c>
      <c r="E105" s="21" t="str">
        <f t="shared" si="7"/>
        <v/>
      </c>
      <c r="F105" s="21" t="str">
        <f t="shared" si="11"/>
        <v/>
      </c>
      <c r="G105" s="21" t="str">
        <f t="shared" si="10"/>
        <v/>
      </c>
      <c r="H105" s="21" t="str">
        <f t="shared" si="8"/>
        <v/>
      </c>
    </row>
    <row r="106" spans="1:8" x14ac:dyDescent="0.3">
      <c r="A106" s="2"/>
      <c r="B106" s="23" t="str">
        <f t="shared" si="9"/>
        <v/>
      </c>
      <c r="C106" s="3"/>
      <c r="D106" s="4" t="str">
        <f t="shared" si="6"/>
        <v/>
      </c>
      <c r="E106" s="4" t="str">
        <f t="shared" si="7"/>
        <v/>
      </c>
      <c r="F106" s="4" t="str">
        <f t="shared" si="11"/>
        <v/>
      </c>
      <c r="G106" s="4" t="str">
        <f t="shared" si="10"/>
        <v/>
      </c>
      <c r="H106" s="4" t="str">
        <f t="shared" si="8"/>
        <v/>
      </c>
    </row>
    <row r="107" spans="1:8" x14ac:dyDescent="0.3">
      <c r="A107" s="19"/>
      <c r="B107" s="24" t="str">
        <f t="shared" si="9"/>
        <v/>
      </c>
      <c r="C107" s="20"/>
      <c r="D107" s="21" t="str">
        <f t="shared" si="6"/>
        <v/>
      </c>
      <c r="E107" s="21" t="str">
        <f t="shared" si="7"/>
        <v/>
      </c>
      <c r="F107" s="21" t="str">
        <f t="shared" si="11"/>
        <v/>
      </c>
      <c r="G107" s="21" t="str">
        <f t="shared" si="10"/>
        <v/>
      </c>
      <c r="H107" s="21" t="str">
        <f t="shared" si="8"/>
        <v/>
      </c>
    </row>
    <row r="108" spans="1:8" x14ac:dyDescent="0.3">
      <c r="A108" s="2"/>
      <c r="B108" s="23" t="str">
        <f t="shared" si="9"/>
        <v/>
      </c>
      <c r="C108" s="3"/>
      <c r="D108" s="4" t="str">
        <f t="shared" si="6"/>
        <v/>
      </c>
      <c r="E108" s="4" t="str">
        <f t="shared" si="7"/>
        <v/>
      </c>
      <c r="F108" s="4" t="str">
        <f t="shared" si="11"/>
        <v/>
      </c>
      <c r="G108" s="4" t="str">
        <f t="shared" si="10"/>
        <v/>
      </c>
      <c r="H108" s="4" t="str">
        <f t="shared" si="8"/>
        <v/>
      </c>
    </row>
    <row r="109" spans="1:8" x14ac:dyDescent="0.3">
      <c r="A109" s="19"/>
      <c r="B109" s="24" t="str">
        <f t="shared" si="9"/>
        <v/>
      </c>
      <c r="C109" s="20"/>
      <c r="D109" s="21" t="str">
        <f t="shared" si="6"/>
        <v/>
      </c>
      <c r="E109" s="21" t="str">
        <f t="shared" si="7"/>
        <v/>
      </c>
      <c r="F109" s="21" t="str">
        <f t="shared" si="11"/>
        <v/>
      </c>
      <c r="G109" s="21" t="str">
        <f t="shared" si="10"/>
        <v/>
      </c>
      <c r="H109" s="21" t="str">
        <f t="shared" si="8"/>
        <v/>
      </c>
    </row>
    <row r="110" spans="1:8" x14ac:dyDescent="0.3">
      <c r="A110" s="2"/>
      <c r="B110" s="23" t="str">
        <f t="shared" si="9"/>
        <v/>
      </c>
      <c r="C110" s="3"/>
      <c r="D110" s="4" t="str">
        <f t="shared" si="6"/>
        <v/>
      </c>
      <c r="E110" s="4" t="str">
        <f t="shared" si="7"/>
        <v/>
      </c>
      <c r="F110" s="4" t="str">
        <f t="shared" si="11"/>
        <v/>
      </c>
      <c r="G110" s="4" t="str">
        <f t="shared" si="10"/>
        <v/>
      </c>
      <c r="H110" s="4" t="str">
        <f t="shared" si="8"/>
        <v/>
      </c>
    </row>
    <row r="111" spans="1:8" x14ac:dyDescent="0.3">
      <c r="A111" s="19"/>
      <c r="B111" s="24" t="str">
        <f t="shared" si="9"/>
        <v/>
      </c>
      <c r="C111" s="20"/>
      <c r="D111" s="21" t="str">
        <f t="shared" si="6"/>
        <v/>
      </c>
      <c r="E111" s="21" t="str">
        <f t="shared" si="7"/>
        <v/>
      </c>
      <c r="F111" s="21" t="str">
        <f t="shared" si="11"/>
        <v/>
      </c>
      <c r="G111" s="21" t="str">
        <f t="shared" si="10"/>
        <v/>
      </c>
      <c r="H111" s="21" t="str">
        <f t="shared" si="8"/>
        <v/>
      </c>
    </row>
    <row r="112" spans="1:8" x14ac:dyDescent="0.3">
      <c r="A112" s="2"/>
      <c r="B112" s="23" t="str">
        <f t="shared" si="9"/>
        <v/>
      </c>
      <c r="C112" s="3"/>
      <c r="D112" s="4" t="str">
        <f t="shared" si="6"/>
        <v/>
      </c>
      <c r="E112" s="4" t="str">
        <f t="shared" si="7"/>
        <v/>
      </c>
      <c r="F112" s="4" t="str">
        <f t="shared" si="11"/>
        <v/>
      </c>
      <c r="G112" s="4" t="str">
        <f t="shared" si="10"/>
        <v/>
      </c>
      <c r="H112" s="4" t="str">
        <f t="shared" si="8"/>
        <v/>
      </c>
    </row>
    <row r="113" spans="1:8" x14ac:dyDescent="0.3">
      <c r="A113" s="19"/>
      <c r="B113" s="24" t="str">
        <f t="shared" si="9"/>
        <v/>
      </c>
      <c r="C113" s="20"/>
      <c r="D113" s="21" t="str">
        <f t="shared" si="6"/>
        <v/>
      </c>
      <c r="E113" s="21" t="str">
        <f t="shared" si="7"/>
        <v/>
      </c>
      <c r="F113" s="21" t="str">
        <f t="shared" si="11"/>
        <v/>
      </c>
      <c r="G113" s="21" t="str">
        <f t="shared" si="10"/>
        <v/>
      </c>
      <c r="H113" s="21" t="str">
        <f t="shared" si="8"/>
        <v/>
      </c>
    </row>
    <row r="114" spans="1:8" x14ac:dyDescent="0.3">
      <c r="A114" s="2"/>
      <c r="B114" s="23" t="str">
        <f t="shared" si="9"/>
        <v/>
      </c>
      <c r="C114" s="3"/>
      <c r="D114" s="4" t="str">
        <f t="shared" si="6"/>
        <v/>
      </c>
      <c r="E114" s="4" t="str">
        <f t="shared" si="7"/>
        <v/>
      </c>
      <c r="F114" s="4" t="str">
        <f t="shared" si="11"/>
        <v/>
      </c>
      <c r="G114" s="4" t="str">
        <f t="shared" si="10"/>
        <v/>
      </c>
      <c r="H114" s="4" t="str">
        <f t="shared" si="8"/>
        <v/>
      </c>
    </row>
    <row r="115" spans="1:8" x14ac:dyDescent="0.3">
      <c r="A115" s="19"/>
      <c r="B115" s="24" t="str">
        <f t="shared" si="9"/>
        <v/>
      </c>
      <c r="C115" s="20"/>
      <c r="D115" s="21" t="str">
        <f t="shared" si="6"/>
        <v/>
      </c>
      <c r="E115" s="21" t="str">
        <f t="shared" si="7"/>
        <v/>
      </c>
      <c r="F115" s="21" t="str">
        <f t="shared" si="11"/>
        <v/>
      </c>
      <c r="G115" s="21" t="str">
        <f t="shared" si="10"/>
        <v/>
      </c>
      <c r="H115" s="21" t="str">
        <f t="shared" si="8"/>
        <v/>
      </c>
    </row>
    <row r="116" spans="1:8" x14ac:dyDescent="0.3">
      <c r="A116" s="2"/>
      <c r="B116" s="23" t="str">
        <f t="shared" si="9"/>
        <v/>
      </c>
      <c r="C116" s="3"/>
      <c r="D116" s="4" t="str">
        <f t="shared" si="6"/>
        <v/>
      </c>
      <c r="E116" s="4" t="str">
        <f t="shared" si="7"/>
        <v/>
      </c>
      <c r="F116" s="4" t="str">
        <f t="shared" si="11"/>
        <v/>
      </c>
      <c r="G116" s="4" t="str">
        <f t="shared" si="10"/>
        <v/>
      </c>
      <c r="H116" s="4" t="str">
        <f t="shared" si="8"/>
        <v/>
      </c>
    </row>
    <row r="117" spans="1:8" x14ac:dyDescent="0.3">
      <c r="A117" s="19"/>
      <c r="B117" s="24" t="str">
        <f t="shared" si="9"/>
        <v/>
      </c>
      <c r="C117" s="20"/>
      <c r="D117" s="21" t="str">
        <f t="shared" si="6"/>
        <v/>
      </c>
      <c r="E117" s="21" t="str">
        <f t="shared" si="7"/>
        <v/>
      </c>
      <c r="F117" s="21" t="str">
        <f t="shared" si="11"/>
        <v/>
      </c>
      <c r="G117" s="21" t="str">
        <f t="shared" si="10"/>
        <v/>
      </c>
      <c r="H117" s="21" t="str">
        <f t="shared" si="8"/>
        <v/>
      </c>
    </row>
    <row r="118" spans="1:8" x14ac:dyDescent="0.3">
      <c r="A118" s="2"/>
      <c r="B118" s="23" t="str">
        <f t="shared" si="9"/>
        <v/>
      </c>
      <c r="C118" s="3"/>
      <c r="D118" s="4" t="str">
        <f t="shared" si="6"/>
        <v/>
      </c>
      <c r="E118" s="4" t="str">
        <f t="shared" si="7"/>
        <v/>
      </c>
      <c r="F118" s="4" t="str">
        <f t="shared" si="11"/>
        <v/>
      </c>
      <c r="G118" s="4" t="str">
        <f t="shared" si="10"/>
        <v/>
      </c>
      <c r="H118" s="4" t="str">
        <f t="shared" si="8"/>
        <v/>
      </c>
    </row>
    <row r="119" spans="1:8" x14ac:dyDescent="0.3">
      <c r="A119" s="19"/>
      <c r="B119" s="24" t="str">
        <f t="shared" si="9"/>
        <v/>
      </c>
      <c r="C119" s="20"/>
      <c r="D119" s="21" t="str">
        <f t="shared" si="6"/>
        <v/>
      </c>
      <c r="E119" s="21" t="str">
        <f t="shared" si="7"/>
        <v/>
      </c>
      <c r="F119" s="21" t="str">
        <f t="shared" si="11"/>
        <v/>
      </c>
      <c r="G119" s="21" t="str">
        <f t="shared" si="10"/>
        <v/>
      </c>
      <c r="H119" s="21" t="str">
        <f t="shared" si="8"/>
        <v/>
      </c>
    </row>
    <row r="120" spans="1:8" x14ac:dyDescent="0.3">
      <c r="A120" s="2"/>
      <c r="B120" s="23" t="str">
        <f t="shared" si="9"/>
        <v/>
      </c>
      <c r="C120" s="3"/>
      <c r="D120" s="4" t="str">
        <f t="shared" si="6"/>
        <v/>
      </c>
      <c r="E120" s="4" t="str">
        <f t="shared" si="7"/>
        <v/>
      </c>
      <c r="F120" s="4" t="str">
        <f t="shared" si="11"/>
        <v/>
      </c>
      <c r="G120" s="4" t="str">
        <f t="shared" si="10"/>
        <v/>
      </c>
      <c r="H120" s="4" t="str">
        <f t="shared" si="8"/>
        <v/>
      </c>
    </row>
    <row r="121" spans="1:8" x14ac:dyDescent="0.3">
      <c r="A121" s="19"/>
      <c r="B121" s="24" t="str">
        <f t="shared" si="9"/>
        <v/>
      </c>
      <c r="C121" s="20"/>
      <c r="D121" s="21" t="str">
        <f t="shared" si="6"/>
        <v/>
      </c>
      <c r="E121" s="21" t="str">
        <f t="shared" si="7"/>
        <v/>
      </c>
      <c r="F121" s="21" t="str">
        <f t="shared" si="11"/>
        <v/>
      </c>
      <c r="G121" s="21" t="str">
        <f t="shared" si="10"/>
        <v/>
      </c>
      <c r="H121" s="21" t="str">
        <f t="shared" si="8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Loan1</vt:lpstr>
      <vt:lpstr>Loan2</vt:lpstr>
      <vt:lpstr>218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2026-10-13T06:50:31Z</dcterms:modified>
</cp:coreProperties>
</file>