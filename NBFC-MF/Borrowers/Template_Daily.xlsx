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4" l="1"/>
  <c r="K13" i="4"/>
  <c r="B2" i="4" l="1"/>
  <c r="B3" i="4"/>
  <c r="B118" i="4"/>
  <c r="B119" i="4"/>
  <c r="B120" i="4"/>
  <c r="B121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59" i="4"/>
  <c r="B60" i="4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1" i="4"/>
  <c r="B32" i="4"/>
  <c r="B33" i="4"/>
  <c r="B34" i="4"/>
  <c r="B35" i="4"/>
  <c r="B36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2" i="4"/>
  <c r="B13" i="4"/>
  <c r="B14" i="4"/>
  <c r="B15" i="4"/>
  <c r="B16" i="4"/>
  <c r="B17" i="4"/>
  <c r="B6" i="4"/>
  <c r="B7" i="4"/>
  <c r="B8" i="4"/>
  <c r="B9" i="4"/>
  <c r="B10" i="4"/>
  <c r="B11" i="4"/>
  <c r="B4" i="4"/>
  <c r="B5" i="4"/>
  <c r="K16" i="4" l="1"/>
  <c r="K17" i="4" s="1"/>
  <c r="K2" i="4" l="1"/>
  <c r="K12" i="4" l="1"/>
  <c r="E13" i="4"/>
  <c r="E29" i="4"/>
  <c r="E47" i="4"/>
  <c r="E63" i="4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F29" i="4" s="1"/>
  <c r="G29" i="4" s="1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F13" i="4" s="1"/>
  <c r="G13" i="4" s="1"/>
  <c r="D2" i="4"/>
  <c r="D3" i="4"/>
  <c r="F121" i="4" l="1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H29" i="4"/>
  <c r="E30" i="4"/>
  <c r="F30" i="4" s="1"/>
  <c r="G30" i="4" s="1"/>
  <c r="F14" i="4"/>
  <c r="G14" i="4" s="1"/>
  <c r="H13" i="4"/>
  <c r="E14" i="4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/>
  <c r="G15" i="4"/>
  <c r="H14" i="4"/>
  <c r="E15" i="4"/>
  <c r="F15" i="4" s="1"/>
  <c r="E7" i="4"/>
  <c r="F7" i="4" s="1"/>
  <c r="G7" i="4"/>
  <c r="H107" i="4" l="1"/>
  <c r="G108" i="4"/>
  <c r="E108" i="4"/>
  <c r="F108" i="4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/>
  <c r="H31" i="4"/>
  <c r="G16" i="4"/>
  <c r="H15" i="4"/>
  <c r="E16" i="4"/>
  <c r="F16" i="4" s="1"/>
  <c r="E8" i="4"/>
  <c r="F8" i="4" s="1"/>
  <c r="G8" i="4"/>
  <c r="H7" i="4"/>
  <c r="E109" i="4" l="1"/>
  <c r="F109" i="4" s="1"/>
  <c r="H108" i="4"/>
  <c r="G109" i="4"/>
  <c r="E91" i="4"/>
  <c r="F91" i="4" s="1"/>
  <c r="G91" i="4"/>
  <c r="H90" i="4"/>
  <c r="H66" i="4"/>
  <c r="E67" i="4"/>
  <c r="F67" i="4" s="1"/>
  <c r="G67" i="4" s="1"/>
  <c r="G51" i="4"/>
  <c r="E51" i="4"/>
  <c r="F51" i="4" s="1"/>
  <c r="H50" i="4"/>
  <c r="E33" i="4"/>
  <c r="F33" i="4" s="1"/>
  <c r="G33" i="4" s="1"/>
  <c r="H32" i="4"/>
  <c r="E17" i="4"/>
  <c r="F17" i="4" s="1"/>
  <c r="G17" i="4" s="1"/>
  <c r="H16" i="4"/>
  <c r="H8" i="4"/>
  <c r="E9" i="4"/>
  <c r="F9" i="4" s="1"/>
  <c r="G9" i="4" s="1"/>
  <c r="E110" i="4" l="1"/>
  <c r="F110" i="4" s="1"/>
  <c r="G110" i="4" s="1"/>
  <c r="H109" i="4"/>
  <c r="H91" i="4"/>
  <c r="E92" i="4"/>
  <c r="F92" i="4" s="1"/>
  <c r="G92" i="4"/>
  <c r="H67" i="4"/>
  <c r="E68" i="4"/>
  <c r="F68" i="4" s="1"/>
  <c r="G68" i="4"/>
  <c r="H51" i="4"/>
  <c r="E52" i="4"/>
  <c r="F52" i="4" s="1"/>
  <c r="G52" i="4" s="1"/>
  <c r="H33" i="4"/>
  <c r="E34" i="4"/>
  <c r="F34" i="4" s="1"/>
  <c r="G34" i="4" s="1"/>
  <c r="H17" i="4"/>
  <c r="G18" i="4"/>
  <c r="E18" i="4"/>
  <c r="F18" i="4" s="1"/>
  <c r="E10" i="4"/>
  <c r="F10" i="4" s="1"/>
  <c r="G10" i="4" s="1"/>
  <c r="H9" i="4"/>
  <c r="G111" i="4" l="1"/>
  <c r="E111" i="4"/>
  <c r="F111" i="4" s="1"/>
  <c r="H110" i="4"/>
  <c r="H92" i="4"/>
  <c r="E93" i="4"/>
  <c r="F93" i="4" s="1"/>
  <c r="G93" i="4" s="1"/>
  <c r="H68" i="4"/>
  <c r="E69" i="4"/>
  <c r="F69" i="4" s="1"/>
  <c r="G69" i="4" s="1"/>
  <c r="G53" i="4"/>
  <c r="E53" i="4"/>
  <c r="F53" i="4" s="1"/>
  <c r="H52" i="4"/>
  <c r="E35" i="4"/>
  <c r="F35" i="4" s="1"/>
  <c r="H34" i="4"/>
  <c r="G35" i="4"/>
  <c r="E19" i="4"/>
  <c r="F19" i="4" s="1"/>
  <c r="G19" i="4" s="1"/>
  <c r="H18" i="4"/>
  <c r="H10" i="4"/>
  <c r="E11" i="4"/>
  <c r="F11" i="4" s="1"/>
  <c r="G11" i="4" s="1"/>
  <c r="E112" i="4" l="1"/>
  <c r="F112" i="4" s="1"/>
  <c r="G112" i="4" s="1"/>
  <c r="H111" i="4"/>
  <c r="H93" i="4"/>
  <c r="E94" i="4"/>
  <c r="F94" i="4" s="1"/>
  <c r="G94" i="4" s="1"/>
  <c r="H69" i="4"/>
  <c r="E70" i="4"/>
  <c r="F70" i="4" s="1"/>
  <c r="G70" i="4" s="1"/>
  <c r="G54" i="4"/>
  <c r="E54" i="4"/>
  <c r="F54" i="4" s="1"/>
  <c r="H53" i="4"/>
  <c r="E36" i="4"/>
  <c r="F36" i="4" s="1"/>
  <c r="G36" i="4"/>
  <c r="H35" i="4"/>
  <c r="H19" i="4"/>
  <c r="G20" i="4"/>
  <c r="E20" i="4"/>
  <c r="F20" i="4" s="1"/>
  <c r="H11" i="4"/>
  <c r="E12" i="4"/>
  <c r="F12" i="4" s="1"/>
  <c r="G12" i="4"/>
  <c r="H12" i="4" s="1"/>
  <c r="E113" i="4" l="1"/>
  <c r="F113" i="4" s="1"/>
  <c r="H112" i="4"/>
  <c r="G113" i="4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E21" i="4"/>
  <c r="F21" i="4" s="1"/>
  <c r="G21" i="4" s="1"/>
  <c r="H20" i="4"/>
  <c r="H113" i="4" l="1"/>
  <c r="E114" i="4"/>
  <c r="F114" i="4" s="1"/>
  <c r="G114" i="4"/>
  <c r="H95" i="4"/>
  <c r="E96" i="4"/>
  <c r="F96" i="4" s="1"/>
  <c r="G96" i="4"/>
  <c r="H71" i="4"/>
  <c r="E72" i="4"/>
  <c r="F72" i="4" s="1"/>
  <c r="G72" i="4"/>
  <c r="H55" i="4"/>
  <c r="E56" i="4"/>
  <c r="F56" i="4" s="1"/>
  <c r="G56" i="4" s="1"/>
  <c r="H37" i="4"/>
  <c r="E38" i="4"/>
  <c r="F38" i="4" s="1"/>
  <c r="G38" i="4" s="1"/>
  <c r="H21" i="4"/>
  <c r="E22" i="4"/>
  <c r="F22" i="4" s="1"/>
  <c r="G22" i="4" s="1"/>
  <c r="E115" i="4" l="1"/>
  <c r="F115" i="4" s="1"/>
  <c r="G115" i="4" s="1"/>
  <c r="H114" i="4"/>
  <c r="H96" i="4"/>
  <c r="E97" i="4"/>
  <c r="F97" i="4" s="1"/>
  <c r="G97" i="4" s="1"/>
  <c r="H72" i="4"/>
  <c r="E73" i="4"/>
  <c r="F73" i="4" s="1"/>
  <c r="G73" i="4" s="1"/>
  <c r="G57" i="4"/>
  <c r="E57" i="4"/>
  <c r="F57" i="4" s="1"/>
  <c r="H56" i="4"/>
  <c r="H38" i="4"/>
  <c r="E39" i="4"/>
  <c r="F39" i="4" s="1"/>
  <c r="G39" i="4"/>
  <c r="H22" i="4"/>
  <c r="E23" i="4"/>
  <c r="F23" i="4" s="1"/>
  <c r="G23" i="4" s="1"/>
  <c r="H115" i="4" l="1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23" i="4"/>
  <c r="E24" i="4"/>
  <c r="F24" i="4" s="1"/>
  <c r="G24" i="4" s="1"/>
  <c r="H116" i="4" l="1"/>
  <c r="E117" i="4"/>
  <c r="F117" i="4" s="1"/>
  <c r="G117" i="4" s="1"/>
  <c r="E99" i="4"/>
  <c r="F99" i="4" s="1"/>
  <c r="G99" i="4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E25" i="4"/>
  <c r="F25" i="4" s="1"/>
  <c r="G25" i="4" s="1"/>
  <c r="H24" i="4"/>
  <c r="E118" i="4" l="1"/>
  <c r="F118" i="4" s="1"/>
  <c r="G118" i="4" s="1"/>
  <c r="H117" i="4"/>
  <c r="H99" i="4"/>
  <c r="E100" i="4"/>
  <c r="F100" i="4" s="1"/>
  <c r="G100" i="4"/>
  <c r="H75" i="4"/>
  <c r="E76" i="4"/>
  <c r="F76" i="4" s="1"/>
  <c r="G76" i="4"/>
  <c r="H59" i="4"/>
  <c r="E60" i="4"/>
  <c r="F60" i="4" s="1"/>
  <c r="G60" i="4" s="1"/>
  <c r="H41" i="4"/>
  <c r="E42" i="4"/>
  <c r="F42" i="4" s="1"/>
  <c r="G42" i="4" s="1"/>
  <c r="H25" i="4"/>
  <c r="E26" i="4"/>
  <c r="F26" i="4" s="1"/>
  <c r="G26" i="4" s="1"/>
  <c r="H118" i="4" l="1"/>
  <c r="E119" i="4"/>
  <c r="F119" i="4" s="1"/>
  <c r="G119" i="4" s="1"/>
  <c r="H119" i="4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E27" i="4"/>
  <c r="F27" i="4" s="1"/>
  <c r="G27" i="4" s="1"/>
  <c r="H26" i="4"/>
  <c r="H101" i="4" l="1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H27" i="4"/>
  <c r="E28" i="4"/>
  <c r="F28" i="4" s="1"/>
  <c r="G28" i="4" s="1"/>
  <c r="H28" i="4" s="1"/>
  <c r="E103" i="4" l="1"/>
  <c r="F103" i="4" s="1"/>
  <c r="G103" i="4"/>
  <c r="H102" i="4"/>
  <c r="H78" i="4"/>
  <c r="E79" i="4"/>
  <c r="F79" i="4" s="1"/>
  <c r="G79" i="4" s="1"/>
  <c r="G45" i="4"/>
  <c r="E45" i="4"/>
  <c r="F45" i="4" s="1"/>
  <c r="H44" i="4"/>
  <c r="H103" i="4" l="1"/>
  <c r="E104" i="4"/>
  <c r="F104" i="4" s="1"/>
  <c r="G104" i="4"/>
  <c r="H104" i="4" s="1"/>
  <c r="H79" i="4"/>
  <c r="E80" i="4"/>
  <c r="F80" i="4" s="1"/>
  <c r="G80" i="4"/>
  <c r="H45" i="4"/>
  <c r="E46" i="4"/>
  <c r="F46" i="4" s="1"/>
  <c r="G46" i="4" s="1"/>
  <c r="H46" i="4" s="1"/>
  <c r="H80" i="4" l="1"/>
  <c r="E81" i="4"/>
  <c r="F81" i="4" s="1"/>
  <c r="G81" i="4" s="1"/>
  <c r="H81" i="4" l="1"/>
  <c r="E82" i="4"/>
  <c r="F82" i="4" s="1"/>
  <c r="G82" i="4" s="1"/>
  <c r="F3" i="4"/>
  <c r="G3" i="4" s="1"/>
  <c r="E4" i="4" l="1"/>
  <c r="H3" i="4"/>
  <c r="H82" i="4"/>
  <c r="E83" i="4"/>
  <c r="F83" i="4" s="1"/>
  <c r="G83" i="4" s="1"/>
  <c r="F4" i="4"/>
  <c r="G4" i="4" s="1"/>
  <c r="E5" i="4" l="1"/>
  <c r="F5" i="4" s="1"/>
  <c r="G5" i="4" s="1"/>
  <c r="H4" i="4"/>
  <c r="H83" i="4"/>
  <c r="E84" i="4"/>
  <c r="F84" i="4" s="1"/>
  <c r="G84" i="4"/>
  <c r="H5" i="4" l="1"/>
  <c r="E6" i="4"/>
  <c r="F6" i="4" s="1"/>
  <c r="G6" i="4" s="1"/>
  <c r="H84" i="4"/>
  <c r="E85" i="4"/>
  <c r="F85" i="4" s="1"/>
  <c r="G85" i="4" s="1"/>
  <c r="H6" i="4" l="1"/>
  <c r="K15" i="4" s="1"/>
  <c r="H85" i="4"/>
  <c r="E86" i="4"/>
  <c r="F86" i="4" s="1"/>
  <c r="G86" i="4" s="1"/>
  <c r="H86" i="4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<sst xmlns="http://schemas.openxmlformats.org/spreadsheetml/2006/main" count="25" uniqueCount="24">
  <si>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</si>
  <si>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</si>
  <si>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</si>
  <si>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</si>
  <si>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</si>
  <si>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</si>
  <si>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</si>
  <si>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</si>
  <si>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</si>
  <si>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</si>
  <si>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</si>
  <si>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</si>
  <si>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</si>
  <si>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</si>
  <si>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</si>
  <si>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</si>
  <si>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</si>
  <si>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</si>
  <si>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</si>
  <si>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</si>
  <si>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Reena_Devi</t>
  </si>
  <si>
    <t>Reference Id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</si>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</sst>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9"/>
      <color theme="0" tint="-0.149998474074526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2" activePane="bottomLeft" state="frozen"/>
      <selection pane="bottomLeft" activeCell="K2" sqref="K2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4.140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21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/>
      <c r="B2" s="23" t="str">
        <f>IF(A2&lt;&gt;"",1,"")</f>
        <v/>
      </c>
      <c r="C2" s="3"/>
      <c r="D2" s="4" t="str">
        <f t="shared" ref="D2:D33" si="0">IF(AND($A2&lt;&gt;"",$B2&lt;&gt;""),$K$9,"")</f>
        <v/>
      </c>
      <c r="E2" s="4" t="str">
        <f>IF(AND($A2&lt;&gt;"",$B2&lt;&gt;""),$K$7*$K$8,"")</f>
        <v/>
      </c>
      <c r="F2" s="4" t="str">
        <f>IF(AND($A2&lt;&gt;"",$B2&lt;&gt;""),D2-E2,"")</f>
        <v/>
      </c>
      <c r="G2" s="4" t="str">
        <f>IF(AND($A2&lt;&gt;"",$B2&lt;&gt;""),$K$7-F2,"")</f>
        <v/>
      </c>
      <c r="H2" s="4" t="str">
        <f>IF(AND($A2&lt;&gt;"",$B2&lt;&gt;""),$K$7-G2,"")</f>
        <v/>
      </c>
      <c r="J2" s="5" t="s">
        <v>17</v>
      </c>
      <c r="K2" s="31" t="str">
        <f ca="1">IF(K3&lt;&gt;"",
   "L" &amp; TEXT(K7,"0") &amp;
   IF(J10="Weeks","W","D") &amp; K10 &amp;
   "-" &amp; K3 &amp;
   "-N" &amp; RIGHT(CELL("filename",A1),LEN(CELL("filename",A1))-FIND("]",CELL("filename",A1))),
   "")</f>
        <v>L10000D120-Reena_Devi-NLoan1</v>
      </c>
    </row>
    <row r="3" spans="1:12" x14ac:dyDescent="0.3">
      <c r="A3" s="19"/>
      <c r="B3" s="24" t="str">
        <f>IF(A3&lt;&gt;"",B2+1,"")</f>
        <v/>
      </c>
      <c r="C3" s="20"/>
      <c r="D3" s="21" t="str">
        <f t="shared" si="0"/>
        <v/>
      </c>
      <c r="E3" s="21" t="str">
        <f t="shared" ref="E3:E34" si="1">IF(AND($A3&lt;&gt;"",$B3&lt;&gt;""),G2*$K$8,"")</f>
        <v/>
      </c>
      <c r="F3" s="21" t="str">
        <f>IF(AND($A3&lt;&gt;"",$B3&lt;&gt;""),D3-E3,"")</f>
        <v/>
      </c>
      <c r="G3" s="21" t="str">
        <f>IF(AND($A3&lt;&gt;"",$B3&lt;&gt;""),G2-F3,"")</f>
        <v/>
      </c>
      <c r="H3" s="21" t="str">
        <f t="shared" ref="H3:H34" si="2">IF(AND($A3&lt;&gt;"",$B3&lt;&gt;""),$K$7-G3,"")</f>
        <v/>
      </c>
      <c r="J3" s="5" t="s">
        <v>10</v>
      </c>
      <c r="K3" s="26" t="s">
        <v>20</v>
      </c>
    </row>
    <row r="4" spans="1:12" x14ac:dyDescent="0.3">
      <c r="A4" s="2"/>
      <c r="B4" s="23" t="str">
        <f t="shared" ref="B4:B67" si="3">IF(A4&lt;&gt;"",B3+1,"")</f>
        <v/>
      </c>
      <c r="C4" s="3"/>
      <c r="D4" s="4" t="str">
        <f t="shared" si="0"/>
        <v/>
      </c>
      <c r="E4" s="4" t="str">
        <f t="shared" si="1"/>
        <v/>
      </c>
      <c r="F4" s="4" t="str">
        <f>IF(AND($A4&lt;&gt;"",$B4&lt;&gt;""),D4-E4,"")</f>
        <v/>
      </c>
      <c r="G4" s="4" t="str">
        <f>IF(AND($A4&lt;&gt;"",$B4&lt;&gt;""),G3-F4,"")</f>
        <v/>
      </c>
      <c r="H4" s="4" t="str">
        <f t="shared" si="2"/>
        <v/>
      </c>
      <c r="J4" s="5" t="s">
        <v>11</v>
      </c>
      <c r="K4" s="26"/>
    </row>
    <row r="5" spans="1:12" x14ac:dyDescent="0.3">
      <c r="A5" s="19"/>
      <c r="B5" s="24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>IF(AND($A5&lt;&gt;"",$B5&lt;&gt;""),D5-E5,"")</f>
        <v/>
      </c>
      <c r="G5" s="21" t="str">
        <f>IF(AND($A5&lt;&gt;"",$B5&lt;&gt;""),G4-F5,"")</f>
        <v/>
      </c>
      <c r="H5" s="21" t="str">
        <f t="shared" si="2"/>
        <v/>
      </c>
      <c r="J5" s="5" t="s">
        <v>12</v>
      </c>
      <c r="K5" s="26"/>
    </row>
    <row r="6" spans="1:12" x14ac:dyDescent="0.3">
      <c r="A6" s="2"/>
      <c r="B6" s="23" t="str">
        <f t="shared" si="3"/>
        <v/>
      </c>
      <c r="C6" s="3"/>
      <c r="D6" s="4" t="str">
        <f t="shared" si="0"/>
        <v/>
      </c>
      <c r="E6" s="4" t="str">
        <f t="shared" si="1"/>
        <v/>
      </c>
      <c r="F6" s="4" t="str">
        <f>IF(AND($A6&lt;&gt;"",$B6&lt;&gt;""),D6-E6,"")</f>
        <v/>
      </c>
      <c r="G6" s="4" t="str">
        <f t="shared" ref="G6:G69" si="4">IF(AND($A6&lt;&gt;"",$B6&lt;&gt;""),G5-F6,"")</f>
        <v/>
      </c>
      <c r="H6" s="4" t="str">
        <f t="shared" si="2"/>
        <v/>
      </c>
      <c r="J6" s="5" t="s">
        <v>13</v>
      </c>
      <c r="K6" s="26"/>
    </row>
    <row r="7" spans="1:12" x14ac:dyDescent="0.3">
      <c r="A7" s="19"/>
      <c r="B7" s="24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ref="F7:F70" si="5">IF(AND($A7&lt;&gt;"",$B7&lt;&gt;""),D7-E7,"")</f>
        <v/>
      </c>
      <c r="G7" s="21" t="str">
        <f t="shared" si="4"/>
        <v/>
      </c>
      <c r="H7" s="21" t="str">
        <f t="shared" si="2"/>
        <v/>
      </c>
      <c r="J7" s="5" t="s">
        <v>7</v>
      </c>
      <c r="K7" s="27">
        <v>10000</v>
      </c>
    </row>
    <row r="8" spans="1:12" x14ac:dyDescent="0.3">
      <c r="A8" s="2"/>
      <c r="B8" s="23" t="str">
        <f t="shared" si="3"/>
        <v/>
      </c>
      <c r="C8" s="3"/>
      <c r="D8" s="4" t="str">
        <f t="shared" si="0"/>
        <v/>
      </c>
      <c r="E8" s="4" t="str">
        <f t="shared" si="1"/>
        <v/>
      </c>
      <c r="F8" s="4" t="str">
        <f t="shared" si="5"/>
        <v/>
      </c>
      <c r="G8" s="4" t="str">
        <f t="shared" si="4"/>
        <v/>
      </c>
      <c r="H8" s="4" t="str">
        <f t="shared" si="2"/>
        <v/>
      </c>
      <c r="J8" s="5" t="s">
        <v>14</v>
      </c>
      <c r="K8" s="28">
        <f>RATE(K10,-K9,K7)</f>
        <v>3.1141819460012141E-3</v>
      </c>
    </row>
    <row r="9" spans="1:12" x14ac:dyDescent="0.3">
      <c r="A9" s="19"/>
      <c r="B9" s="24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5"/>
        <v/>
      </c>
      <c r="G9" s="21" t="str">
        <f t="shared" si="4"/>
        <v/>
      </c>
      <c r="H9" s="21" t="str">
        <f t="shared" si="2"/>
        <v/>
      </c>
      <c r="J9" s="5" t="s">
        <v>8</v>
      </c>
      <c r="K9" s="29">
        <v>100</v>
      </c>
    </row>
    <row r="10" spans="1:12" x14ac:dyDescent="0.3">
      <c r="A10" s="2"/>
      <c r="B10" s="23" t="str">
        <f t="shared" si="3"/>
        <v/>
      </c>
      <c r="C10" s="3"/>
      <c r="D10" s="4" t="str">
        <f t="shared" si="0"/>
        <v/>
      </c>
      <c r="E10" s="4" t="str">
        <f t="shared" si="1"/>
        <v/>
      </c>
      <c r="F10" s="4" t="str">
        <f t="shared" si="5"/>
        <v/>
      </c>
      <c r="G10" s="4" t="str">
        <f t="shared" si="4"/>
        <v/>
      </c>
      <c r="H10" s="4" t="str">
        <f t="shared" si="2"/>
        <v/>
      </c>
      <c r="J10" s="5" t="s">
        <v>15</v>
      </c>
      <c r="K10" s="30">
        <v>120</v>
      </c>
    </row>
    <row r="11" spans="1:12" ht="17.25" thickBot="1" x14ac:dyDescent="0.35">
      <c r="A11" s="19"/>
      <c r="B11" s="24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5"/>
        <v/>
      </c>
      <c r="G11" s="21" t="str">
        <f t="shared" si="4"/>
        <v/>
      </c>
      <c r="H11" s="21" t="str">
        <f t="shared" si="2"/>
        <v/>
      </c>
      <c r="J11" s="8"/>
      <c r="L11" s="22"/>
    </row>
    <row r="12" spans="1:12" x14ac:dyDescent="0.3">
      <c r="A12" s="2"/>
      <c r="B12" s="23" t="str">
        <f t="shared" si="3"/>
        <v/>
      </c>
      <c r="C12" s="3"/>
      <c r="D12" s="4" t="str">
        <f t="shared" si="0"/>
        <v/>
      </c>
      <c r="E12" s="4" t="str">
        <f t="shared" si="1"/>
        <v/>
      </c>
      <c r="F12" s="4" t="str">
        <f t="shared" si="5"/>
        <v/>
      </c>
      <c r="G12" s="4" t="str">
        <f t="shared" si="4"/>
        <v/>
      </c>
      <c r="H12" s="4" t="str">
        <f t="shared" si="2"/>
        <v/>
      </c>
      <c r="J12" s="9" t="s">
        <v>16</v>
      </c>
      <c r="K12" s="10">
        <f>IFERROR(MAX($B:$B),"")</f>
        <v>0</v>
      </c>
    </row>
    <row r="13" spans="1:12" x14ac:dyDescent="0.3">
      <c r="A13" s="19"/>
      <c r="B13" s="24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5"/>
        <v/>
      </c>
      <c r="G13" s="21" t="str">
        <f t="shared" si="4"/>
        <v/>
      </c>
      <c r="H13" s="21" t="str">
        <f t="shared" si="2"/>
        <v/>
      </c>
      <c r="J13" s="25" t="s">
        <v>22</v>
      </c>
      <c r="K13" s="12">
        <f>(K10*K9)-K9*K12</f>
        <v>12000</v>
      </c>
    </row>
    <row r="14" spans="1:12" x14ac:dyDescent="0.3">
      <c r="A14" s="2"/>
      <c r="B14" s="23" t="str">
        <f t="shared" si="3"/>
        <v/>
      </c>
      <c r="C14" s="3"/>
      <c r="D14" s="4" t="str">
        <f t="shared" si="0"/>
        <v/>
      </c>
      <c r="E14" s="4" t="str">
        <f t="shared" si="1"/>
        <v/>
      </c>
      <c r="F14" s="4" t="str">
        <f t="shared" si="5"/>
        <v/>
      </c>
      <c r="G14" s="4" t="str">
        <f t="shared" si="4"/>
        <v/>
      </c>
      <c r="H14" s="4" t="str">
        <f t="shared" si="2"/>
        <v/>
      </c>
      <c r="J14" s="11" t="s">
        <v>23</v>
      </c>
      <c r="K14" s="12">
        <f>IF(A2="", K9*K10, IFERROR(INDEX($G:$G, MATCH($K$12, $B:$B, 0)), 0))</f>
        <v>12000</v>
      </c>
    </row>
    <row r="15" spans="1:12" ht="17.25" thickBot="1" x14ac:dyDescent="0.35">
      <c r="A15" s="19"/>
      <c r="B15" s="24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5"/>
        <v/>
      </c>
      <c r="G15" s="21" t="str">
        <f t="shared" si="4"/>
        <v/>
      </c>
      <c r="H15" s="21" t="str">
        <f t="shared" si="2"/>
        <v/>
      </c>
      <c r="J15" s="13" t="s">
        <v>6</v>
      </c>
      <c r="K15" s="14">
        <f>IFERROR(INDEX($H:$H, MATCH($K$12, $B:$B, 0)), 0)</f>
        <v>0</v>
      </c>
    </row>
    <row r="16" spans="1:12" x14ac:dyDescent="0.3">
      <c r="A16" s="2"/>
      <c r="B16" s="23" t="str">
        <f t="shared" si="3"/>
        <v/>
      </c>
      <c r="C16" s="3"/>
      <c r="D16" s="4" t="str">
        <f t="shared" si="0"/>
        <v/>
      </c>
      <c r="E16" s="4" t="str">
        <f t="shared" si="1"/>
        <v/>
      </c>
      <c r="F16" s="4" t="str">
        <f t="shared" si="5"/>
        <v/>
      </c>
      <c r="G16" s="4" t="str">
        <f t="shared" si="4"/>
        <v/>
      </c>
      <c r="H16" s="4" t="str">
        <f t="shared" si="2"/>
        <v/>
      </c>
      <c r="J16" s="15" t="s">
        <v>18</v>
      </c>
      <c r="K16" s="16" t="str">
        <f>IF(A2,A2, "")</f>
        <v/>
      </c>
    </row>
    <row r="17" spans="1:11" x14ac:dyDescent="0.3">
      <c r="A17" s="19"/>
      <c r="B17" s="24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5"/>
        <v/>
      </c>
      <c r="G17" s="21" t="str">
        <f t="shared" si="4"/>
        <v/>
      </c>
      <c r="H17" s="21" t="str">
        <f t="shared" si="2"/>
        <v/>
      </c>
      <c r="J17" s="17" t="s">
        <v>19</v>
      </c>
      <c r="K17" s="18" t="str">
        <f xml:space="preserve"> IF(A2,(K16 + 120),"")</f>
        <v/>
      </c>
    </row>
    <row r="18" spans="1:11" x14ac:dyDescent="0.3">
      <c r="A18" s="2"/>
      <c r="B18" s="23" t="str">
        <f t="shared" si="3"/>
        <v/>
      </c>
      <c r="C18" s="3"/>
      <c r="D18" s="4" t="str">
        <f t="shared" si="0"/>
        <v/>
      </c>
      <c r="E18" s="4" t="str">
        <f t="shared" si="1"/>
        <v/>
      </c>
      <c r="F18" s="4" t="str">
        <f t="shared" si="5"/>
        <v/>
      </c>
      <c r="G18" s="4" t="str">
        <f t="shared" si="4"/>
        <v/>
      </c>
      <c r="H18" s="4" t="str">
        <f t="shared" si="2"/>
        <v/>
      </c>
    </row>
    <row r="19" spans="1:11" x14ac:dyDescent="0.3">
      <c r="A19" s="19"/>
      <c r="B19" s="24" t="str">
        <f t="shared" si="3"/>
        <v/>
      </c>
      <c r="C19" s="20"/>
      <c r="D19" s="21" t="str">
        <f t="shared" si="0"/>
        <v/>
      </c>
      <c r="E19" s="21" t="str">
        <f t="shared" si="1"/>
        <v/>
      </c>
      <c r="F19" s="21" t="str">
        <f t="shared" si="5"/>
        <v/>
      </c>
      <c r="G19" s="21" t="str">
        <f t="shared" si="4"/>
        <v/>
      </c>
      <c r="H19" s="21" t="str">
        <f t="shared" si="2"/>
        <v/>
      </c>
    </row>
    <row r="20" spans="1:11" x14ac:dyDescent="0.3">
      <c r="A20" s="2"/>
      <c r="B20" s="23" t="str">
        <f t="shared" si="3"/>
        <v/>
      </c>
      <c r="C20" s="3"/>
      <c r="D20" s="4" t="str">
        <f t="shared" si="0"/>
        <v/>
      </c>
      <c r="E20" s="4" t="str">
        <f t="shared" si="1"/>
        <v/>
      </c>
      <c r="F20" s="4" t="str">
        <f t="shared" si="5"/>
        <v/>
      </c>
      <c r="G20" s="4" t="str">
        <f t="shared" si="4"/>
        <v/>
      </c>
      <c r="H20" s="4" t="str">
        <f t="shared" si="2"/>
        <v/>
      </c>
      <c r="J20" s="22"/>
      <c r="K20" s="22"/>
    </row>
    <row r="21" spans="1:11" x14ac:dyDescent="0.3">
      <c r="A21" s="19"/>
      <c r="B21" s="24" t="str">
        <f t="shared" si="3"/>
        <v/>
      </c>
      <c r="C21" s="20"/>
      <c r="D21" s="21" t="str">
        <f t="shared" si="0"/>
        <v/>
      </c>
      <c r="E21" s="21" t="str">
        <f t="shared" si="1"/>
        <v/>
      </c>
      <c r="F21" s="21" t="str">
        <f t="shared" si="5"/>
        <v/>
      </c>
      <c r="G21" s="21" t="str">
        <f t="shared" si="4"/>
        <v/>
      </c>
      <c r="H21" s="21" t="str">
        <f t="shared" si="2"/>
        <v/>
      </c>
    </row>
    <row r="22" spans="1:11" x14ac:dyDescent="0.3">
      <c r="A22" s="2"/>
      <c r="B22" s="23" t="str">
        <f t="shared" si="3"/>
        <v/>
      </c>
      <c r="C22" s="3"/>
      <c r="D22" s="4" t="str">
        <f t="shared" si="0"/>
        <v/>
      </c>
      <c r="E22" s="4" t="str">
        <f t="shared" si="1"/>
        <v/>
      </c>
      <c r="F22" s="4" t="str">
        <f t="shared" si="5"/>
        <v/>
      </c>
      <c r="G22" s="4" t="str">
        <f t="shared" si="4"/>
        <v/>
      </c>
      <c r="H22" s="4" t="str">
        <f t="shared" si="2"/>
        <v/>
      </c>
    </row>
    <row r="23" spans="1:11" x14ac:dyDescent="0.3">
      <c r="A23" s="19"/>
      <c r="B23" s="24" t="str">
        <f t="shared" si="3"/>
        <v/>
      </c>
      <c r="C23" s="20"/>
      <c r="D23" s="21" t="str">
        <f t="shared" si="0"/>
        <v/>
      </c>
      <c r="E23" s="21" t="str">
        <f t="shared" si="1"/>
        <v/>
      </c>
      <c r="F23" s="21" t="str">
        <f t="shared" si="5"/>
        <v/>
      </c>
      <c r="G23" s="21" t="str">
        <f t="shared" si="4"/>
        <v/>
      </c>
      <c r="H23" s="21" t="str">
        <f t="shared" si="2"/>
        <v/>
      </c>
    </row>
    <row r="24" spans="1:11" x14ac:dyDescent="0.3">
      <c r="A24" s="2"/>
      <c r="B24" s="23" t="str">
        <f t="shared" si="3"/>
        <v/>
      </c>
      <c r="C24" s="3"/>
      <c r="D24" s="4" t="str">
        <f t="shared" si="0"/>
        <v/>
      </c>
      <c r="E24" s="4" t="str">
        <f t="shared" si="1"/>
        <v/>
      </c>
      <c r="F24" s="4" t="str">
        <f t="shared" si="5"/>
        <v/>
      </c>
      <c r="G24" s="4" t="str">
        <f t="shared" si="4"/>
        <v/>
      </c>
      <c r="H24" s="4" t="str">
        <f t="shared" si="2"/>
        <v/>
      </c>
    </row>
    <row r="25" spans="1:11" x14ac:dyDescent="0.3">
      <c r="A25" s="19"/>
      <c r="B25" s="24" t="str">
        <f t="shared" si="3"/>
        <v/>
      </c>
      <c r="C25" s="20"/>
      <c r="D25" s="21" t="str">
        <f t="shared" si="0"/>
        <v/>
      </c>
      <c r="E25" s="21" t="str">
        <f t="shared" si="1"/>
        <v/>
      </c>
      <c r="F25" s="21" t="str">
        <f t="shared" si="5"/>
        <v/>
      </c>
      <c r="G25" s="21" t="str">
        <f t="shared" si="4"/>
        <v/>
      </c>
      <c r="H25" s="21" t="str">
        <f t="shared" si="2"/>
        <v/>
      </c>
    </row>
    <row r="26" spans="1:11" x14ac:dyDescent="0.3">
      <c r="A26" s="2"/>
      <c r="B26" s="23" t="str">
        <f t="shared" si="3"/>
        <v/>
      </c>
      <c r="C26" s="3"/>
      <c r="D26" s="4" t="str">
        <f t="shared" si="0"/>
        <v/>
      </c>
      <c r="E26" s="4" t="str">
        <f t="shared" si="1"/>
        <v/>
      </c>
      <c r="F26" s="4" t="str">
        <f t="shared" si="5"/>
        <v/>
      </c>
      <c r="G26" s="4" t="str">
        <f t="shared" si="4"/>
        <v/>
      </c>
      <c r="H26" s="4" t="str">
        <f t="shared" si="2"/>
        <v/>
      </c>
    </row>
    <row r="27" spans="1:11" x14ac:dyDescent="0.3">
      <c r="A27" s="19"/>
      <c r="B27" s="24" t="str">
        <f t="shared" si="3"/>
        <v/>
      </c>
      <c r="C27" s="20"/>
      <c r="D27" s="21" t="str">
        <f t="shared" si="0"/>
        <v/>
      </c>
      <c r="E27" s="21" t="str">
        <f t="shared" si="1"/>
        <v/>
      </c>
      <c r="F27" s="21" t="str">
        <f t="shared" si="5"/>
        <v/>
      </c>
      <c r="G27" s="21" t="str">
        <f t="shared" si="4"/>
        <v/>
      </c>
      <c r="H27" s="21" t="str">
        <f t="shared" si="2"/>
        <v/>
      </c>
    </row>
    <row r="28" spans="1:11" x14ac:dyDescent="0.3">
      <c r="A28" s="2"/>
      <c r="B28" s="23" t="str">
        <f t="shared" si="3"/>
        <v/>
      </c>
      <c r="C28" s="3"/>
      <c r="D28" s="4" t="str">
        <f t="shared" si="0"/>
        <v/>
      </c>
      <c r="E28" s="4" t="str">
        <f t="shared" si="1"/>
        <v/>
      </c>
      <c r="F28" s="4" t="str">
        <f t="shared" si="5"/>
        <v/>
      </c>
      <c r="G28" s="4" t="str">
        <f t="shared" si="4"/>
        <v/>
      </c>
      <c r="H28" s="4" t="str">
        <f t="shared" si="2"/>
        <v/>
      </c>
    </row>
    <row r="29" spans="1:11" x14ac:dyDescent="0.3">
      <c r="A29" s="19"/>
      <c r="B29" s="24" t="str">
        <f t="shared" si="3"/>
        <v/>
      </c>
      <c r="C29" s="20"/>
      <c r="D29" s="21" t="str">
        <f t="shared" si="0"/>
        <v/>
      </c>
      <c r="E29" s="21" t="str">
        <f t="shared" si="1"/>
        <v/>
      </c>
      <c r="F29" s="21" t="str">
        <f t="shared" si="5"/>
        <v/>
      </c>
      <c r="G29" s="21" t="str">
        <f t="shared" si="4"/>
        <v/>
      </c>
      <c r="H29" s="21" t="str">
        <f t="shared" si="2"/>
        <v/>
      </c>
    </row>
    <row r="30" spans="1:11" x14ac:dyDescent="0.3">
      <c r="A30" s="2"/>
      <c r="B30" s="23" t="str">
        <f t="shared" si="3"/>
        <v/>
      </c>
      <c r="C30" s="3"/>
      <c r="D30" s="4" t="str">
        <f t="shared" si="0"/>
        <v/>
      </c>
      <c r="E30" s="4" t="str">
        <f t="shared" si="1"/>
        <v/>
      </c>
      <c r="F30" s="4" t="str">
        <f t="shared" si="5"/>
        <v/>
      </c>
      <c r="G30" s="4" t="str">
        <f t="shared" si="4"/>
        <v/>
      </c>
      <c r="H30" s="4" t="str">
        <f t="shared" si="2"/>
        <v/>
      </c>
    </row>
    <row r="31" spans="1:11" x14ac:dyDescent="0.3">
      <c r="A31" s="19"/>
      <c r="B31" s="24" t="str">
        <f t="shared" si="3"/>
        <v/>
      </c>
      <c r="C31" s="20"/>
      <c r="D31" s="21" t="str">
        <f t="shared" si="0"/>
        <v/>
      </c>
      <c r="E31" s="21" t="str">
        <f t="shared" si="1"/>
        <v/>
      </c>
      <c r="F31" s="21" t="str">
        <f t="shared" si="5"/>
        <v/>
      </c>
      <c r="G31" s="21" t="str">
        <f t="shared" si="4"/>
        <v/>
      </c>
      <c r="H31" s="21" t="str">
        <f t="shared" si="2"/>
        <v/>
      </c>
    </row>
    <row r="32" spans="1:11" x14ac:dyDescent="0.3">
      <c r="A32" s="2"/>
      <c r="B32" s="23" t="str">
        <f t="shared" si="3"/>
        <v/>
      </c>
      <c r="C32" s="3"/>
      <c r="D32" s="4" t="str">
        <f t="shared" si="0"/>
        <v/>
      </c>
      <c r="E32" s="4" t="str">
        <f t="shared" si="1"/>
        <v/>
      </c>
      <c r="F32" s="4" t="str">
        <f t="shared" si="5"/>
        <v/>
      </c>
      <c r="G32" s="4" t="str">
        <f t="shared" si="4"/>
        <v/>
      </c>
      <c r="H32" s="4" t="str">
        <f t="shared" si="2"/>
        <v/>
      </c>
    </row>
    <row r="33" spans="1:8" x14ac:dyDescent="0.3">
      <c r="A33" s="19"/>
      <c r="B33" s="24" t="str">
        <f t="shared" si="3"/>
        <v/>
      </c>
      <c r="C33" s="20"/>
      <c r="D33" s="21" t="str">
        <f t="shared" si="0"/>
        <v/>
      </c>
      <c r="E33" s="21" t="str">
        <f t="shared" si="1"/>
        <v/>
      </c>
      <c r="F33" s="21" t="str">
        <f t="shared" si="5"/>
        <v/>
      </c>
      <c r="G33" s="21" t="str">
        <f t="shared" si="4"/>
        <v/>
      </c>
      <c r="H33" s="21" t="str">
        <f t="shared" si="2"/>
        <v/>
      </c>
    </row>
    <row r="34" spans="1:8" x14ac:dyDescent="0.3">
      <c r="A34" s="2"/>
      <c r="B34" s="23" t="str">
        <f t="shared" si="3"/>
        <v/>
      </c>
      <c r="C34" s="3"/>
      <c r="D34" s="4" t="str">
        <f t="shared" ref="D34:D65" si="6">IF(AND($A34&lt;&gt;"",$B34&lt;&gt;""),$K$9,"")</f>
        <v/>
      </c>
      <c r="E34" s="4" t="str">
        <f t="shared" si="1"/>
        <v/>
      </c>
      <c r="F34" s="4" t="str">
        <f t="shared" si="5"/>
        <v/>
      </c>
      <c r="G34" s="4" t="str">
        <f t="shared" si="4"/>
        <v/>
      </c>
      <c r="H34" s="4" t="str">
        <f t="shared" si="2"/>
        <v/>
      </c>
    </row>
    <row r="35" spans="1:8" x14ac:dyDescent="0.3">
      <c r="A35" s="19"/>
      <c r="B35" s="24" t="str">
        <f t="shared" si="3"/>
        <v/>
      </c>
      <c r="C35" s="20"/>
      <c r="D35" s="21" t="str">
        <f t="shared" si="6"/>
        <v/>
      </c>
      <c r="E35" s="21" t="str">
        <f t="shared" ref="E35:E66" si="7">IF(AND($A35&lt;&gt;"",$B35&lt;&gt;""),G34*$K$8,"")</f>
        <v/>
      </c>
      <c r="F35" s="21" t="str">
        <f t="shared" si="5"/>
        <v/>
      </c>
      <c r="G35" s="21" t="str">
        <f t="shared" si="4"/>
        <v/>
      </c>
      <c r="H35" s="21" t="str">
        <f t="shared" ref="H35:H66" si="8">IF(AND($A35&lt;&gt;"",$B35&lt;&gt;""),$K$7-G35,"")</f>
        <v/>
      </c>
    </row>
    <row r="36" spans="1:8" x14ac:dyDescent="0.3">
      <c r="A36" s="2"/>
      <c r="B36" s="23" t="str">
        <f t="shared" si="3"/>
        <v/>
      </c>
      <c r="C36" s="3"/>
      <c r="D36" s="4" t="str">
        <f t="shared" si="6"/>
        <v/>
      </c>
      <c r="E36" s="4" t="str">
        <f t="shared" si="7"/>
        <v/>
      </c>
      <c r="F36" s="4" t="str">
        <f t="shared" si="5"/>
        <v/>
      </c>
      <c r="G36" s="4" t="str">
        <f t="shared" si="4"/>
        <v/>
      </c>
      <c r="H36" s="4" t="str">
        <f t="shared" si="8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6"/>
        <v/>
      </c>
      <c r="E37" s="21" t="str">
        <f t="shared" si="7"/>
        <v/>
      </c>
      <c r="F37" s="21" t="str">
        <f t="shared" si="5"/>
        <v/>
      </c>
      <c r="G37" s="21" t="str">
        <f t="shared" si="4"/>
        <v/>
      </c>
      <c r="H37" s="21" t="str">
        <f t="shared" si="8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6"/>
        <v/>
      </c>
      <c r="E38" s="4" t="str">
        <f t="shared" si="7"/>
        <v/>
      </c>
      <c r="F38" s="4" t="str">
        <f t="shared" si="5"/>
        <v/>
      </c>
      <c r="G38" s="4" t="str">
        <f t="shared" si="4"/>
        <v/>
      </c>
      <c r="H38" s="4" t="str">
        <f t="shared" si="8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6"/>
        <v/>
      </c>
      <c r="E39" s="21" t="str">
        <f t="shared" si="7"/>
        <v/>
      </c>
      <c r="F39" s="21" t="str">
        <f t="shared" si="5"/>
        <v/>
      </c>
      <c r="G39" s="21" t="str">
        <f t="shared" si="4"/>
        <v/>
      </c>
      <c r="H39" s="21" t="str">
        <f t="shared" si="8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6"/>
        <v/>
      </c>
      <c r="E40" s="4" t="str">
        <f t="shared" si="7"/>
        <v/>
      </c>
      <c r="F40" s="4" t="str">
        <f t="shared" si="5"/>
        <v/>
      </c>
      <c r="G40" s="4" t="str">
        <f t="shared" si="4"/>
        <v/>
      </c>
      <c r="H40" s="4" t="str">
        <f t="shared" si="8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6"/>
        <v/>
      </c>
      <c r="E41" s="21" t="str">
        <f t="shared" si="7"/>
        <v/>
      </c>
      <c r="F41" s="21" t="str">
        <f t="shared" si="5"/>
        <v/>
      </c>
      <c r="G41" s="21" t="str">
        <f t="shared" si="4"/>
        <v/>
      </c>
      <c r="H41" s="21" t="str">
        <f t="shared" si="8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6"/>
        <v/>
      </c>
      <c r="E42" s="4" t="str">
        <f t="shared" si="7"/>
        <v/>
      </c>
      <c r="F42" s="4" t="str">
        <f t="shared" si="5"/>
        <v/>
      </c>
      <c r="G42" s="4" t="str">
        <f t="shared" si="4"/>
        <v/>
      </c>
      <c r="H42" s="4" t="str">
        <f t="shared" si="8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6"/>
        <v/>
      </c>
      <c r="E43" s="21" t="str">
        <f t="shared" si="7"/>
        <v/>
      </c>
      <c r="F43" s="21" t="str">
        <f t="shared" si="5"/>
        <v/>
      </c>
      <c r="G43" s="21" t="str">
        <f t="shared" si="4"/>
        <v/>
      </c>
      <c r="H43" s="21" t="str">
        <f t="shared" si="8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6"/>
        <v/>
      </c>
      <c r="E44" s="4" t="str">
        <f t="shared" si="7"/>
        <v/>
      </c>
      <c r="F44" s="4" t="str">
        <f t="shared" si="5"/>
        <v/>
      </c>
      <c r="G44" s="4" t="str">
        <f t="shared" si="4"/>
        <v/>
      </c>
      <c r="H44" s="4" t="str">
        <f t="shared" si="8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6"/>
        <v/>
      </c>
      <c r="E45" s="21" t="str">
        <f t="shared" si="7"/>
        <v/>
      </c>
      <c r="F45" s="21" t="str">
        <f t="shared" si="5"/>
        <v/>
      </c>
      <c r="G45" s="21" t="str">
        <f t="shared" si="4"/>
        <v/>
      </c>
      <c r="H45" s="21" t="str">
        <f t="shared" si="8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6"/>
        <v/>
      </c>
      <c r="E46" s="4" t="str">
        <f t="shared" si="7"/>
        <v/>
      </c>
      <c r="F46" s="4" t="str">
        <f t="shared" si="5"/>
        <v/>
      </c>
      <c r="G46" s="4" t="str">
        <f t="shared" si="4"/>
        <v/>
      </c>
      <c r="H46" s="4" t="str">
        <f t="shared" si="8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empV8GDjInAWoi56apvKRtXMhuz9nJhBVMtBm6/VzRAVfk3N0ohZouamh1ziAjcIHaID/dVNDZsBtJu+cevheQ==" saltValue="FGEBc0OR+ga6T9gWiY+m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2026-06-20T03:08:16Z</dcterms:modified>
</cp:coreProperties>
</file>