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4" i="4" l="1"/>
  <c r="K13" i="4"/>
  <c r="B2" i="4" l="1"/>
  <c r="B3" i="4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2" i="4"/>
  <c r="B13" i="4"/>
  <c r="B14" i="4"/>
  <c r="B15" i="4"/>
  <c r="B16" i="4"/>
  <c r="B17" i="4"/>
  <c r="B6" i="4"/>
  <c r="B7" i="4"/>
  <c r="B8" i="4"/>
  <c r="B9" i="4"/>
  <c r="B10" i="4"/>
  <c r="B11" i="4"/>
  <c r="B4" i="4"/>
  <c r="B5" i="4"/>
  <c r="K16" i="4" l="1"/>
  <c r="K17" i="4" s="1"/>
  <c r="K2" i="4" l="1"/>
  <c r="K12" i="4" l="1"/>
  <c r="E13" i="4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F13" i="4" s="1"/>
  <c r="G13" i="4" s="1"/>
  <c r="D2" i="4"/>
  <c r="D3" i="4"/>
  <c r="F121" i="4" l="1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F14" i="4"/>
  <c r="G14" i="4" s="1"/>
  <c r="H13" i="4"/>
  <c r="E14" i="4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/>
  <c r="G15" i="4"/>
  <c r="H14" i="4"/>
  <c r="E15" i="4"/>
  <c r="F15" i="4" s="1"/>
  <c r="E7" i="4"/>
  <c r="F7" i="4" s="1"/>
  <c r="G7" i="4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G16" i="4"/>
  <c r="H15" i="4"/>
  <c r="E16" i="4"/>
  <c r="F16" i="4" s="1"/>
  <c r="E8" i="4"/>
  <c r="F8" i="4" s="1"/>
  <c r="G8" i="4"/>
  <c r="H7" i="4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7" i="4"/>
  <c r="F17" i="4" s="1"/>
  <c r="G17" i="4" s="1"/>
  <c r="H16" i="4"/>
  <c r="H8" i="4"/>
  <c r="E9" i="4"/>
  <c r="F9" i="4" s="1"/>
  <c r="G9" i="4" s="1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G18" i="4"/>
  <c r="E18" i="4"/>
  <c r="F18" i="4" s="1"/>
  <c r="E10" i="4"/>
  <c r="F10" i="4" s="1"/>
  <c r="G10" i="4" s="1"/>
  <c r="H9" i="4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H34" i="4"/>
  <c r="G35" i="4"/>
  <c r="E19" i="4"/>
  <c r="F19" i="4" s="1"/>
  <c r="G19" i="4" s="1"/>
  <c r="H18" i="4"/>
  <c r="H10" i="4"/>
  <c r="E11" i="4"/>
  <c r="F11" i="4" s="1"/>
  <c r="G11" i="4" s="1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H19" i="4"/>
  <c r="G20" i="4"/>
  <c r="E20" i="4"/>
  <c r="F20" i="4" s="1"/>
  <c r="H11" i="4"/>
  <c r="E12" i="4"/>
  <c r="F12" i="4" s="1"/>
  <c r="G12" i="4"/>
  <c r="H12" i="4" s="1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22" i="4"/>
  <c r="E23" i="4"/>
  <c r="F23" i="4" s="1"/>
  <c r="G23" i="4" s="1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E103" i="4" l="1"/>
  <c r="F103" i="4" s="1"/>
  <c r="G103" i="4"/>
  <c r="H102" i="4"/>
  <c r="H78" i="4"/>
  <c r="E79" i="4"/>
  <c r="F79" i="4" s="1"/>
  <c r="G79" i="4" s="1"/>
  <c r="G45" i="4"/>
  <c r="E45" i="4"/>
  <c r="F45" i="4" s="1"/>
  <c r="H44" i="4"/>
  <c r="H103" i="4" l="1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80" i="4" l="1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H6" i="4" l="1"/>
  <c r="K15" i="4" s="1"/>
  <c r="H85" i="4"/>
  <c r="E86" i="4"/>
  <c r="F86" i="4" s="1"/>
  <c r="G86" i="4" s="1"/>
  <c r="H86" i="4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<sst xmlns="http://schemas.openxmlformats.org/spreadsheetml/2006/main" count="25" uniqueCount="24">
  <si>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</si>
  <si>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</si>
  <si>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</si>
  <si>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</si>
  <si>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</si>
  <si>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</si>
  <si>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</si>
  <si>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</si>
  <si>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</si>
  <si>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</si>
  <si>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</si>
  <si>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</si>
  <si>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</si>
  <si>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</si>
  <si>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</si>
  <si>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</si>
  <si>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</si>
  <si>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</si>
  <si>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</si>
  <si>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</si>
  <si>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Reena_Devi</t>
  </si>
  <si>
    <t>Reference Id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</si>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</sst>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sz val="9"/>
      <color theme="0" tint="-0.1499984740745262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5" fillId="2" borderId="1" xfId="0" applyNumberFormat="1" applyFont="1" applyFill="1" applyBorder="1" applyAlignment="1" applyProtection="1">
      <alignment horizontal="center" vertical="center"/>
      <protection locked="0"/>
    </xf>
    <xf numFmtId="1" fontId="6" fillId="2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2" activePane="bottomLeft" state="frozen"/>
      <selection pane="bottomLeft" activeCell="K2" sqref="K2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4.140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21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/>
      <c r="B2" s="23" t="str">
        <f>IF(A2&lt;&gt;"",1,"")</f>
        <v/>
      </c>
      <c r="C2" s="3"/>
      <c r="D2" s="4" t="str">
        <f t="shared" ref="D2:D33" si="0">IF(AND($A2&lt;&gt;"",$B2&lt;&gt;""),$K$9,"")</f>
        <v/>
      </c>
      <c r="E2" s="4" t="str">
        <f>IF(AND($A2&lt;&gt;"",$B2&lt;&gt;""),$K$7*$K$8,"")</f>
        <v/>
      </c>
      <c r="F2" s="4" t="str">
        <f>IF(AND($A2&lt;&gt;"",$B2&lt;&gt;""),D2-E2,"")</f>
        <v/>
      </c>
      <c r="G2" s="4" t="str">
        <f>IF(AND($A2&lt;&gt;"",$B2&lt;&gt;""),$K$7-F2,"")</f>
        <v/>
      </c>
      <c r="H2" s="4" t="str">
        <f>IF(AND($A2&lt;&gt;"",$B2&lt;&gt;""),$K$7-G2,"")</f>
        <v/>
      </c>
      <c r="J2" s="5" t="s">
        <v>17</v>
      </c>
      <c r="K2" s="31" t="str">
        <f ca="1">IF(K3&lt;&gt;"",
   "L" &amp; TEXT(K7,"0") &amp;
   IF(J10="Weeks","W","D") &amp; K10 &amp;
   "-" &amp; K3 &amp;
   "-N" &amp; RIGHT(CELL("filename",A1),LEN(CELL("filename",A1))-FIND("]",CELL("filename",A1))),
   "")</f>
        <v>L10000D120-Reena_Devi-NLoan1</v>
      </c>
    </row>
    <row r="3" spans="1:12" x14ac:dyDescent="0.3">
      <c r="A3" s="19"/>
      <c r="B3" s="24" t="str">
        <f>IF(A3&lt;&gt;"",B2+1,"")</f>
        <v/>
      </c>
      <c r="C3" s="20"/>
      <c r="D3" s="21" t="str">
        <f t="shared" si="0"/>
        <v/>
      </c>
      <c r="E3" s="21" t="str">
        <f t="shared" ref="E3:E34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34" si="2">IF(AND($A3&lt;&gt;"",$B3&lt;&gt;""),$K$7-G3,"")</f>
        <v/>
      </c>
      <c r="J3" s="5" t="s">
        <v>10</v>
      </c>
      <c r="K3" s="26" t="s">
        <v>20</v>
      </c>
    </row>
    <row r="4" spans="1:12" x14ac:dyDescent="0.3">
      <c r="A4" s="2"/>
      <c r="B4" s="23" t="str">
        <f t="shared" ref="B4:B67" si="3">IF(A4&lt;&gt;"",B3+1,"")</f>
        <v/>
      </c>
      <c r="C4" s="3"/>
      <c r="D4" s="4" t="str">
        <f t="shared" si="0"/>
        <v/>
      </c>
      <c r="E4" s="4" t="str">
        <f t="shared" si="1"/>
        <v/>
      </c>
      <c r="F4" s="4" t="str">
        <f>IF(AND($A4&lt;&gt;"",$B4&lt;&gt;""),D4-E4,"")</f>
        <v/>
      </c>
      <c r="G4" s="4" t="str">
        <f>IF(AND($A4&lt;&gt;"",$B4&lt;&gt;""),G3-F4,"")</f>
        <v/>
      </c>
      <c r="H4" s="4" t="str">
        <f t="shared" si="2"/>
        <v/>
      </c>
      <c r="J4" s="5" t="s">
        <v>11</v>
      </c>
      <c r="K4" s="26"/>
    </row>
    <row r="5" spans="1:12" x14ac:dyDescent="0.3">
      <c r="A5" s="19"/>
      <c r="B5" s="24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>IF(AND($A5&lt;&gt;"",$B5&lt;&gt;""),D5-E5,"")</f>
        <v/>
      </c>
      <c r="G5" s="21" t="str">
        <f>IF(AND($A5&lt;&gt;"",$B5&lt;&gt;""),G4-F5,"")</f>
        <v/>
      </c>
      <c r="H5" s="21" t="str">
        <f t="shared" si="2"/>
        <v/>
      </c>
      <c r="J5" s="5" t="s">
        <v>12</v>
      </c>
      <c r="K5" s="26"/>
    </row>
    <row r="6" spans="1:12" x14ac:dyDescent="0.3">
      <c r="A6" s="2"/>
      <c r="B6" s="23" t="str">
        <f t="shared" si="3"/>
        <v/>
      </c>
      <c r="C6" s="3"/>
      <c r="D6" s="4" t="str">
        <f t="shared" si="0"/>
        <v/>
      </c>
      <c r="E6" s="4" t="str">
        <f t="shared" si="1"/>
        <v/>
      </c>
      <c r="F6" s="4" t="str">
        <f>IF(AND($A6&lt;&gt;"",$B6&lt;&gt;""),D6-E6,"")</f>
        <v/>
      </c>
      <c r="G6" s="4" t="str">
        <f t="shared" ref="G6:G69" si="4">IF(AND($A6&lt;&gt;"",$B6&lt;&gt;""),G5-F6,"")</f>
        <v/>
      </c>
      <c r="H6" s="4" t="str">
        <f t="shared" si="2"/>
        <v/>
      </c>
      <c r="J6" s="5" t="s">
        <v>13</v>
      </c>
      <c r="K6" s="26"/>
    </row>
    <row r="7" spans="1:12" x14ac:dyDescent="0.3">
      <c r="A7" s="19"/>
      <c r="B7" s="24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ref="F7:F70" si="5">IF(AND($A7&lt;&gt;"",$B7&lt;&gt;""),D7-E7,"")</f>
        <v/>
      </c>
      <c r="G7" s="21" t="str">
        <f t="shared" si="4"/>
        <v/>
      </c>
      <c r="H7" s="21" t="str">
        <f t="shared" si="2"/>
        <v/>
      </c>
      <c r="J7" s="5" t="s">
        <v>7</v>
      </c>
      <c r="K7" s="27">
        <v>10000</v>
      </c>
    </row>
    <row r="8" spans="1:12" x14ac:dyDescent="0.3">
      <c r="A8" s="2"/>
      <c r="B8" s="23" t="str">
        <f t="shared" si="3"/>
        <v/>
      </c>
      <c r="C8" s="3"/>
      <c r="D8" s="4" t="str">
        <f t="shared" si="0"/>
        <v/>
      </c>
      <c r="E8" s="4" t="str">
        <f t="shared" si="1"/>
        <v/>
      </c>
      <c r="F8" s="4" t="str">
        <f t="shared" si="5"/>
        <v/>
      </c>
      <c r="G8" s="4" t="str">
        <f t="shared" si="4"/>
        <v/>
      </c>
      <c r="H8" s="4" t="str">
        <f t="shared" si="2"/>
        <v/>
      </c>
      <c r="J8" s="5" t="s">
        <v>14</v>
      </c>
      <c r="K8" s="28">
        <f>RATE(K10,-K9,K7)</f>
        <v>3.1141819460012141E-3</v>
      </c>
    </row>
    <row r="9" spans="1:12" x14ac:dyDescent="0.3">
      <c r="A9" s="19"/>
      <c r="B9" s="24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5"/>
        <v/>
      </c>
      <c r="G9" s="21" t="str">
        <f t="shared" si="4"/>
        <v/>
      </c>
      <c r="H9" s="21" t="str">
        <f t="shared" si="2"/>
        <v/>
      </c>
      <c r="J9" s="5" t="s">
        <v>8</v>
      </c>
      <c r="K9" s="29">
        <v>100</v>
      </c>
    </row>
    <row r="10" spans="1:12" x14ac:dyDescent="0.3">
      <c r="A10" s="2"/>
      <c r="B10" s="23" t="str">
        <f t="shared" si="3"/>
        <v/>
      </c>
      <c r="C10" s="3"/>
      <c r="D10" s="4" t="str">
        <f t="shared" si="0"/>
        <v/>
      </c>
      <c r="E10" s="4" t="str">
        <f t="shared" si="1"/>
        <v/>
      </c>
      <c r="F10" s="4" t="str">
        <f t="shared" si="5"/>
        <v/>
      </c>
      <c r="G10" s="4" t="str">
        <f t="shared" si="4"/>
        <v/>
      </c>
      <c r="H10" s="4" t="str">
        <f t="shared" si="2"/>
        <v/>
      </c>
      <c r="J10" s="5" t="s">
        <v>15</v>
      </c>
      <c r="K10" s="30">
        <v>120</v>
      </c>
    </row>
    <row r="11" spans="1:12" ht="17.25" thickBot="1" x14ac:dyDescent="0.35">
      <c r="A11" s="19"/>
      <c r="B11" s="24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5"/>
        <v/>
      </c>
      <c r="G11" s="21" t="str">
        <f t="shared" si="4"/>
        <v/>
      </c>
      <c r="H11" s="21" t="str">
        <f t="shared" si="2"/>
        <v/>
      </c>
      <c r="J11" s="8"/>
      <c r="L11" s="22"/>
    </row>
    <row r="12" spans="1:12" x14ac:dyDescent="0.3">
      <c r="A12" s="2"/>
      <c r="B12" s="23" t="str">
        <f t="shared" si="3"/>
        <v/>
      </c>
      <c r="C12" s="3"/>
      <c r="D12" s="4" t="str">
        <f t="shared" si="0"/>
        <v/>
      </c>
      <c r="E12" s="4" t="str">
        <f t="shared" si="1"/>
        <v/>
      </c>
      <c r="F12" s="4" t="str">
        <f t="shared" si="5"/>
        <v/>
      </c>
      <c r="G12" s="4" t="str">
        <f t="shared" si="4"/>
        <v/>
      </c>
      <c r="H12" s="4" t="str">
        <f t="shared" si="2"/>
        <v/>
      </c>
      <c r="J12" s="9" t="s">
        <v>16</v>
      </c>
      <c r="K12" s="10">
        <f>IFERROR(MAX($B:$B),"")</f>
        <v>0</v>
      </c>
    </row>
    <row r="13" spans="1:12" x14ac:dyDescent="0.3">
      <c r="A13" s="19"/>
      <c r="B13" s="24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5"/>
        <v/>
      </c>
      <c r="G13" s="21" t="str">
        <f t="shared" si="4"/>
        <v/>
      </c>
      <c r="H13" s="21" t="str">
        <f t="shared" si="2"/>
        <v/>
      </c>
      <c r="J13" s="25" t="s">
        <v>22</v>
      </c>
      <c r="K13" s="12">
        <f>(K10*K9)-K9*K12</f>
        <v>12000</v>
      </c>
    </row>
    <row r="14" spans="1:12" x14ac:dyDescent="0.3">
      <c r="A14" s="2"/>
      <c r="B14" s="23" t="str">
        <f t="shared" si="3"/>
        <v/>
      </c>
      <c r="C14" s="3"/>
      <c r="D14" s="4" t="str">
        <f t="shared" si="0"/>
        <v/>
      </c>
      <c r="E14" s="4" t="str">
        <f t="shared" si="1"/>
        <v/>
      </c>
      <c r="F14" s="4" t="str">
        <f t="shared" si="5"/>
        <v/>
      </c>
      <c r="G14" s="4" t="str">
        <f t="shared" si="4"/>
        <v/>
      </c>
      <c r="H14" s="4" t="str">
        <f t="shared" si="2"/>
        <v/>
      </c>
      <c r="J14" s="11" t="s">
        <v>23</v>
      </c>
      <c r="K14" s="12">
        <f>IF(A2="", K9*K10, IFERROR(INDEX($G:$G, MATCH($K$12, $B:$B, 0)), 0))</f>
        <v>12000</v>
      </c>
    </row>
    <row r="15" spans="1:12" ht="17.25" thickBot="1" x14ac:dyDescent="0.35">
      <c r="A15" s="19"/>
      <c r="B15" s="24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5"/>
        <v/>
      </c>
      <c r="G15" s="21" t="str">
        <f t="shared" si="4"/>
        <v/>
      </c>
      <c r="H15" s="21" t="str">
        <f t="shared" si="2"/>
        <v/>
      </c>
      <c r="J15" s="13" t="s">
        <v>6</v>
      </c>
      <c r="K15" s="14">
        <f>IFERROR(INDEX($H:$H, MATCH($K$12, $B:$B, 0)), 0)</f>
        <v>0</v>
      </c>
    </row>
    <row r="16" spans="1:12" x14ac:dyDescent="0.3">
      <c r="A16" s="2"/>
      <c r="B16" s="23" t="str">
        <f t="shared" si="3"/>
        <v/>
      </c>
      <c r="C16" s="3"/>
      <c r="D16" s="4" t="str">
        <f t="shared" si="0"/>
        <v/>
      </c>
      <c r="E16" s="4" t="str">
        <f t="shared" si="1"/>
        <v/>
      </c>
      <c r="F16" s="4" t="str">
        <f t="shared" si="5"/>
        <v/>
      </c>
      <c r="G16" s="4" t="str">
        <f t="shared" si="4"/>
        <v/>
      </c>
      <c r="H16" s="4" t="str">
        <f t="shared" si="2"/>
        <v/>
      </c>
      <c r="J16" s="15" t="s">
        <v>18</v>
      </c>
      <c r="K16" s="16" t="str">
        <f>IF(A2,A2, "")</f>
        <v/>
      </c>
    </row>
    <row r="17" spans="1:11" x14ac:dyDescent="0.3">
      <c r="A17" s="19"/>
      <c r="B17" s="24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5"/>
        <v/>
      </c>
      <c r="G17" s="21" t="str">
        <f t="shared" si="4"/>
        <v/>
      </c>
      <c r="H17" s="21" t="str">
        <f t="shared" si="2"/>
        <v/>
      </c>
      <c r="J17" s="17" t="s">
        <v>19</v>
      </c>
      <c r="K17" s="18" t="str">
        <f xml:space="preserve"> IF(A2,(K16 + 120),"")</f>
        <v/>
      </c>
    </row>
    <row r="18" spans="1:11" x14ac:dyDescent="0.3">
      <c r="A18" s="2"/>
      <c r="B18" s="23" t="str">
        <f t="shared" si="3"/>
        <v/>
      </c>
      <c r="C18" s="3"/>
      <c r="D18" s="4" t="str">
        <f t="shared" si="0"/>
        <v/>
      </c>
      <c r="E18" s="4" t="str">
        <f t="shared" si="1"/>
        <v/>
      </c>
      <c r="F18" s="4" t="str">
        <f t="shared" si="5"/>
        <v/>
      </c>
      <c r="G18" s="4" t="str">
        <f t="shared" si="4"/>
        <v/>
      </c>
      <c r="H18" s="4" t="str">
        <f t="shared" si="2"/>
        <v/>
      </c>
    </row>
    <row r="19" spans="1:11" x14ac:dyDescent="0.3">
      <c r="A19" s="19"/>
      <c r="B19" s="24" t="str">
        <f t="shared" si="3"/>
        <v/>
      </c>
      <c r="C19" s="20"/>
      <c r="D19" s="21" t="str">
        <f t="shared" si="0"/>
        <v/>
      </c>
      <c r="E19" s="21" t="str">
        <f t="shared" si="1"/>
        <v/>
      </c>
      <c r="F19" s="21" t="str">
        <f t="shared" si="5"/>
        <v/>
      </c>
      <c r="G19" s="21" t="str">
        <f t="shared" si="4"/>
        <v/>
      </c>
      <c r="H19" s="21" t="str">
        <f t="shared" si="2"/>
        <v/>
      </c>
    </row>
    <row r="20" spans="1:11" x14ac:dyDescent="0.3">
      <c r="A20" s="2"/>
      <c r="B20" s="23" t="str">
        <f t="shared" si="3"/>
        <v/>
      </c>
      <c r="C20" s="3"/>
      <c r="D20" s="4" t="str">
        <f t="shared" si="0"/>
        <v/>
      </c>
      <c r="E20" s="4" t="str">
        <f t="shared" si="1"/>
        <v/>
      </c>
      <c r="F20" s="4" t="str">
        <f t="shared" si="5"/>
        <v/>
      </c>
      <c r="G20" s="4" t="str">
        <f t="shared" si="4"/>
        <v/>
      </c>
      <c r="H20" s="4" t="str">
        <f t="shared" si="2"/>
        <v/>
      </c>
      <c r="J20" s="22"/>
      <c r="K20" s="22"/>
    </row>
    <row r="21" spans="1:11" x14ac:dyDescent="0.3">
      <c r="A21" s="19"/>
      <c r="B21" s="24" t="str">
        <f t="shared" si="3"/>
        <v/>
      </c>
      <c r="C21" s="20"/>
      <c r="D21" s="21" t="str">
        <f t="shared" si="0"/>
        <v/>
      </c>
      <c r="E21" s="21" t="str">
        <f t="shared" si="1"/>
        <v/>
      </c>
      <c r="F21" s="21" t="str">
        <f t="shared" si="5"/>
        <v/>
      </c>
      <c r="G21" s="21" t="str">
        <f t="shared" si="4"/>
        <v/>
      </c>
      <c r="H21" s="21" t="str">
        <f t="shared" si="2"/>
        <v/>
      </c>
    </row>
    <row r="22" spans="1:11" x14ac:dyDescent="0.3">
      <c r="A22" s="2"/>
      <c r="B22" s="23" t="str">
        <f t="shared" si="3"/>
        <v/>
      </c>
      <c r="C22" s="3"/>
      <c r="D22" s="4" t="str">
        <f t="shared" si="0"/>
        <v/>
      </c>
      <c r="E22" s="4" t="str">
        <f t="shared" si="1"/>
        <v/>
      </c>
      <c r="F22" s="4" t="str">
        <f t="shared" si="5"/>
        <v/>
      </c>
      <c r="G22" s="4" t="str">
        <f t="shared" si="4"/>
        <v/>
      </c>
      <c r="H22" s="4" t="str">
        <f t="shared" si="2"/>
        <v/>
      </c>
    </row>
    <row r="23" spans="1:11" x14ac:dyDescent="0.3">
      <c r="A23" s="19"/>
      <c r="B23" s="24" t="str">
        <f t="shared" si="3"/>
        <v/>
      </c>
      <c r="C23" s="20"/>
      <c r="D23" s="21" t="str">
        <f t="shared" si="0"/>
        <v/>
      </c>
      <c r="E23" s="21" t="str">
        <f t="shared" si="1"/>
        <v/>
      </c>
      <c r="F23" s="21" t="str">
        <f t="shared" si="5"/>
        <v/>
      </c>
      <c r="G23" s="21" t="str">
        <f t="shared" si="4"/>
        <v/>
      </c>
      <c r="H23" s="21" t="str">
        <f t="shared" si="2"/>
        <v/>
      </c>
    </row>
    <row r="24" spans="1:11" x14ac:dyDescent="0.3">
      <c r="A24" s="2"/>
      <c r="B24" s="23" t="str">
        <f t="shared" si="3"/>
        <v/>
      </c>
      <c r="C24" s="3"/>
      <c r="D24" s="4" t="str">
        <f t="shared" si="0"/>
        <v/>
      </c>
      <c r="E24" s="4" t="str">
        <f t="shared" si="1"/>
        <v/>
      </c>
      <c r="F24" s="4" t="str">
        <f t="shared" si="5"/>
        <v/>
      </c>
      <c r="G24" s="4" t="str">
        <f t="shared" si="4"/>
        <v/>
      </c>
      <c r="H24" s="4" t="str">
        <f t="shared" si="2"/>
        <v/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ref="D34:D65" si="6">IF(AND($A34&lt;&gt;"",$B34&lt;&gt;""),$K$9,"")</f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6"/>
        <v/>
      </c>
      <c r="E35" s="21" t="str">
        <f t="shared" ref="E35:E66" si="7">IF(AND($A35&lt;&gt;"",$B35&lt;&gt;""),G34*$K$8,"")</f>
        <v/>
      </c>
      <c r="F35" s="21" t="str">
        <f t="shared" si="5"/>
        <v/>
      </c>
      <c r="G35" s="21" t="str">
        <f t="shared" si="4"/>
        <v/>
      </c>
      <c r="H35" s="21" t="str">
        <f t="shared" ref="H35:H66" si="8">IF(AND($A35&lt;&gt;"",$B35&lt;&gt;""),$K$7-G35,"")</f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6"/>
        <v/>
      </c>
      <c r="E36" s="4" t="str">
        <f t="shared" si="7"/>
        <v/>
      </c>
      <c r="F36" s="4" t="str">
        <f t="shared" si="5"/>
        <v/>
      </c>
      <c r="G36" s="4" t="str">
        <f t="shared" si="4"/>
        <v/>
      </c>
      <c r="H36" s="4" t="str">
        <f t="shared" si="8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empV8GDjInAWoi56apvKRtXMhuz9nJhBVMtBm6/VzRAVfk3N0ohZouamh1ziAjcIHaID/dVNDZsBtJu+cevheQ==" saltValue="FGEBc0OR+ga6T9gWiY+mEg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2026-09-12T08:02:42Z</dcterms:modified>
</cp:coreProperties>
</file>