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51" i="4" s="1"/>
  <c r="B52" i="4" s="1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E59" i="4"/>
  <c r="F59" i="4" s="1"/>
  <c r="G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H43" i="4"/>
  <c r="E103" i="4" l="1"/>
  <c r="F103" i="4" s="1"/>
  <c r="G103" i="4"/>
  <c r="H102" i="4"/>
  <c r="H78" i="4"/>
  <c r="E79" i="4"/>
  <c r="F79" i="4" s="1"/>
  <c r="G79" i="4" s="1"/>
  <c r="E45" i="4"/>
  <c r="F45" i="4" s="1"/>
  <c r="G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K15" i="4" l="1"/>
  <c r="K14" i="4"/>
  <c r="H80" i="4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<sst xmlns="http://schemas.openxmlformats.org/spreadsheetml/2006/main" count="25" uniqueCount="24">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</sst>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59" activePane="bottomLeft" state="frozen"/>
      <selection pane="bottomLeft" activeCell="B67" sqref="B6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66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27000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24816.380037149793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25183.619962850207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>
        <v>46217</v>
      </c>
      <c r="B45" s="24">
        <f t="shared" si="3"/>
        <v>44</v>
      </c>
      <c r="C45" s="20"/>
      <c r="D45" s="21">
        <f t="shared" si="6"/>
        <v>500</v>
      </c>
      <c r="E45" s="21">
        <f t="shared" si="7"/>
        <v>106.45764715566462</v>
      </c>
      <c r="F45" s="21">
        <f t="shared" si="5"/>
        <v>393.54235284433537</v>
      </c>
      <c r="G45" s="21">
        <f t="shared" si="4"/>
        <v>33791.244856643629</v>
      </c>
      <c r="H45" s="21">
        <f t="shared" si="8"/>
        <v>16208.755143356371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6"/>
        <v>500</v>
      </c>
      <c r="E46" s="4">
        <f t="shared" si="7"/>
        <v>105.23208466545013</v>
      </c>
      <c r="F46" s="4">
        <f t="shared" si="5"/>
        <v>394.76791533454985</v>
      </c>
      <c r="G46" s="4">
        <f t="shared" si="4"/>
        <v>33396.476941309076</v>
      </c>
      <c r="H46" s="4">
        <f t="shared" si="8"/>
        <v>16603.523058690924</v>
      </c>
    </row>
    <row r="47" spans="1:8" x14ac:dyDescent="0.3">
      <c r="A47" s="19">
        <v>46224</v>
      </c>
      <c r="B47" s="24">
        <f t="shared" si="3"/>
        <v>46</v>
      </c>
      <c r="C47" s="20"/>
      <c r="D47" s="21">
        <f t="shared" si="6"/>
        <v>500</v>
      </c>
      <c r="E47" s="21">
        <f t="shared" si="7"/>
        <v>104.00270555065492</v>
      </c>
      <c r="F47" s="21">
        <f t="shared" si="5"/>
        <v>395.99729444934508</v>
      </c>
      <c r="G47" s="21">
        <f t="shared" si="4"/>
        <v>33000.479646859734</v>
      </c>
      <c r="H47" s="21">
        <f t="shared" si="8"/>
        <v>16999.520353140266</v>
      </c>
    </row>
    <row r="48" spans="1:8" x14ac:dyDescent="0.3">
      <c r="A48" s="2">
        <v>46231</v>
      </c>
      <c r="B48" s="23">
        <f t="shared" si="3"/>
        <v>47</v>
      </c>
      <c r="C48" s="3"/>
      <c r="D48" s="4">
        <f t="shared" si="6"/>
        <v>500</v>
      </c>
      <c r="E48" s="4">
        <f t="shared" si="7"/>
        <v>102.76949792561564</v>
      </c>
      <c r="F48" s="4">
        <f t="shared" si="5"/>
        <v>397.23050207438439</v>
      </c>
      <c r="G48" s="4">
        <f t="shared" si="4"/>
        <v>32603.24914478535</v>
      </c>
      <c r="H48" s="4">
        <f t="shared" si="8"/>
        <v>17396.75085521465</v>
      </c>
    </row>
    <row r="49" spans="1:8" x14ac:dyDescent="0.3">
      <c r="A49" s="19">
        <v>46239</v>
      </c>
      <c r="B49" s="24">
        <f t="shared" si="3"/>
        <v>48</v>
      </c>
      <c r="C49" s="20"/>
      <c r="D49" s="21">
        <f t="shared" si="6"/>
        <v>500</v>
      </c>
      <c r="E49" s="21">
        <f t="shared" si="7"/>
        <v>101.53244986765478</v>
      </c>
      <c r="F49" s="21">
        <f t="shared" si="5"/>
        <v>398.4675501323452</v>
      </c>
      <c r="G49" s="21">
        <f t="shared" si="4"/>
        <v>32204.781594653006</v>
      </c>
      <c r="H49" s="21">
        <f t="shared" si="8"/>
        <v>17795.218405346994</v>
      </c>
    </row>
    <row r="50" spans="1:8" x14ac:dyDescent="0.3">
      <c r="A50" s="2">
        <v>46239</v>
      </c>
      <c r="B50" s="23">
        <f t="shared" si="3"/>
        <v>49</v>
      </c>
      <c r="C50" s="3"/>
      <c r="D50" s="4">
        <f t="shared" si="6"/>
        <v>500</v>
      </c>
      <c r="E50" s="4">
        <f t="shared" si="7"/>
        <v>100.29154941696548</v>
      </c>
      <c r="F50" s="4">
        <f t="shared" si="5"/>
        <v>399.70845058303451</v>
      </c>
      <c r="G50" s="4">
        <f t="shared" si="4"/>
        <v>31805.073144069971</v>
      </c>
      <c r="H50" s="4">
        <f t="shared" si="8"/>
        <v>18194.926855930029</v>
      </c>
    </row>
    <row r="51" spans="1:8" x14ac:dyDescent="0.3">
      <c r="A51" s="19">
        <v>46239</v>
      </c>
      <c r="B51" s="24">
        <f t="shared" si="3"/>
        <v>50</v>
      </c>
      <c r="C51" s="20"/>
      <c r="D51" s="21">
        <f t="shared" si="6"/>
        <v>500</v>
      </c>
      <c r="E51" s="21">
        <f t="shared" si="7"/>
        <v>99.046784576495867</v>
      </c>
      <c r="F51" s="21">
        <f t="shared" si="5"/>
        <v>400.95321542350416</v>
      </c>
      <c r="G51" s="21">
        <f t="shared" si="4"/>
        <v>31404.119928646465</v>
      </c>
      <c r="H51" s="21">
        <f t="shared" si="8"/>
        <v>18595.880071353535</v>
      </c>
    </row>
    <row r="52" spans="1:8" x14ac:dyDescent="0.3">
      <c r="A52" s="2">
        <v>46239</v>
      </c>
      <c r="B52" s="23">
        <f t="shared" si="3"/>
        <v>51</v>
      </c>
      <c r="C52" s="3"/>
      <c r="D52" s="4">
        <f t="shared" si="6"/>
        <v>500</v>
      </c>
      <c r="E52" s="4">
        <f t="shared" si="7"/>
        <v>97.79814331183303</v>
      </c>
      <c r="F52" s="4">
        <f t="shared" si="5"/>
        <v>402.20185668816697</v>
      </c>
      <c r="G52" s="4">
        <f t="shared" si="4"/>
        <v>31001.918071958298</v>
      </c>
      <c r="H52" s="4">
        <f t="shared" si="8"/>
        <v>18998.081928041702</v>
      </c>
    </row>
    <row r="53" spans="1:8" x14ac:dyDescent="0.3">
      <c r="A53" s="19">
        <v>46242</v>
      </c>
      <c r="B53" s="24">
        <f t="shared" si="3"/>
        <v>52</v>
      </c>
      <c r="C53" s="20"/>
      <c r="D53" s="21">
        <f t="shared" si="6"/>
        <v>500</v>
      </c>
      <c r="E53" s="21">
        <f t="shared" si="7"/>
        <v>96.545613551086774</v>
      </c>
      <c r="F53" s="21">
        <f t="shared" si="5"/>
        <v>403.45438644891323</v>
      </c>
      <c r="G53" s="21">
        <f t="shared" si="4"/>
        <v>30598.463685509385</v>
      </c>
      <c r="H53" s="21">
        <f t="shared" si="8"/>
        <v>19401.536314490615</v>
      </c>
    </row>
    <row r="54" spans="1:8" x14ac:dyDescent="0.3">
      <c r="A54" s="2">
        <v>46243</v>
      </c>
      <c r="B54" s="23">
        <f t="shared" si="3"/>
        <v>53</v>
      </c>
      <c r="C54" s="3"/>
      <c r="D54" s="4">
        <f t="shared" si="6"/>
        <v>500</v>
      </c>
      <c r="E54" s="4">
        <f t="shared" si="7"/>
        <v>95.289183184772753</v>
      </c>
      <c r="F54" s="4">
        <f t="shared" si="5"/>
        <v>404.71081681522725</v>
      </c>
      <c r="G54" s="4">
        <f t="shared" si="4"/>
        <v>30193.752868694159</v>
      </c>
      <c r="H54" s="4">
        <f t="shared" si="8"/>
        <v>19806.247131305841</v>
      </c>
    </row>
    <row r="55" spans="1:8" x14ac:dyDescent="0.3">
      <c r="A55" s="19">
        <v>46244</v>
      </c>
      <c r="B55" s="24">
        <f t="shared" si="3"/>
        <v>54</v>
      </c>
      <c r="C55" s="20"/>
      <c r="D55" s="21">
        <f t="shared" si="6"/>
        <v>500</v>
      </c>
      <c r="E55" s="21">
        <f t="shared" si="7"/>
        <v>94.028840065695562</v>
      </c>
      <c r="F55" s="21">
        <f t="shared" si="5"/>
        <v>405.97115993430441</v>
      </c>
      <c r="G55" s="21">
        <f t="shared" si="4"/>
        <v>29787.781708759856</v>
      </c>
      <c r="H55" s="21">
        <f t="shared" si="8"/>
        <v>20212.218291240144</v>
      </c>
    </row>
    <row r="56" spans="1:8" x14ac:dyDescent="0.3">
      <c r="A56" s="2">
        <v>46246</v>
      </c>
      <c r="B56" s="23">
        <f t="shared" si="3"/>
        <v>55</v>
      </c>
      <c r="C56" s="3"/>
      <c r="D56" s="4">
        <f t="shared" si="6"/>
        <v>500</v>
      </c>
      <c r="E56" s="4">
        <f t="shared" si="7"/>
        <v>92.76457200883118</v>
      </c>
      <c r="F56" s="4">
        <f t="shared" si="5"/>
        <v>407.23542799116882</v>
      </c>
      <c r="G56" s="4">
        <f t="shared" si="4"/>
        <v>29380.546280768685</v>
      </c>
      <c r="H56" s="4">
        <f t="shared" si="8"/>
        <v>20619.453719231315</v>
      </c>
    </row>
    <row r="57" spans="1:8" x14ac:dyDescent="0.3">
      <c r="A57" s="19">
        <v>46256</v>
      </c>
      <c r="B57" s="24">
        <f t="shared" si="3"/>
        <v>56</v>
      </c>
      <c r="C57" s="20"/>
      <c r="D57" s="21">
        <f t="shared" si="6"/>
        <v>500</v>
      </c>
      <c r="E57" s="21">
        <f t="shared" si="7"/>
        <v>91.496366791209184</v>
      </c>
      <c r="F57" s="21">
        <f t="shared" si="5"/>
        <v>408.5036332087908</v>
      </c>
      <c r="G57" s="21">
        <f t="shared" si="4"/>
        <v>28972.042647559894</v>
      </c>
      <c r="H57" s="21">
        <f t="shared" si="8"/>
        <v>21027.957352440106</v>
      </c>
    </row>
    <row r="58" spans="1:8" x14ac:dyDescent="0.3">
      <c r="A58" s="2">
        <v>46259</v>
      </c>
      <c r="B58" s="23">
        <f t="shared" si="3"/>
        <v>57</v>
      </c>
      <c r="C58" s="3"/>
      <c r="D58" s="4">
        <f t="shared" si="6"/>
        <v>500</v>
      </c>
      <c r="E58" s="4">
        <f t="shared" si="7"/>
        <v>90.22421215179466</v>
      </c>
      <c r="F58" s="4">
        <f t="shared" si="5"/>
        <v>409.77578784820537</v>
      </c>
      <c r="G58" s="4">
        <f t="shared" si="4"/>
        <v>28562.26685971169</v>
      </c>
      <c r="H58" s="4">
        <f t="shared" si="8"/>
        <v>21437.73314028831</v>
      </c>
    </row>
    <row r="59" spans="1:8" x14ac:dyDescent="0.3">
      <c r="A59" s="19">
        <v>46259</v>
      </c>
      <c r="B59" s="24">
        <f t="shared" si="3"/>
        <v>58</v>
      </c>
      <c r="C59" s="20"/>
      <c r="D59" s="21">
        <f t="shared" si="6"/>
        <v>500</v>
      </c>
      <c r="E59" s="21">
        <f t="shared" si="7"/>
        <v>88.948095791369553</v>
      </c>
      <c r="F59" s="21">
        <f t="shared" si="5"/>
        <v>411.05190420863045</v>
      </c>
      <c r="G59" s="21">
        <f t="shared" si="4"/>
        <v>28151.214955503059</v>
      </c>
      <c r="H59" s="21">
        <f t="shared" si="8"/>
        <v>21848.785044496941</v>
      </c>
    </row>
    <row r="60" spans="1:8" x14ac:dyDescent="0.3">
      <c r="A60" s="2">
        <v>46270</v>
      </c>
      <c r="B60" s="23">
        <f t="shared" si="3"/>
        <v>59</v>
      </c>
      <c r="C60" s="3"/>
      <c r="D60" s="4">
        <f t="shared" si="6"/>
        <v>500</v>
      </c>
      <c r="E60" s="4">
        <f t="shared" si="7"/>
        <v>87.668005372413802</v>
      </c>
      <c r="F60" s="4">
        <f t="shared" si="5"/>
        <v>412.3319946275862</v>
      </c>
      <c r="G60" s="4">
        <f t="shared" si="4"/>
        <v>27738.882960875471</v>
      </c>
      <c r="H60" s="4">
        <f t="shared" si="8"/>
        <v>22261.117039124529</v>
      </c>
    </row>
    <row r="61" spans="1:8" x14ac:dyDescent="0.3">
      <c r="A61" s="19">
        <v>46271</v>
      </c>
      <c r="B61" s="24">
        <f t="shared" si="3"/>
        <v>60</v>
      </c>
      <c r="C61" s="20"/>
      <c r="D61" s="21">
        <f t="shared" si="6"/>
        <v>500</v>
      </c>
      <c r="E61" s="21">
        <f t="shared" si="7"/>
        <v>86.383928518986096</v>
      </c>
      <c r="F61" s="21">
        <f t="shared" si="5"/>
        <v>413.61607148101393</v>
      </c>
      <c r="G61" s="21">
        <f t="shared" si="4"/>
        <v>27325.266889394457</v>
      </c>
      <c r="H61" s="21">
        <f t="shared" si="8"/>
        <v>22674.733110605543</v>
      </c>
    </row>
    <row r="62" spans="1:8" x14ac:dyDescent="0.3">
      <c r="A62" s="2">
        <v>46276</v>
      </c>
      <c r="B62" s="23">
        <f t="shared" si="3"/>
        <v>61</v>
      </c>
      <c r="C62" s="3"/>
      <c r="D62" s="4">
        <f t="shared" si="6"/>
        <v>500</v>
      </c>
      <c r="E62" s="4">
        <f t="shared" si="7"/>
        <v>85.095852816604165</v>
      </c>
      <c r="F62" s="4">
        <f t="shared" si="5"/>
        <v>414.90414718339582</v>
      </c>
      <c r="G62" s="4">
        <f t="shared" si="4"/>
        <v>26910.362742211062</v>
      </c>
      <c r="H62" s="4">
        <f t="shared" si="8"/>
        <v>23089.637257788938</v>
      </c>
    </row>
    <row r="63" spans="1:8" x14ac:dyDescent="0.3">
      <c r="A63" s="19">
        <v>46281</v>
      </c>
      <c r="B63" s="24">
        <f t="shared" si="3"/>
        <v>62</v>
      </c>
      <c r="C63" s="20"/>
      <c r="D63" s="21">
        <f t="shared" si="6"/>
        <v>500</v>
      </c>
      <c r="E63" s="21">
        <f t="shared" si="7"/>
        <v>83.803765812124794</v>
      </c>
      <c r="F63" s="21">
        <f t="shared" si="5"/>
        <v>416.19623418787523</v>
      </c>
      <c r="G63" s="21">
        <f t="shared" si="4"/>
        <v>26494.166508023187</v>
      </c>
      <c r="H63" s="21">
        <f t="shared" si="8"/>
        <v>23505.833491976813</v>
      </c>
    </row>
    <row r="64" spans="1:8" x14ac:dyDescent="0.3">
      <c r="A64" s="2">
        <v>46283</v>
      </c>
      <c r="B64" s="23">
        <f t="shared" si="3"/>
        <v>63</v>
      </c>
      <c r="C64" s="3"/>
      <c r="D64" s="4">
        <f t="shared" si="6"/>
        <v>500</v>
      </c>
      <c r="E64" s="4">
        <f t="shared" si="7"/>
        <v>82.50765501362342</v>
      </c>
      <c r="F64" s="4">
        <f t="shared" si="5"/>
        <v>417.49234498637657</v>
      </c>
      <c r="G64" s="4">
        <f t="shared" si="4"/>
        <v>26076.674163036809</v>
      </c>
      <c r="H64" s="4">
        <f t="shared" si="8"/>
        <v>23923.325836963191</v>
      </c>
    </row>
    <row r="65" spans="1:8" x14ac:dyDescent="0.3">
      <c r="A65" s="19">
        <v>46289</v>
      </c>
      <c r="B65" s="24">
        <f t="shared" si="3"/>
        <v>64</v>
      </c>
      <c r="C65" s="20"/>
      <c r="D65" s="21">
        <f t="shared" si="6"/>
        <v>500</v>
      </c>
      <c r="E65" s="21">
        <f t="shared" si="7"/>
        <v>81.20750789027332</v>
      </c>
      <c r="F65" s="21">
        <f t="shared" si="5"/>
        <v>418.79249210972671</v>
      </c>
      <c r="G65" s="21">
        <f t="shared" si="4"/>
        <v>25657.881670927083</v>
      </c>
      <c r="H65" s="21">
        <f t="shared" si="8"/>
        <v>24342.118329072917</v>
      </c>
    </row>
    <row r="66" spans="1:8" x14ac:dyDescent="0.3">
      <c r="A66" s="2">
        <v>46290</v>
      </c>
      <c r="B66" s="23">
        <f t="shared" si="3"/>
        <v>65</v>
      </c>
      <c r="C66" s="3"/>
      <c r="D66" s="4">
        <f t="shared" ref="D66:D97" si="9">IF(AND($A66&lt;&gt;"",$B66&lt;&gt;""),$K$9,"")</f>
        <v>500</v>
      </c>
      <c r="E66" s="4">
        <f t="shared" si="7"/>
        <v>79.903311872224563</v>
      </c>
      <c r="F66" s="4">
        <f t="shared" si="5"/>
        <v>420.09668812777545</v>
      </c>
      <c r="G66" s="4">
        <f t="shared" si="4"/>
        <v>25237.784982799309</v>
      </c>
      <c r="H66" s="4">
        <f t="shared" si="8"/>
        <v>24762.215017200691</v>
      </c>
    </row>
    <row r="67" spans="1:8" x14ac:dyDescent="0.3">
      <c r="A67" s="19">
        <v>46294</v>
      </c>
      <c r="B67" s="24">
        <f t="shared" si="3"/>
        <v>66</v>
      </c>
      <c r="C67" s="20"/>
      <c r="D67" s="21">
        <f t="shared" si="9"/>
        <v>500</v>
      </c>
      <c r="E67" s="21">
        <f t="shared" ref="E67:E98" si="10">IF(AND($A67&lt;&gt;"",$B67&lt;&gt;""),G66*$K$8,"")</f>
        <v>78.595054350482343</v>
      </c>
      <c r="F67" s="21">
        <f t="shared" si="5"/>
        <v>421.40494564951769</v>
      </c>
      <c r="G67" s="21">
        <f t="shared" si="4"/>
        <v>24816.380037149793</v>
      </c>
      <c r="H67" s="21">
        <f t="shared" ref="H67:H98" si="11">IF(AND($A67&lt;&gt;"",$B67&lt;&gt;""),$K$7-G67,"")</f>
        <v>25183.619962850207</v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2026-09-30T07:40:42Z</dcterms:modified>
</cp:coreProperties>
</file>