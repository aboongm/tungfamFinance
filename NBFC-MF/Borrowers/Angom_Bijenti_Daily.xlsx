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4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4" l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118" i="4"/>
  <c r="B119" i="4"/>
  <c r="B120" i="4"/>
  <c r="B121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59" i="4"/>
  <c r="B60" i="4"/>
  <c r="B61" i="4"/>
  <c r="B62" i="4"/>
  <c r="B63" i="4"/>
  <c r="B64" i="4"/>
  <c r="B65" i="4"/>
  <c r="B66" i="4"/>
  <c r="B67" i="4"/>
  <c r="B68" i="4"/>
  <c r="B69" i="4"/>
  <c r="B70" i="4"/>
  <c r="B51" i="4"/>
  <c r="B52" i="4"/>
  <c r="B53" i="4"/>
  <c r="B54" i="4"/>
  <c r="B55" i="4"/>
  <c r="B56" i="4"/>
  <c r="B57" i="4"/>
  <c r="B58" i="4"/>
  <c r="B42" i="4"/>
  <c r="B43" i="4"/>
  <c r="B44" i="4"/>
  <c r="B45" i="4"/>
  <c r="B46" i="4"/>
  <c r="B47" i="4"/>
  <c r="B48" i="4"/>
  <c r="B49" i="4"/>
  <c r="B50" i="4"/>
  <c r="B37" i="4"/>
  <c r="B38" i="4"/>
  <c r="B39" i="4"/>
  <c r="B40" i="4"/>
  <c r="B41" i="4"/>
  <c r="B31" i="4"/>
  <c r="B32" i="4"/>
  <c r="B33" i="4"/>
  <c r="B34" i="4"/>
  <c r="B35" i="4"/>
  <c r="B36" i="4"/>
  <c r="B30" i="4"/>
  <c r="K16" i="4" l="1"/>
  <c r="K17" i="4" s="1"/>
  <c r="K2" i="4" l="1"/>
  <c r="K12" i="4" l="1"/>
  <c r="E47" i="4"/>
  <c r="E63" i="4"/>
  <c r="E87" i="4"/>
  <c r="E105" i="4"/>
  <c r="E120" i="4"/>
  <c r="F105" i="4"/>
  <c r="G105" i="4" s="1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F120" i="4" s="1"/>
  <c r="G120" i="4" s="1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F87" i="4" s="1"/>
  <c r="G87" i="4" s="1"/>
  <c r="D88" i="4"/>
  <c r="D55" i="4"/>
  <c r="D56" i="4"/>
  <c r="D57" i="4"/>
  <c r="D58" i="4"/>
  <c r="D59" i="4"/>
  <c r="D60" i="4"/>
  <c r="D61" i="4"/>
  <c r="D62" i="4"/>
  <c r="D63" i="4"/>
  <c r="F63" i="4" s="1"/>
  <c r="G63" i="4" s="1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F47" i="4" s="1"/>
  <c r="G47" i="4" s="1"/>
  <c r="D48" i="4"/>
  <c r="D49" i="4"/>
  <c r="D50" i="4"/>
  <c r="D51" i="4"/>
  <c r="D52" i="4"/>
  <c r="D53" i="4"/>
  <c r="D54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D2" i="4"/>
  <c r="D3" i="4"/>
  <c r="K13" i="4" l="1"/>
  <c r="F121" i="4"/>
  <c r="G121" i="4" s="1"/>
  <c r="H121" i="4" s="1"/>
  <c r="H120" i="4"/>
  <c r="E121" i="4"/>
  <c r="H105" i="4"/>
  <c r="E106" i="4"/>
  <c r="F106" i="4" s="1"/>
  <c r="G106" i="4" s="1"/>
  <c r="H87" i="4"/>
  <c r="E88" i="4"/>
  <c r="F88" i="4" s="1"/>
  <c r="G88" i="4" s="1"/>
  <c r="H63" i="4"/>
  <c r="E64" i="4"/>
  <c r="F64" i="4" s="1"/>
  <c r="G64" i="4" s="1"/>
  <c r="H47" i="4"/>
  <c r="E48" i="4"/>
  <c r="F48" i="4" s="1"/>
  <c r="G48" i="4" s="1"/>
  <c r="E30" i="4"/>
  <c r="F30" i="4" s="1"/>
  <c r="G30" i="4" s="1"/>
  <c r="K8" i="4"/>
  <c r="E2" i="4" s="1"/>
  <c r="F2" i="4" s="1"/>
  <c r="G2" i="4" s="1"/>
  <c r="H2" i="4" l="1"/>
  <c r="E3" i="4"/>
  <c r="E107" i="4"/>
  <c r="F107" i="4" s="1"/>
  <c r="G107" i="4" s="1"/>
  <c r="H106" i="4"/>
  <c r="H88" i="4"/>
  <c r="E89" i="4"/>
  <c r="F89" i="4" s="1"/>
  <c r="G89" i="4" s="1"/>
  <c r="H64" i="4"/>
  <c r="E65" i="4"/>
  <c r="F65" i="4" s="1"/>
  <c r="G65" i="4" s="1"/>
  <c r="E49" i="4"/>
  <c r="F49" i="4" s="1"/>
  <c r="G49" i="4" s="1"/>
  <c r="H48" i="4"/>
  <c r="H30" i="4"/>
  <c r="E31" i="4"/>
  <c r="F31" i="4" s="1"/>
  <c r="G31" i="4" s="1"/>
  <c r="H107" i="4" l="1"/>
  <c r="G108" i="4"/>
  <c r="E108" i="4"/>
  <c r="F108" i="4" s="1"/>
  <c r="H89" i="4"/>
  <c r="E90" i="4"/>
  <c r="F90" i="4" s="1"/>
  <c r="G90" i="4" s="1"/>
  <c r="H65" i="4"/>
  <c r="E66" i="4"/>
  <c r="F66" i="4" s="1"/>
  <c r="G66" i="4" s="1"/>
  <c r="E50" i="4"/>
  <c r="F50" i="4" s="1"/>
  <c r="G50" i="4" s="1"/>
  <c r="H49" i="4"/>
  <c r="E32" i="4"/>
  <c r="F32" i="4" s="1"/>
  <c r="G32" i="4"/>
  <c r="H31" i="4"/>
  <c r="E109" i="4" l="1"/>
  <c r="F109" i="4" s="1"/>
  <c r="H108" i="4"/>
  <c r="G109" i="4"/>
  <c r="E91" i="4"/>
  <c r="F91" i="4" s="1"/>
  <c r="G91" i="4"/>
  <c r="H90" i="4"/>
  <c r="H66" i="4"/>
  <c r="E67" i="4"/>
  <c r="F67" i="4" s="1"/>
  <c r="G67" i="4" s="1"/>
  <c r="G51" i="4"/>
  <c r="E51" i="4"/>
  <c r="F51" i="4" s="1"/>
  <c r="H50" i="4"/>
  <c r="E33" i="4"/>
  <c r="F33" i="4" s="1"/>
  <c r="G33" i="4" s="1"/>
  <c r="H32" i="4"/>
  <c r="E110" i="4" l="1"/>
  <c r="F110" i="4" s="1"/>
  <c r="G110" i="4" s="1"/>
  <c r="H109" i="4"/>
  <c r="H91" i="4"/>
  <c r="E92" i="4"/>
  <c r="F92" i="4" s="1"/>
  <c r="G92" i="4"/>
  <c r="H67" i="4"/>
  <c r="E68" i="4"/>
  <c r="F68" i="4" s="1"/>
  <c r="G68" i="4"/>
  <c r="H51" i="4"/>
  <c r="E52" i="4"/>
  <c r="F52" i="4" s="1"/>
  <c r="G52" i="4" s="1"/>
  <c r="H33" i="4"/>
  <c r="E34" i="4"/>
  <c r="F34" i="4" s="1"/>
  <c r="G34" i="4" s="1"/>
  <c r="G111" i="4" l="1"/>
  <c r="E111" i="4"/>
  <c r="F111" i="4" s="1"/>
  <c r="H110" i="4"/>
  <c r="H92" i="4"/>
  <c r="E93" i="4"/>
  <c r="F93" i="4" s="1"/>
  <c r="G93" i="4" s="1"/>
  <c r="H68" i="4"/>
  <c r="E69" i="4"/>
  <c r="F69" i="4" s="1"/>
  <c r="G69" i="4" s="1"/>
  <c r="G53" i="4"/>
  <c r="E53" i="4"/>
  <c r="F53" i="4" s="1"/>
  <c r="H52" i="4"/>
  <c r="E35" i="4"/>
  <c r="F35" i="4" s="1"/>
  <c r="G35" i="4" s="1"/>
  <c r="H34" i="4"/>
  <c r="E112" i="4" l="1"/>
  <c r="F112" i="4" s="1"/>
  <c r="G112" i="4" s="1"/>
  <c r="H111" i="4"/>
  <c r="H93" i="4"/>
  <c r="E94" i="4"/>
  <c r="F94" i="4" s="1"/>
  <c r="G94" i="4" s="1"/>
  <c r="H69" i="4"/>
  <c r="E70" i="4"/>
  <c r="F70" i="4" s="1"/>
  <c r="G70" i="4" s="1"/>
  <c r="G54" i="4"/>
  <c r="E54" i="4"/>
  <c r="F54" i="4" s="1"/>
  <c r="H53" i="4"/>
  <c r="E36" i="4"/>
  <c r="F36" i="4" s="1"/>
  <c r="G36" i="4"/>
  <c r="H35" i="4"/>
  <c r="E113" i="4" l="1"/>
  <c r="F113" i="4" s="1"/>
  <c r="H112" i="4"/>
  <c r="G113" i="4"/>
  <c r="E95" i="4"/>
  <c r="F95" i="4" s="1"/>
  <c r="G95" i="4"/>
  <c r="H94" i="4"/>
  <c r="H70" i="4"/>
  <c r="E71" i="4"/>
  <c r="F71" i="4" s="1"/>
  <c r="G71" i="4" s="1"/>
  <c r="E55" i="4"/>
  <c r="F55" i="4" s="1"/>
  <c r="G55" i="4" s="1"/>
  <c r="H54" i="4"/>
  <c r="H36" i="4"/>
  <c r="E37" i="4"/>
  <c r="F37" i="4" s="1"/>
  <c r="G37" i="4" s="1"/>
  <c r="H113" i="4" l="1"/>
  <c r="E114" i="4"/>
  <c r="F114" i="4" s="1"/>
  <c r="G114" i="4"/>
  <c r="H95" i="4"/>
  <c r="E96" i="4"/>
  <c r="F96" i="4" s="1"/>
  <c r="G96" i="4"/>
  <c r="H71" i="4"/>
  <c r="E72" i="4"/>
  <c r="F72" i="4" s="1"/>
  <c r="G72" i="4"/>
  <c r="H55" i="4"/>
  <c r="E56" i="4"/>
  <c r="F56" i="4" s="1"/>
  <c r="G56" i="4" s="1"/>
  <c r="H37" i="4"/>
  <c r="E38" i="4"/>
  <c r="F38" i="4" s="1"/>
  <c r="G38" i="4" s="1"/>
  <c r="E115" i="4" l="1"/>
  <c r="F115" i="4" s="1"/>
  <c r="G115" i="4" s="1"/>
  <c r="H114" i="4"/>
  <c r="H96" i="4"/>
  <c r="E97" i="4"/>
  <c r="F97" i="4" s="1"/>
  <c r="G97" i="4" s="1"/>
  <c r="H72" i="4"/>
  <c r="E73" i="4"/>
  <c r="F73" i="4" s="1"/>
  <c r="G73" i="4" s="1"/>
  <c r="G57" i="4"/>
  <c r="E57" i="4"/>
  <c r="F57" i="4" s="1"/>
  <c r="H56" i="4"/>
  <c r="H38" i="4"/>
  <c r="E39" i="4"/>
  <c r="F39" i="4" s="1"/>
  <c r="G39" i="4"/>
  <c r="H115" i="4" l="1"/>
  <c r="E116" i="4"/>
  <c r="F116" i="4" s="1"/>
  <c r="G116" i="4" s="1"/>
  <c r="H97" i="4"/>
  <c r="E98" i="4"/>
  <c r="F98" i="4" s="1"/>
  <c r="G98" i="4" s="1"/>
  <c r="H73" i="4"/>
  <c r="E74" i="4"/>
  <c r="F74" i="4" s="1"/>
  <c r="G74" i="4" s="1"/>
  <c r="E58" i="4"/>
  <c r="F58" i="4" s="1"/>
  <c r="G58" i="4" s="1"/>
  <c r="H57" i="4"/>
  <c r="E40" i="4"/>
  <c r="F40" i="4" s="1"/>
  <c r="G40" i="4" s="1"/>
  <c r="H39" i="4"/>
  <c r="H116" i="4" l="1"/>
  <c r="E117" i="4"/>
  <c r="F117" i="4" s="1"/>
  <c r="G117" i="4" s="1"/>
  <c r="E99" i="4"/>
  <c r="F99" i="4" s="1"/>
  <c r="G99" i="4"/>
  <c r="H98" i="4"/>
  <c r="H74" i="4"/>
  <c r="E75" i="4"/>
  <c r="F75" i="4" s="1"/>
  <c r="G75" i="4" s="1"/>
  <c r="G59" i="4"/>
  <c r="E59" i="4"/>
  <c r="F59" i="4" s="1"/>
  <c r="H58" i="4"/>
  <c r="H40" i="4"/>
  <c r="E41" i="4"/>
  <c r="F41" i="4" s="1"/>
  <c r="G41" i="4" s="1"/>
  <c r="E118" i="4" l="1"/>
  <c r="F118" i="4" s="1"/>
  <c r="G118" i="4" s="1"/>
  <c r="H117" i="4"/>
  <c r="H99" i="4"/>
  <c r="E100" i="4"/>
  <c r="F100" i="4" s="1"/>
  <c r="G100" i="4"/>
  <c r="H75" i="4"/>
  <c r="E76" i="4"/>
  <c r="F76" i="4" s="1"/>
  <c r="G76" i="4"/>
  <c r="H59" i="4"/>
  <c r="E60" i="4"/>
  <c r="F60" i="4" s="1"/>
  <c r="G60" i="4" s="1"/>
  <c r="H41" i="4"/>
  <c r="E42" i="4"/>
  <c r="F42" i="4" s="1"/>
  <c r="G42" i="4" s="1"/>
  <c r="H118" i="4" l="1"/>
  <c r="E119" i="4"/>
  <c r="F119" i="4" s="1"/>
  <c r="G119" i="4" s="1"/>
  <c r="H119" i="4" s="1"/>
  <c r="H100" i="4"/>
  <c r="E101" i="4"/>
  <c r="F101" i="4" s="1"/>
  <c r="G101" i="4" s="1"/>
  <c r="H76" i="4"/>
  <c r="E77" i="4"/>
  <c r="F77" i="4" s="1"/>
  <c r="G77" i="4" s="1"/>
  <c r="E61" i="4"/>
  <c r="F61" i="4" s="1"/>
  <c r="G61" i="4" s="1"/>
  <c r="H60" i="4"/>
  <c r="E43" i="4"/>
  <c r="F43" i="4" s="1"/>
  <c r="H42" i="4"/>
  <c r="G43" i="4"/>
  <c r="H101" i="4" l="1"/>
  <c r="E102" i="4"/>
  <c r="F102" i="4" s="1"/>
  <c r="G102" i="4" s="1"/>
  <c r="H77" i="4"/>
  <c r="E78" i="4"/>
  <c r="F78" i="4" s="1"/>
  <c r="G78" i="4" s="1"/>
  <c r="E62" i="4"/>
  <c r="F62" i="4" s="1"/>
  <c r="G62" i="4" s="1"/>
  <c r="H62" i="4" s="1"/>
  <c r="H61" i="4"/>
  <c r="E44" i="4"/>
  <c r="F44" i="4" s="1"/>
  <c r="G44" i="4" s="1"/>
  <c r="K14" i="4" s="1"/>
  <c r="H43" i="4"/>
  <c r="E103" i="4" l="1"/>
  <c r="F103" i="4" s="1"/>
  <c r="G103" i="4"/>
  <c r="H102" i="4"/>
  <c r="H78" i="4"/>
  <c r="E79" i="4"/>
  <c r="F79" i="4" s="1"/>
  <c r="G79" i="4" s="1"/>
  <c r="G45" i="4"/>
  <c r="E45" i="4"/>
  <c r="F45" i="4" s="1"/>
  <c r="H44" i="4"/>
  <c r="K15" i="4" s="1"/>
  <c r="H103" i="4" l="1"/>
  <c r="E104" i="4"/>
  <c r="F104" i="4" s="1"/>
  <c r="G104" i="4"/>
  <c r="H104" i="4" s="1"/>
  <c r="H79" i="4"/>
  <c r="E80" i="4"/>
  <c r="F80" i="4" s="1"/>
  <c r="G80" i="4"/>
  <c r="H45" i="4"/>
  <c r="E46" i="4"/>
  <c r="F46" i="4" s="1"/>
  <c r="G46" i="4" s="1"/>
  <c r="H46" i="4" s="1"/>
  <c r="H80" i="4" l="1"/>
  <c r="E81" i="4"/>
  <c r="F81" i="4" s="1"/>
  <c r="G81" i="4" s="1"/>
  <c r="H81" i="4" l="1"/>
  <c r="E82" i="4"/>
  <c r="F82" i="4" s="1"/>
  <c r="G82" i="4" s="1"/>
  <c r="F3" i="4"/>
  <c r="G3" i="4" s="1"/>
  <c r="E4" i="4" l="1"/>
  <c r="H3" i="4"/>
  <c r="H82" i="4"/>
  <c r="E83" i="4"/>
  <c r="F83" i="4" s="1"/>
  <c r="G83" i="4" s="1"/>
  <c r="F4" i="4"/>
  <c r="G4" i="4" s="1"/>
  <c r="E5" i="4" l="1"/>
  <c r="F5" i="4" s="1"/>
  <c r="G5" i="4" s="1"/>
  <c r="H4" i="4"/>
  <c r="H83" i="4"/>
  <c r="E84" i="4"/>
  <c r="F84" i="4" s="1"/>
  <c r="G84" i="4"/>
  <c r="H5" i="4" l="1"/>
  <c r="E6" i="4"/>
  <c r="F6" i="4" s="1"/>
  <c r="G6" i="4" s="1"/>
  <c r="H84" i="4"/>
  <c r="E85" i="4"/>
  <c r="F85" i="4" s="1"/>
  <c r="G85" i="4" s="1"/>
  <c r="E7" i="4" l="1"/>
  <c r="F7" i="4" s="1"/>
  <c r="G7" i="4" s="1"/>
  <c r="H6" i="4"/>
  <c r="H85" i="4"/>
  <c r="E86" i="4"/>
  <c r="F86" i="4" s="1"/>
  <c r="G86" i="4" s="1"/>
  <c r="H86" i="4" s="1"/>
  <c r="H7" i="4" l="1"/>
  <c r="E8" i="4"/>
  <c r="F8" i="4" s="1"/>
  <c r="G8" i="4" s="1"/>
  <c r="E9" i="4" l="1"/>
  <c r="F9" i="4" s="1"/>
  <c r="G9" i="4" s="1"/>
  <c r="H8" i="4"/>
  <c r="H9" i="4" l="1"/>
  <c r="E10" i="4"/>
  <c r="F10" i="4" s="1"/>
  <c r="G10" i="4" s="1"/>
  <c r="E11" i="4" l="1"/>
  <c r="F11" i="4" s="1"/>
  <c r="G11" i="4" s="1"/>
  <c r="H10" i="4"/>
  <c r="E12" i="4" l="1"/>
  <c r="F12" i="4" s="1"/>
  <c r="G12" i="4"/>
  <c r="H11" i="4"/>
  <c r="H12" i="4" l="1"/>
  <c r="E13" i="4"/>
  <c r="F13" i="4" s="1"/>
  <c r="G13" i="4" s="1"/>
  <c r="H13" i="4" l="1"/>
  <c r="E14" i="4"/>
  <c r="F14" i="4" s="1"/>
  <c r="G14" i="4" s="1"/>
  <c r="H14" i="4" l="1"/>
  <c r="E15" i="4"/>
  <c r="F15" i="4" s="1"/>
  <c r="G15" i="4" s="1"/>
  <c r="H15" i="4" l="1"/>
  <c r="E16" i="4"/>
  <c r="F16" i="4" s="1"/>
  <c r="G16" i="4" s="1"/>
  <c r="E17" i="4" l="1"/>
  <c r="F17" i="4" s="1"/>
  <c r="G17" i="4" s="1"/>
  <c r="H16" i="4"/>
  <c r="H17" i="4" l="1"/>
  <c r="E18" i="4"/>
  <c r="F18" i="4" s="1"/>
  <c r="G18" i="4" s="1"/>
  <c r="E19" i="4" l="1"/>
  <c r="F19" i="4" s="1"/>
  <c r="G19" i="4" s="1"/>
  <c r="H18" i="4"/>
  <c r="H19" i="4" l="1"/>
  <c r="E20" i="4"/>
  <c r="F20" i="4" s="1"/>
  <c r="G20" i="4" s="1"/>
  <c r="E21" i="4" l="1"/>
  <c r="F21" i="4" s="1"/>
  <c r="G21" i="4" s="1"/>
  <c r="H20" i="4"/>
  <c r="H21" i="4" l="1"/>
  <c r="E22" i="4"/>
  <c r="F22" i="4" s="1"/>
  <c r="G22" i="4" s="1"/>
  <c r="H22" i="4" l="1"/>
  <c r="E23" i="4"/>
  <c r="F23" i="4" s="1"/>
  <c r="G23" i="4" s="1"/>
  <c r="H23" i="4" l="1"/>
  <c r="E24" i="4"/>
  <c r="F24" i="4" s="1"/>
  <c r="G24" i="4" s="1"/>
  <c r="E25" i="4" l="1"/>
  <c r="F25" i="4" s="1"/>
  <c r="G25" i="4" s="1"/>
  <c r="H24" i="4"/>
  <c r="H25" i="4" l="1"/>
  <c r="E26" i="4"/>
  <c r="F26" i="4" s="1"/>
  <c r="G26" i="4" s="1"/>
  <c r="H26" i="4" l="1"/>
  <c r="E27" i="4"/>
  <c r="F27" i="4" s="1"/>
  <c r="G27" i="4" s="1"/>
  <c r="H27" i="4" l="1"/>
  <c r="E28" i="4"/>
  <c r="F28" i="4" s="1"/>
  <c r="G28" i="4" s="1"/>
  <c r="H28" i="4" l="1"/>
  <c r="E29" i="4"/>
  <c r="F29" i="4" s="1"/>
  <c r="G29" i="4" s="1"/>
  <c r="H29" i="4" l="1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<sst xmlns="http://schemas.openxmlformats.org/spreadsheetml/2006/main" count="25" uniqueCount="24">
  <si>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</si>
  <si>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</si>
  <si>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</si>
  <si>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</si>
  <si>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</si>
  <si>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</si>
  <si>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</si>
  <si>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</si>
  <si>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</si>
  <si>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</si>
  <si>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</si>
  <si>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</si>
  <si>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</si>
  <si>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</si>
  <si>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</si>
  <si>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</si>
  <si>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</si>
  <si>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</si>
  <si>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</si>
  <si>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</si>
  <si>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Reference Id</t>
  </si>
  <si>
    <t>Angom_Bijenti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</si>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</sst>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abSelected="1" zoomScaleNormal="100" workbookViewId="0">
      <pane ySplit="1" topLeftCell="A35" activePane="bottomLeft" state="frozen"/>
      <selection pane="bottomLeft" activeCell="B44" sqref="B44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1.8554687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46089</v>
      </c>
      <c r="B2" s="23">
        <f>IF(A2&lt;&gt;"",1,"")</f>
        <v>1</v>
      </c>
      <c r="C2" s="3"/>
      <c r="D2" s="4">
        <f t="shared" ref="D2:D33" si="0">IF(AND($A2&lt;&gt;"",$B2&lt;&gt;""),$K$9,"")</f>
        <v>500</v>
      </c>
      <c r="E2" s="4">
        <f>IF(AND($A2&lt;&gt;"",$B2&lt;&gt;""),$K$7*$K$8,"")</f>
        <v>155.70909730003726</v>
      </c>
      <c r="F2" s="4">
        <f>IF(AND($A2&lt;&gt;"",$B2&lt;&gt;""),D2-E2,"")</f>
        <v>344.29090269996277</v>
      </c>
      <c r="G2" s="4">
        <f>IF(AND($A2&lt;&gt;"",$B2&lt;&gt;""),$K$7-F2,"")</f>
        <v>49655.709097300038</v>
      </c>
      <c r="H2" s="4">
        <f>IF(AND($A2&lt;&gt;"",$B2&lt;&gt;""),$K$7-G2,"")</f>
        <v>344.29090269996232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L50000D120-Angom_Bijenti-NLoan1</v>
      </c>
    </row>
    <row r="3" spans="1:12" x14ac:dyDescent="0.3">
      <c r="A3" s="19">
        <v>46090</v>
      </c>
      <c r="B3" s="24">
        <f>IF(A3&lt;&gt;"",B2+1,"")</f>
        <v>2</v>
      </c>
      <c r="C3" s="20"/>
      <c r="D3" s="21">
        <f t="shared" si="0"/>
        <v>500</v>
      </c>
      <c r="E3" s="21">
        <f t="shared" ref="E3:E34" si="1">IF(AND($A3&lt;&gt;"",$B3&lt;&gt;""),G2*$K$8,"")</f>
        <v>154.63691278667673</v>
      </c>
      <c r="F3" s="21">
        <f>IF(AND($A3&lt;&gt;"",$B3&lt;&gt;""),D3-E3,"")</f>
        <v>345.3630872133233</v>
      </c>
      <c r="G3" s="21">
        <f>IF(AND($A3&lt;&gt;"",$B3&lt;&gt;""),G2-F3,"")</f>
        <v>49310.346010086716</v>
      </c>
      <c r="H3" s="21">
        <f t="shared" ref="H3:H34" si="2">IF(AND($A3&lt;&gt;"",$B3&lt;&gt;""),$K$7-G3,"")</f>
        <v>689.65398991328402</v>
      </c>
      <c r="J3" s="5" t="s">
        <v>10</v>
      </c>
      <c r="K3" s="27" t="s">
        <v>21</v>
      </c>
    </row>
    <row r="4" spans="1:12" x14ac:dyDescent="0.3">
      <c r="A4" s="2">
        <v>46091</v>
      </c>
      <c r="B4" s="23">
        <f t="shared" ref="B4:B67" si="3">IF(A4&lt;&gt;"",B3+1,"")</f>
        <v>3</v>
      </c>
      <c r="C4" s="3"/>
      <c r="D4" s="4">
        <f t="shared" si="0"/>
        <v>500</v>
      </c>
      <c r="E4" s="4">
        <f t="shared" si="1"/>
        <v>153.56138929566194</v>
      </c>
      <c r="F4" s="4">
        <f>IF(AND($A4&lt;&gt;"",$B4&lt;&gt;""),D4-E4,"")</f>
        <v>346.43861070433809</v>
      </c>
      <c r="G4" s="4">
        <f>IF(AND($A4&lt;&gt;"",$B4&lt;&gt;""),G3-F4,"")</f>
        <v>48963.907399382377</v>
      </c>
      <c r="H4" s="4">
        <f t="shared" si="2"/>
        <v>1036.0926006176232</v>
      </c>
      <c r="J4" s="5" t="s">
        <v>11</v>
      </c>
      <c r="K4" s="27"/>
    </row>
    <row r="5" spans="1:12" x14ac:dyDescent="0.3">
      <c r="A5" s="19">
        <v>46093</v>
      </c>
      <c r="B5" s="24">
        <f t="shared" si="3"/>
        <v>4</v>
      </c>
      <c r="C5" s="20"/>
      <c r="D5" s="21">
        <f t="shared" si="0"/>
        <v>500</v>
      </c>
      <c r="E5" s="21">
        <f t="shared" si="1"/>
        <v>152.48251642880891</v>
      </c>
      <c r="F5" s="21">
        <f>IF(AND($A5&lt;&gt;"",$B5&lt;&gt;""),D5-E5,"")</f>
        <v>347.51748357119106</v>
      </c>
      <c r="G5" s="21">
        <f>IF(AND($A5&lt;&gt;"",$B5&lt;&gt;""),G4-F5,"")</f>
        <v>48616.389915811189</v>
      </c>
      <c r="H5" s="21">
        <f t="shared" si="2"/>
        <v>1383.610084188811</v>
      </c>
      <c r="J5" s="5" t="s">
        <v>12</v>
      </c>
      <c r="K5" s="27"/>
    </row>
    <row r="6" spans="1:12" x14ac:dyDescent="0.3">
      <c r="A6" s="2">
        <v>46094</v>
      </c>
      <c r="B6" s="23">
        <f t="shared" si="3"/>
        <v>5</v>
      </c>
      <c r="C6" s="3"/>
      <c r="D6" s="4">
        <f t="shared" si="0"/>
        <v>500</v>
      </c>
      <c r="E6" s="4">
        <f t="shared" si="1"/>
        <v>151.4002837555519</v>
      </c>
      <c r="F6" s="4">
        <f>IF(AND($A6&lt;&gt;"",$B6&lt;&gt;""),D6-E6,"")</f>
        <v>348.59971624444813</v>
      </c>
      <c r="G6" s="4">
        <f t="shared" ref="G6:G69" si="4">IF(AND($A6&lt;&gt;"",$B6&lt;&gt;""),G5-F6,"")</f>
        <v>48267.790199566742</v>
      </c>
      <c r="H6" s="4">
        <f t="shared" si="2"/>
        <v>1732.2098004332584</v>
      </c>
      <c r="J6" s="5" t="s">
        <v>13</v>
      </c>
      <c r="K6" s="27"/>
    </row>
    <row r="7" spans="1:12" x14ac:dyDescent="0.3">
      <c r="A7" s="19">
        <v>46095</v>
      </c>
      <c r="B7" s="24">
        <f t="shared" si="3"/>
        <v>6</v>
      </c>
      <c r="C7" s="20"/>
      <c r="D7" s="21">
        <f t="shared" si="0"/>
        <v>500</v>
      </c>
      <c r="E7" s="21">
        <f t="shared" si="1"/>
        <v>150.31468081284245</v>
      </c>
      <c r="F7" s="21">
        <f t="shared" ref="F7:F70" si="5">IF(AND($A7&lt;&gt;"",$B7&lt;&gt;""),D7-E7,"")</f>
        <v>349.68531918715757</v>
      </c>
      <c r="G7" s="21">
        <f t="shared" si="4"/>
        <v>47918.104880379586</v>
      </c>
      <c r="H7" s="21">
        <f t="shared" si="2"/>
        <v>2081.8951196204143</v>
      </c>
      <c r="J7" s="5" t="s">
        <v>7</v>
      </c>
      <c r="K7" s="28">
        <v>50000</v>
      </c>
    </row>
    <row r="8" spans="1:12" x14ac:dyDescent="0.3">
      <c r="A8" s="2">
        <v>46098</v>
      </c>
      <c r="B8" s="23">
        <f t="shared" si="3"/>
        <v>7</v>
      </c>
      <c r="C8" s="3"/>
      <c r="D8" s="4">
        <f t="shared" si="0"/>
        <v>500</v>
      </c>
      <c r="E8" s="4">
        <f t="shared" si="1"/>
        <v>149.22569710504831</v>
      </c>
      <c r="F8" s="4">
        <f t="shared" si="5"/>
        <v>350.77430289495169</v>
      </c>
      <c r="G8" s="4">
        <f t="shared" si="4"/>
        <v>47567.330577484638</v>
      </c>
      <c r="H8" s="4">
        <f t="shared" si="2"/>
        <v>2432.6694225153624</v>
      </c>
      <c r="J8" s="5" t="s">
        <v>14</v>
      </c>
      <c r="K8" s="29">
        <f>RATE(K10,-K9,K7)</f>
        <v>3.1141819460007453E-3</v>
      </c>
    </row>
    <row r="9" spans="1:12" x14ac:dyDescent="0.3">
      <c r="A9" s="19">
        <v>46099</v>
      </c>
      <c r="B9" s="24">
        <f t="shared" si="3"/>
        <v>8</v>
      </c>
      <c r="C9" s="20"/>
      <c r="D9" s="21">
        <f t="shared" si="0"/>
        <v>500</v>
      </c>
      <c r="E9" s="21">
        <f t="shared" si="1"/>
        <v>148.13332210385187</v>
      </c>
      <c r="F9" s="21">
        <f t="shared" si="5"/>
        <v>351.86667789614813</v>
      </c>
      <c r="G9" s="21">
        <f t="shared" si="4"/>
        <v>47215.463899588489</v>
      </c>
      <c r="H9" s="21">
        <f t="shared" si="2"/>
        <v>2784.5361004115111</v>
      </c>
      <c r="J9" s="5" t="s">
        <v>8</v>
      </c>
      <c r="K9" s="30">
        <v>500</v>
      </c>
    </row>
    <row r="10" spans="1:12" x14ac:dyDescent="0.3">
      <c r="A10" s="2">
        <v>46101</v>
      </c>
      <c r="B10" s="23">
        <f t="shared" si="3"/>
        <v>9</v>
      </c>
      <c r="C10" s="3"/>
      <c r="D10" s="4">
        <f t="shared" si="0"/>
        <v>500</v>
      </c>
      <c r="E10" s="4">
        <f t="shared" si="1"/>
        <v>147.03754524814843</v>
      </c>
      <c r="F10" s="4">
        <f t="shared" si="5"/>
        <v>352.96245475185157</v>
      </c>
      <c r="G10" s="4">
        <f t="shared" si="4"/>
        <v>46862.501444836635</v>
      </c>
      <c r="H10" s="4">
        <f t="shared" si="2"/>
        <v>3137.4985551633654</v>
      </c>
      <c r="J10" s="5" t="s">
        <v>15</v>
      </c>
      <c r="K10" s="31">
        <v>120</v>
      </c>
    </row>
    <row r="11" spans="1:12" ht="17.25" thickBot="1" x14ac:dyDescent="0.35">
      <c r="A11" s="19">
        <v>46103</v>
      </c>
      <c r="B11" s="24">
        <f t="shared" si="3"/>
        <v>10</v>
      </c>
      <c r="C11" s="20"/>
      <c r="D11" s="21">
        <f t="shared" si="0"/>
        <v>500</v>
      </c>
      <c r="E11" s="21">
        <f t="shared" si="1"/>
        <v>145.93835594394409</v>
      </c>
      <c r="F11" s="21">
        <f t="shared" si="5"/>
        <v>354.06164405605591</v>
      </c>
      <c r="G11" s="21">
        <f t="shared" si="4"/>
        <v>46508.439800780579</v>
      </c>
      <c r="H11" s="21">
        <f t="shared" si="2"/>
        <v>3491.5601992194206</v>
      </c>
      <c r="J11" s="8"/>
      <c r="L11" s="22"/>
    </row>
    <row r="12" spans="1:12" x14ac:dyDescent="0.3">
      <c r="A12" s="2">
        <v>46104</v>
      </c>
      <c r="B12" s="23">
        <f t="shared" si="3"/>
        <v>11</v>
      </c>
      <c r="C12" s="3"/>
      <c r="D12" s="4">
        <f t="shared" si="0"/>
        <v>500</v>
      </c>
      <c r="E12" s="4">
        <f t="shared" si="1"/>
        <v>144.83574356425339</v>
      </c>
      <c r="F12" s="4">
        <f t="shared" si="5"/>
        <v>355.16425643574661</v>
      </c>
      <c r="G12" s="4">
        <f t="shared" si="4"/>
        <v>46153.275544344833</v>
      </c>
      <c r="H12" s="4">
        <f t="shared" si="2"/>
        <v>3846.7244556551668</v>
      </c>
      <c r="J12" s="9" t="s">
        <v>16</v>
      </c>
      <c r="K12" s="10">
        <f>IFERROR(MAX($B:$B),"")</f>
        <v>43</v>
      </c>
    </row>
    <row r="13" spans="1:12" x14ac:dyDescent="0.3">
      <c r="A13" s="19">
        <v>46106</v>
      </c>
      <c r="B13" s="24">
        <f t="shared" si="3"/>
        <v>12</v>
      </c>
      <c r="C13" s="20"/>
      <c r="D13" s="21">
        <f t="shared" si="0"/>
        <v>500</v>
      </c>
      <c r="E13" s="21">
        <f t="shared" si="1"/>
        <v>143.7296974489964</v>
      </c>
      <c r="F13" s="21">
        <f t="shared" si="5"/>
        <v>356.27030255100362</v>
      </c>
      <c r="G13" s="21">
        <f t="shared" si="4"/>
        <v>45797.005241793828</v>
      </c>
      <c r="H13" s="21">
        <f t="shared" si="2"/>
        <v>4202.9947582061723</v>
      </c>
      <c r="J13" s="25" t="s">
        <v>22</v>
      </c>
      <c r="K13" s="12">
        <f>(K10*K9)-K9*K12</f>
        <v>38500</v>
      </c>
    </row>
    <row r="14" spans="1:12" x14ac:dyDescent="0.3">
      <c r="A14" s="2">
        <v>46108</v>
      </c>
      <c r="B14" s="23">
        <f t="shared" si="3"/>
        <v>13</v>
      </c>
      <c r="C14" s="3"/>
      <c r="D14" s="4">
        <f t="shared" si="0"/>
        <v>500</v>
      </c>
      <c r="E14" s="4">
        <f t="shared" si="1"/>
        <v>142.62020690489584</v>
      </c>
      <c r="F14" s="4">
        <f t="shared" si="5"/>
        <v>357.37979309510416</v>
      </c>
      <c r="G14" s="4">
        <f t="shared" si="4"/>
        <v>45439.625448698724</v>
      </c>
      <c r="H14" s="4">
        <f t="shared" si="2"/>
        <v>4560.3745513012764</v>
      </c>
      <c r="J14" s="11" t="s">
        <v>23</v>
      </c>
      <c r="K14" s="12">
        <f>IF(A2="", K9*K10, IFERROR(INDEX($G:$G, MATCH($K$12, $B:$B, 0)), 0))</f>
        <v>34184.787209487964</v>
      </c>
    </row>
    <row r="15" spans="1:12" ht="17.25" thickBot="1" x14ac:dyDescent="0.35">
      <c r="A15" s="19">
        <v>46110</v>
      </c>
      <c r="B15" s="24">
        <f t="shared" si="3"/>
        <v>14</v>
      </c>
      <c r="C15" s="20"/>
      <c r="D15" s="21">
        <f t="shared" si="0"/>
        <v>500</v>
      </c>
      <c r="E15" s="21">
        <f t="shared" si="1"/>
        <v>141.5072612053736</v>
      </c>
      <c r="F15" s="21">
        <f t="shared" si="5"/>
        <v>358.4927387946264</v>
      </c>
      <c r="G15" s="21">
        <f t="shared" si="4"/>
        <v>45081.132709904094</v>
      </c>
      <c r="H15" s="21">
        <f t="shared" si="2"/>
        <v>4918.8672900959064</v>
      </c>
      <c r="J15" s="13" t="s">
        <v>6</v>
      </c>
      <c r="K15" s="14">
        <f>IFERROR(INDEX($H:$H, MATCH($K$12, $B:$B, 0)), 0)</f>
        <v>15815.212790512036</v>
      </c>
    </row>
    <row r="16" spans="1:12" x14ac:dyDescent="0.3">
      <c r="A16" s="2">
        <v>46112</v>
      </c>
      <c r="B16" s="23">
        <f t="shared" si="3"/>
        <v>15</v>
      </c>
      <c r="C16" s="3"/>
      <c r="D16" s="4">
        <f t="shared" si="0"/>
        <v>500</v>
      </c>
      <c r="E16" s="4">
        <f t="shared" si="1"/>
        <v>140.39084959044698</v>
      </c>
      <c r="F16" s="4">
        <f t="shared" si="5"/>
        <v>359.60915040955302</v>
      </c>
      <c r="G16" s="4">
        <f t="shared" si="4"/>
        <v>44721.523559494541</v>
      </c>
      <c r="H16" s="4">
        <f t="shared" si="2"/>
        <v>5278.4764405054593</v>
      </c>
      <c r="J16" s="15" t="s">
        <v>18</v>
      </c>
      <c r="K16" s="16">
        <f>IF(A2,A2, "")</f>
        <v>46089</v>
      </c>
    </row>
    <row r="17" spans="1:11" x14ac:dyDescent="0.3">
      <c r="A17" s="19">
        <v>46115</v>
      </c>
      <c r="B17" s="24">
        <f t="shared" si="3"/>
        <v>16</v>
      </c>
      <c r="C17" s="20"/>
      <c r="D17" s="21">
        <f t="shared" si="0"/>
        <v>500</v>
      </c>
      <c r="E17" s="21">
        <f t="shared" si="1"/>
        <v>139.27096126662488</v>
      </c>
      <c r="F17" s="21">
        <f t="shared" si="5"/>
        <v>360.72903873337509</v>
      </c>
      <c r="G17" s="21">
        <f t="shared" si="4"/>
        <v>44360.794520761163</v>
      </c>
      <c r="H17" s="21">
        <f t="shared" si="2"/>
        <v>5639.2054792388371</v>
      </c>
      <c r="J17" s="17" t="s">
        <v>19</v>
      </c>
      <c r="K17" s="18">
        <f xml:space="preserve"> IF(A2,(K16 + 120),"")</f>
        <v>46209</v>
      </c>
    </row>
    <row r="18" spans="1:11" x14ac:dyDescent="0.3">
      <c r="A18" s="2">
        <v>46117</v>
      </c>
      <c r="B18" s="23">
        <f t="shared" si="3"/>
        <v>17</v>
      </c>
      <c r="C18" s="3"/>
      <c r="D18" s="4">
        <f t="shared" si="0"/>
        <v>500</v>
      </c>
      <c r="E18" s="4">
        <f t="shared" si="1"/>
        <v>138.14758540680319</v>
      </c>
      <c r="F18" s="4">
        <f t="shared" si="5"/>
        <v>361.85241459319684</v>
      </c>
      <c r="G18" s="4">
        <f t="shared" si="4"/>
        <v>43998.942106167968</v>
      </c>
      <c r="H18" s="4">
        <f t="shared" si="2"/>
        <v>6001.0578938320323</v>
      </c>
    </row>
    <row r="19" spans="1:11" x14ac:dyDescent="0.3">
      <c r="A19" s="19">
        <v>46118</v>
      </c>
      <c r="B19" s="24">
        <f t="shared" si="3"/>
        <v>18</v>
      </c>
      <c r="C19" s="20"/>
      <c r="D19" s="21">
        <f t="shared" si="0"/>
        <v>500</v>
      </c>
      <c r="E19" s="21">
        <f t="shared" si="1"/>
        <v>137.02071115016028</v>
      </c>
      <c r="F19" s="21">
        <f t="shared" si="5"/>
        <v>362.97928884983969</v>
      </c>
      <c r="G19" s="21">
        <f t="shared" si="4"/>
        <v>43635.962817318126</v>
      </c>
      <c r="H19" s="21">
        <f t="shared" si="2"/>
        <v>6364.0371826818737</v>
      </c>
    </row>
    <row r="20" spans="1:11" x14ac:dyDescent="0.3">
      <c r="A20" s="2">
        <v>46150</v>
      </c>
      <c r="B20" s="23">
        <f t="shared" si="3"/>
        <v>19</v>
      </c>
      <c r="C20" s="3"/>
      <c r="D20" s="4">
        <f t="shared" si="0"/>
        <v>500</v>
      </c>
      <c r="E20" s="4">
        <f t="shared" si="1"/>
        <v>135.89032760205194</v>
      </c>
      <c r="F20" s="4">
        <f t="shared" si="5"/>
        <v>364.10967239794809</v>
      </c>
      <c r="G20" s="4">
        <f t="shared" si="4"/>
        <v>43271.853144920176</v>
      </c>
      <c r="H20" s="4">
        <f t="shared" si="2"/>
        <v>6728.1468550798236</v>
      </c>
      <c r="J20" s="22"/>
      <c r="K20" s="22"/>
    </row>
    <row r="21" spans="1:11" x14ac:dyDescent="0.3">
      <c r="A21" s="19">
        <v>46165</v>
      </c>
      <c r="B21" s="24">
        <f t="shared" si="3"/>
        <v>20</v>
      </c>
      <c r="C21" s="20"/>
      <c r="D21" s="21">
        <f t="shared" si="0"/>
        <v>500</v>
      </c>
      <c r="E21" s="21">
        <f t="shared" si="1"/>
        <v>134.75642383390598</v>
      </c>
      <c r="F21" s="21">
        <f t="shared" si="5"/>
        <v>365.24357616609404</v>
      </c>
      <c r="G21" s="21">
        <f t="shared" si="4"/>
        <v>42906.60956875408</v>
      </c>
      <c r="H21" s="21">
        <f t="shared" si="2"/>
        <v>7093.3904312459199</v>
      </c>
    </row>
    <row r="22" spans="1:11" x14ac:dyDescent="0.3">
      <c r="A22" s="2">
        <v>46165</v>
      </c>
      <c r="B22" s="23">
        <f t="shared" si="3"/>
        <v>21</v>
      </c>
      <c r="C22" s="3"/>
      <c r="D22" s="4">
        <f t="shared" si="0"/>
        <v>500</v>
      </c>
      <c r="E22" s="4">
        <f t="shared" si="1"/>
        <v>133.61898888311677</v>
      </c>
      <c r="F22" s="4">
        <f t="shared" si="5"/>
        <v>366.3810111168832</v>
      </c>
      <c r="G22" s="4">
        <f t="shared" si="4"/>
        <v>42540.228557637194</v>
      </c>
      <c r="H22" s="4">
        <f t="shared" si="2"/>
        <v>7459.7714423628058</v>
      </c>
    </row>
    <row r="23" spans="1:11" x14ac:dyDescent="0.3">
      <c r="A23" s="19">
        <v>46168</v>
      </c>
      <c r="B23" s="24">
        <f t="shared" si="3"/>
        <v>22</v>
      </c>
      <c r="C23" s="20"/>
      <c r="D23" s="21">
        <f t="shared" si="0"/>
        <v>500</v>
      </c>
      <c r="E23" s="21">
        <f t="shared" si="1"/>
        <v>132.47801175293907</v>
      </c>
      <c r="F23" s="21">
        <f t="shared" si="5"/>
        <v>367.5219882470609</v>
      </c>
      <c r="G23" s="21">
        <f t="shared" si="4"/>
        <v>42172.706569390131</v>
      </c>
      <c r="H23" s="21">
        <f t="shared" si="2"/>
        <v>7827.2934306098687</v>
      </c>
    </row>
    <row r="24" spans="1:11" x14ac:dyDescent="0.3">
      <c r="A24" s="2">
        <v>46174</v>
      </c>
      <c r="B24" s="23">
        <f t="shared" si="3"/>
        <v>23</v>
      </c>
      <c r="C24" s="3"/>
      <c r="D24" s="4">
        <f t="shared" si="0"/>
        <v>500</v>
      </c>
      <c r="E24" s="4">
        <f t="shared" si="1"/>
        <v>131.33348141238179</v>
      </c>
      <c r="F24" s="4">
        <f t="shared" si="5"/>
        <v>368.66651858761821</v>
      </c>
      <c r="G24" s="4">
        <f t="shared" si="4"/>
        <v>41804.040050802512</v>
      </c>
      <c r="H24" s="4">
        <f t="shared" si="2"/>
        <v>8195.9599491974877</v>
      </c>
    </row>
    <row r="25" spans="1:11" x14ac:dyDescent="0.3">
      <c r="A25" s="19">
        <v>46176</v>
      </c>
      <c r="B25" s="24">
        <f t="shared" si="3"/>
        <v>24</v>
      </c>
      <c r="C25" s="20"/>
      <c r="D25" s="21">
        <f t="shared" si="0"/>
        <v>500</v>
      </c>
      <c r="E25" s="21">
        <f t="shared" si="1"/>
        <v>130.18538679610126</v>
      </c>
      <c r="F25" s="21">
        <f t="shared" si="5"/>
        <v>369.81461320389872</v>
      </c>
      <c r="G25" s="21">
        <f t="shared" si="4"/>
        <v>41434.225437598616</v>
      </c>
      <c r="H25" s="21">
        <f t="shared" si="2"/>
        <v>8565.7745624013842</v>
      </c>
    </row>
    <row r="26" spans="1:11" x14ac:dyDescent="0.3">
      <c r="A26" s="2">
        <v>46177</v>
      </c>
      <c r="B26" s="23">
        <f t="shared" si="3"/>
        <v>25</v>
      </c>
      <c r="C26" s="3"/>
      <c r="D26" s="4">
        <f t="shared" si="0"/>
        <v>500</v>
      </c>
      <c r="E26" s="4">
        <f t="shared" si="1"/>
        <v>129.03371680429444</v>
      </c>
      <c r="F26" s="4">
        <f t="shared" si="5"/>
        <v>370.96628319570556</v>
      </c>
      <c r="G26" s="4">
        <f t="shared" si="4"/>
        <v>41063.259154402913</v>
      </c>
      <c r="H26" s="4">
        <f t="shared" si="2"/>
        <v>8936.7408455970872</v>
      </c>
    </row>
    <row r="27" spans="1:11" x14ac:dyDescent="0.3">
      <c r="A27" s="19">
        <v>46178</v>
      </c>
      <c r="B27" s="24">
        <f t="shared" si="3"/>
        <v>26</v>
      </c>
      <c r="C27" s="20"/>
      <c r="D27" s="21">
        <f t="shared" si="0"/>
        <v>500</v>
      </c>
      <c r="E27" s="21">
        <f t="shared" si="1"/>
        <v>127.87846030259138</v>
      </c>
      <c r="F27" s="21">
        <f t="shared" si="5"/>
        <v>372.12153969740859</v>
      </c>
      <c r="G27" s="21">
        <f t="shared" si="4"/>
        <v>40691.137614705505</v>
      </c>
      <c r="H27" s="21">
        <f t="shared" si="2"/>
        <v>9308.8623852944947</v>
      </c>
    </row>
    <row r="28" spans="1:11" x14ac:dyDescent="0.3">
      <c r="A28" s="2">
        <v>46179</v>
      </c>
      <c r="B28" s="23">
        <f t="shared" si="3"/>
        <v>27</v>
      </c>
      <c r="C28" s="3"/>
      <c r="D28" s="4">
        <f t="shared" si="0"/>
        <v>500</v>
      </c>
      <c r="E28" s="4">
        <f t="shared" si="1"/>
        <v>126.71960612194772</v>
      </c>
      <c r="F28" s="4">
        <f t="shared" si="5"/>
        <v>373.28039387805228</v>
      </c>
      <c r="G28" s="4">
        <f t="shared" si="4"/>
        <v>40317.857220827456</v>
      </c>
      <c r="H28" s="4">
        <f t="shared" si="2"/>
        <v>9682.1427791725437</v>
      </c>
    </row>
    <row r="29" spans="1:11" x14ac:dyDescent="0.3">
      <c r="A29" s="19">
        <v>46182</v>
      </c>
      <c r="B29" s="24">
        <f t="shared" si="3"/>
        <v>28</v>
      </c>
      <c r="C29" s="20"/>
      <c r="D29" s="21">
        <f t="shared" si="0"/>
        <v>500</v>
      </c>
      <c r="E29" s="21">
        <f t="shared" si="1"/>
        <v>125.55714305853665</v>
      </c>
      <c r="F29" s="21">
        <f t="shared" si="5"/>
        <v>374.44285694146333</v>
      </c>
      <c r="G29" s="21">
        <f t="shared" si="4"/>
        <v>39943.41436388599</v>
      </c>
      <c r="H29" s="21">
        <f t="shared" si="2"/>
        <v>10056.58563611401</v>
      </c>
    </row>
    <row r="30" spans="1:11" x14ac:dyDescent="0.3">
      <c r="A30" s="2">
        <v>46185</v>
      </c>
      <c r="B30" s="23">
        <f t="shared" si="3"/>
        <v>29</v>
      </c>
      <c r="C30" s="3"/>
      <c r="D30" s="4">
        <f t="shared" si="0"/>
        <v>500</v>
      </c>
      <c r="E30" s="4">
        <f t="shared" si="1"/>
        <v>124.3910598736406</v>
      </c>
      <c r="F30" s="4">
        <f t="shared" si="5"/>
        <v>375.60894012635941</v>
      </c>
      <c r="G30" s="4">
        <f t="shared" si="4"/>
        <v>39567.80542375963</v>
      </c>
      <c r="H30" s="4">
        <f t="shared" si="2"/>
        <v>10432.19457624037</v>
      </c>
    </row>
    <row r="31" spans="1:11" x14ac:dyDescent="0.3">
      <c r="A31" s="19">
        <v>46186</v>
      </c>
      <c r="B31" s="24">
        <f t="shared" si="3"/>
        <v>30</v>
      </c>
      <c r="C31" s="20"/>
      <c r="D31" s="21">
        <f t="shared" si="0"/>
        <v>500</v>
      </c>
      <c r="E31" s="21">
        <f t="shared" si="1"/>
        <v>123.22134529354261</v>
      </c>
      <c r="F31" s="21">
        <f t="shared" si="5"/>
        <v>376.77865470645736</v>
      </c>
      <c r="G31" s="21">
        <f t="shared" si="4"/>
        <v>39191.026769053169</v>
      </c>
      <c r="H31" s="21">
        <f t="shared" si="2"/>
        <v>10808.973230946831</v>
      </c>
    </row>
    <row r="32" spans="1:11" x14ac:dyDescent="0.3">
      <c r="A32" s="2">
        <v>46187</v>
      </c>
      <c r="B32" s="23">
        <f t="shared" si="3"/>
        <v>31</v>
      </c>
      <c r="C32" s="3"/>
      <c r="D32" s="4">
        <f t="shared" si="0"/>
        <v>500</v>
      </c>
      <c r="E32" s="4">
        <f t="shared" si="1"/>
        <v>122.0479880094173</v>
      </c>
      <c r="F32" s="4">
        <f t="shared" si="5"/>
        <v>377.95201199058272</v>
      </c>
      <c r="G32" s="4">
        <f t="shared" si="4"/>
        <v>38813.07475706259</v>
      </c>
      <c r="H32" s="4">
        <f t="shared" si="2"/>
        <v>11186.92524293741</v>
      </c>
    </row>
    <row r="33" spans="1:8" x14ac:dyDescent="0.3">
      <c r="A33" s="19">
        <v>46191</v>
      </c>
      <c r="B33" s="24">
        <f t="shared" si="3"/>
        <v>32</v>
      </c>
      <c r="C33" s="20"/>
      <c r="D33" s="21">
        <f t="shared" si="0"/>
        <v>500</v>
      </c>
      <c r="E33" s="21">
        <f t="shared" si="1"/>
        <v>120.87097667722158</v>
      </c>
      <c r="F33" s="21">
        <f t="shared" si="5"/>
        <v>379.12902332277844</v>
      </c>
      <c r="G33" s="21">
        <f t="shared" si="4"/>
        <v>38433.945733739813</v>
      </c>
      <c r="H33" s="21">
        <f t="shared" si="2"/>
        <v>11566.054266260187</v>
      </c>
    </row>
    <row r="34" spans="1:8" x14ac:dyDescent="0.3">
      <c r="A34" s="2">
        <v>46193</v>
      </c>
      <c r="B34" s="23">
        <f t="shared" si="3"/>
        <v>33</v>
      </c>
      <c r="C34" s="3"/>
      <c r="D34" s="4">
        <f t="shared" ref="D34:D65" si="6">IF(AND($A34&lt;&gt;"",$B34&lt;&gt;""),$K$9,"")</f>
        <v>500</v>
      </c>
      <c r="E34" s="4">
        <f t="shared" si="1"/>
        <v>119.69029991758489</v>
      </c>
      <c r="F34" s="4">
        <f t="shared" si="5"/>
        <v>380.30970008241513</v>
      </c>
      <c r="G34" s="4">
        <f t="shared" si="4"/>
        <v>38053.6360336574</v>
      </c>
      <c r="H34" s="4">
        <f t="shared" si="2"/>
        <v>11946.3639663426</v>
      </c>
    </row>
    <row r="35" spans="1:8" x14ac:dyDescent="0.3">
      <c r="A35" s="19">
        <v>46193</v>
      </c>
      <c r="B35" s="24">
        <f t="shared" si="3"/>
        <v>34</v>
      </c>
      <c r="C35" s="20"/>
      <c r="D35" s="21">
        <f t="shared" si="6"/>
        <v>500</v>
      </c>
      <c r="E35" s="21">
        <f t="shared" ref="E35:E66" si="7">IF(AND($A35&lt;&gt;"",$B35&lt;&gt;""),G34*$K$8,"")</f>
        <v>118.50594631569929</v>
      </c>
      <c r="F35" s="21">
        <f t="shared" si="5"/>
        <v>381.4940536843007</v>
      </c>
      <c r="G35" s="21">
        <f t="shared" si="4"/>
        <v>37672.141979973101</v>
      </c>
      <c r="H35" s="21">
        <f t="shared" ref="H35:H66" si="8">IF(AND($A35&lt;&gt;"",$B35&lt;&gt;""),$K$7-G35,"")</f>
        <v>12327.858020026899</v>
      </c>
    </row>
    <row r="36" spans="1:8" x14ac:dyDescent="0.3">
      <c r="A36" s="2">
        <v>46196</v>
      </c>
      <c r="B36" s="23">
        <f t="shared" si="3"/>
        <v>35</v>
      </c>
      <c r="C36" s="3"/>
      <c r="D36" s="4">
        <f t="shared" si="6"/>
        <v>500</v>
      </c>
      <c r="E36" s="4">
        <f t="shared" si="7"/>
        <v>117.31790442120901</v>
      </c>
      <c r="F36" s="4">
        <f t="shared" si="5"/>
        <v>382.68209557879101</v>
      </c>
      <c r="G36" s="4">
        <f t="shared" si="4"/>
        <v>37289.459884394309</v>
      </c>
      <c r="H36" s="4">
        <f t="shared" si="8"/>
        <v>12710.540115605691</v>
      </c>
    </row>
    <row r="37" spans="1:8" x14ac:dyDescent="0.3">
      <c r="A37" s="19">
        <v>46198</v>
      </c>
      <c r="B37" s="24">
        <f t="shared" si="3"/>
        <v>36</v>
      </c>
      <c r="C37" s="20"/>
      <c r="D37" s="21">
        <f t="shared" si="6"/>
        <v>500</v>
      </c>
      <c r="E37" s="21">
        <f t="shared" si="7"/>
        <v>116.1261627480998</v>
      </c>
      <c r="F37" s="21">
        <f t="shared" si="5"/>
        <v>383.87383725190023</v>
      </c>
      <c r="G37" s="21">
        <f t="shared" si="4"/>
        <v>36905.586047142409</v>
      </c>
      <c r="H37" s="21">
        <f t="shared" si="8"/>
        <v>13094.413952857591</v>
      </c>
    </row>
    <row r="38" spans="1:8" x14ac:dyDescent="0.3">
      <c r="A38" s="2">
        <v>46198</v>
      </c>
      <c r="B38" s="23">
        <f t="shared" si="3"/>
        <v>37</v>
      </c>
      <c r="C38" s="3"/>
      <c r="D38" s="4">
        <f t="shared" si="6"/>
        <v>500</v>
      </c>
      <c r="E38" s="4">
        <f t="shared" si="7"/>
        <v>114.93070977458791</v>
      </c>
      <c r="F38" s="4">
        <f t="shared" si="5"/>
        <v>385.06929022541209</v>
      </c>
      <c r="G38" s="4">
        <f t="shared" si="4"/>
        <v>36520.516756917001</v>
      </c>
      <c r="H38" s="4">
        <f t="shared" si="8"/>
        <v>13479.483243082999</v>
      </c>
    </row>
    <row r="39" spans="1:8" x14ac:dyDescent="0.3">
      <c r="A39" s="19">
        <v>46201</v>
      </c>
      <c r="B39" s="24">
        <f t="shared" si="3"/>
        <v>38</v>
      </c>
      <c r="C39" s="20"/>
      <c r="D39" s="21">
        <f t="shared" si="6"/>
        <v>500</v>
      </c>
      <c r="E39" s="21">
        <f t="shared" si="7"/>
        <v>113.73153394300861</v>
      </c>
      <c r="F39" s="21">
        <f t="shared" si="5"/>
        <v>386.26846605699137</v>
      </c>
      <c r="G39" s="21">
        <f t="shared" si="4"/>
        <v>36134.248290860007</v>
      </c>
      <c r="H39" s="21">
        <f t="shared" si="8"/>
        <v>13865.751709139993</v>
      </c>
    </row>
    <row r="40" spans="1:8" x14ac:dyDescent="0.3">
      <c r="A40" s="2">
        <v>46201</v>
      </c>
      <c r="B40" s="23">
        <f t="shared" si="3"/>
        <v>39</v>
      </c>
      <c r="C40" s="3"/>
      <c r="D40" s="4">
        <f t="shared" si="6"/>
        <v>500</v>
      </c>
      <c r="E40" s="4">
        <f t="shared" si="7"/>
        <v>112.52862365970452</v>
      </c>
      <c r="F40" s="4">
        <f t="shared" si="5"/>
        <v>387.47137634029548</v>
      </c>
      <c r="G40" s="4">
        <f t="shared" si="4"/>
        <v>35746.776914519709</v>
      </c>
      <c r="H40" s="4">
        <f t="shared" si="8"/>
        <v>14253.223085480291</v>
      </c>
    </row>
    <row r="41" spans="1:8" x14ac:dyDescent="0.3">
      <c r="A41" s="19">
        <v>46203</v>
      </c>
      <c r="B41" s="24">
        <f t="shared" si="3"/>
        <v>40</v>
      </c>
      <c r="C41" s="20"/>
      <c r="D41" s="21">
        <f t="shared" si="6"/>
        <v>500</v>
      </c>
      <c r="E41" s="21">
        <f t="shared" si="7"/>
        <v>111.32196729491351</v>
      </c>
      <c r="F41" s="21">
        <f t="shared" si="5"/>
        <v>388.67803270508648</v>
      </c>
      <c r="G41" s="21">
        <f t="shared" si="4"/>
        <v>35358.098881814622</v>
      </c>
      <c r="H41" s="21">
        <f t="shared" si="8"/>
        <v>14641.901118185378</v>
      </c>
    </row>
    <row r="42" spans="1:8" x14ac:dyDescent="0.3">
      <c r="A42" s="2">
        <v>46209</v>
      </c>
      <c r="B42" s="23">
        <f t="shared" si="3"/>
        <v>41</v>
      </c>
      <c r="C42" s="3"/>
      <c r="D42" s="4">
        <f t="shared" si="6"/>
        <v>500</v>
      </c>
      <c r="E42" s="4">
        <f t="shared" si="7"/>
        <v>110.11155318265624</v>
      </c>
      <c r="F42" s="4">
        <f t="shared" si="5"/>
        <v>389.88844681734378</v>
      </c>
      <c r="G42" s="4">
        <f t="shared" si="4"/>
        <v>34968.21043499728</v>
      </c>
      <c r="H42" s="4">
        <f t="shared" si="8"/>
        <v>15031.78956500272</v>
      </c>
    </row>
    <row r="43" spans="1:8" x14ac:dyDescent="0.3">
      <c r="A43" s="19">
        <v>46213</v>
      </c>
      <c r="B43" s="24">
        <f t="shared" si="3"/>
        <v>42</v>
      </c>
      <c r="C43" s="20"/>
      <c r="D43" s="21">
        <f t="shared" si="6"/>
        <v>500</v>
      </c>
      <c r="E43" s="21">
        <f t="shared" si="7"/>
        <v>108.89736962062339</v>
      </c>
      <c r="F43" s="21">
        <f t="shared" si="5"/>
        <v>391.10263037937659</v>
      </c>
      <c r="G43" s="21">
        <f t="shared" si="4"/>
        <v>34577.107804617903</v>
      </c>
      <c r="H43" s="21">
        <f t="shared" si="8"/>
        <v>15422.892195382097</v>
      </c>
    </row>
    <row r="44" spans="1:8" x14ac:dyDescent="0.3">
      <c r="A44" s="2">
        <v>46216</v>
      </c>
      <c r="B44" s="23">
        <f t="shared" si="3"/>
        <v>43</v>
      </c>
      <c r="C44" s="3"/>
      <c r="D44" s="4">
        <f t="shared" si="6"/>
        <v>500</v>
      </c>
      <c r="E44" s="4">
        <f t="shared" si="7"/>
        <v>107.67940487006254</v>
      </c>
      <c r="F44" s="4">
        <f t="shared" si="5"/>
        <v>392.32059512993749</v>
      </c>
      <c r="G44" s="4">
        <f t="shared" si="4"/>
        <v>34184.787209487964</v>
      </c>
      <c r="H44" s="4">
        <f t="shared" si="8"/>
        <v>15815.212790512036</v>
      </c>
    </row>
    <row r="45" spans="1:8" x14ac:dyDescent="0.3">
      <c r="A45" s="19"/>
      <c r="B45" s="24" t="str">
        <f t="shared" si="3"/>
        <v/>
      </c>
      <c r="C45" s="20"/>
      <c r="D45" s="21" t="str">
        <f t="shared" si="6"/>
        <v/>
      </c>
      <c r="E45" s="21" t="str">
        <f t="shared" si="7"/>
        <v/>
      </c>
      <c r="F45" s="21" t="str">
        <f t="shared" si="5"/>
        <v/>
      </c>
      <c r="G45" s="21" t="str">
        <f t="shared" si="4"/>
        <v/>
      </c>
      <c r="H45" s="21" t="str">
        <f t="shared" si="8"/>
        <v/>
      </c>
    </row>
    <row r="46" spans="1:8" x14ac:dyDescent="0.3">
      <c r="A46" s="2"/>
      <c r="B46" s="23" t="str">
        <f t="shared" si="3"/>
        <v/>
      </c>
      <c r="C46" s="3"/>
      <c r="D46" s="4" t="str">
        <f t="shared" si="6"/>
        <v/>
      </c>
      <c r="E46" s="4" t="str">
        <f t="shared" si="7"/>
        <v/>
      </c>
      <c r="F46" s="4" t="str">
        <f t="shared" si="5"/>
        <v/>
      </c>
      <c r="G46" s="4" t="str">
        <f t="shared" si="4"/>
        <v/>
      </c>
      <c r="H46" s="4" t="str">
        <f t="shared" si="8"/>
        <v/>
      </c>
    </row>
    <row r="47" spans="1:8" x14ac:dyDescent="0.3">
      <c r="A47" s="19"/>
      <c r="B47" s="24" t="str">
        <f t="shared" si="3"/>
        <v/>
      </c>
      <c r="C47" s="20"/>
      <c r="D47" s="21" t="str">
        <f t="shared" si="6"/>
        <v/>
      </c>
      <c r="E47" s="21" t="str">
        <f t="shared" si="7"/>
        <v/>
      </c>
      <c r="F47" s="21" t="str">
        <f t="shared" si="5"/>
        <v/>
      </c>
      <c r="G47" s="21" t="str">
        <f t="shared" si="4"/>
        <v/>
      </c>
      <c r="H47" s="21" t="str">
        <f t="shared" si="8"/>
        <v/>
      </c>
    </row>
    <row r="48" spans="1:8" x14ac:dyDescent="0.3">
      <c r="A48" s="2"/>
      <c r="B48" s="23" t="str">
        <f t="shared" si="3"/>
        <v/>
      </c>
      <c r="C48" s="3"/>
      <c r="D48" s="4" t="str">
        <f t="shared" si="6"/>
        <v/>
      </c>
      <c r="E48" s="4" t="str">
        <f t="shared" si="7"/>
        <v/>
      </c>
      <c r="F48" s="4" t="str">
        <f t="shared" si="5"/>
        <v/>
      </c>
      <c r="G48" s="4" t="str">
        <f t="shared" si="4"/>
        <v/>
      </c>
      <c r="H48" s="4" t="str">
        <f t="shared" si="8"/>
        <v/>
      </c>
    </row>
    <row r="49" spans="1:8" x14ac:dyDescent="0.3">
      <c r="A49" s="19"/>
      <c r="B49" s="24" t="str">
        <f t="shared" si="3"/>
        <v/>
      </c>
      <c r="C49" s="20"/>
      <c r="D49" s="21" t="str">
        <f t="shared" si="6"/>
        <v/>
      </c>
      <c r="E49" s="21" t="str">
        <f t="shared" si="7"/>
        <v/>
      </c>
      <c r="F49" s="21" t="str">
        <f t="shared" si="5"/>
        <v/>
      </c>
      <c r="G49" s="21" t="str">
        <f t="shared" si="4"/>
        <v/>
      </c>
      <c r="H49" s="21" t="str">
        <f t="shared" si="8"/>
        <v/>
      </c>
    </row>
    <row r="50" spans="1:8" x14ac:dyDescent="0.3">
      <c r="A50" s="2"/>
      <c r="B50" s="23" t="str">
        <f t="shared" si="3"/>
        <v/>
      </c>
      <c r="C50" s="3"/>
      <c r="D50" s="4" t="str">
        <f t="shared" si="6"/>
        <v/>
      </c>
      <c r="E50" s="4" t="str">
        <f t="shared" si="7"/>
        <v/>
      </c>
      <c r="F50" s="4" t="str">
        <f t="shared" si="5"/>
        <v/>
      </c>
      <c r="G50" s="4" t="str">
        <f t="shared" si="4"/>
        <v/>
      </c>
      <c r="H50" s="4" t="str">
        <f t="shared" si="8"/>
        <v/>
      </c>
    </row>
    <row r="51" spans="1:8" x14ac:dyDescent="0.3">
      <c r="A51" s="19"/>
      <c r="B51" s="24" t="str">
        <f t="shared" si="3"/>
        <v/>
      </c>
      <c r="C51" s="20"/>
      <c r="D51" s="21" t="str">
        <f t="shared" si="6"/>
        <v/>
      </c>
      <c r="E51" s="21" t="str">
        <f t="shared" si="7"/>
        <v/>
      </c>
      <c r="F51" s="21" t="str">
        <f t="shared" si="5"/>
        <v/>
      </c>
      <c r="G51" s="21" t="str">
        <f t="shared" si="4"/>
        <v/>
      </c>
      <c r="H51" s="21" t="str">
        <f t="shared" si="8"/>
        <v/>
      </c>
    </row>
    <row r="52" spans="1:8" x14ac:dyDescent="0.3">
      <c r="A52" s="2"/>
      <c r="B52" s="23" t="str">
        <f t="shared" si="3"/>
        <v/>
      </c>
      <c r="C52" s="3"/>
      <c r="D52" s="4" t="str">
        <f t="shared" si="6"/>
        <v/>
      </c>
      <c r="E52" s="4" t="str">
        <f t="shared" si="7"/>
        <v/>
      </c>
      <c r="F52" s="4" t="str">
        <f t="shared" si="5"/>
        <v/>
      </c>
      <c r="G52" s="4" t="str">
        <f t="shared" si="4"/>
        <v/>
      </c>
      <c r="H52" s="4" t="str">
        <f t="shared" si="8"/>
        <v/>
      </c>
    </row>
    <row r="53" spans="1:8" x14ac:dyDescent="0.3">
      <c r="A53" s="19"/>
      <c r="B53" s="24" t="str">
        <f t="shared" si="3"/>
        <v/>
      </c>
      <c r="C53" s="20"/>
      <c r="D53" s="21" t="str">
        <f t="shared" si="6"/>
        <v/>
      </c>
      <c r="E53" s="21" t="str">
        <f t="shared" si="7"/>
        <v/>
      </c>
      <c r="F53" s="21" t="str">
        <f t="shared" si="5"/>
        <v/>
      </c>
      <c r="G53" s="21" t="str">
        <f t="shared" si="4"/>
        <v/>
      </c>
      <c r="H53" s="21" t="str">
        <f t="shared" si="8"/>
        <v/>
      </c>
    </row>
    <row r="54" spans="1:8" x14ac:dyDescent="0.3">
      <c r="A54" s="2"/>
      <c r="B54" s="23" t="str">
        <f t="shared" si="3"/>
        <v/>
      </c>
      <c r="C54" s="3"/>
      <c r="D54" s="4" t="str">
        <f t="shared" si="6"/>
        <v/>
      </c>
      <c r="E54" s="4" t="str">
        <f t="shared" si="7"/>
        <v/>
      </c>
      <c r="F54" s="4" t="str">
        <f t="shared" si="5"/>
        <v/>
      </c>
      <c r="G54" s="4" t="str">
        <f t="shared" si="4"/>
        <v/>
      </c>
      <c r="H54" s="4" t="str">
        <f t="shared" si="8"/>
        <v/>
      </c>
    </row>
    <row r="55" spans="1:8" x14ac:dyDescent="0.3">
      <c r="A55" s="19"/>
      <c r="B55" s="24" t="str">
        <f t="shared" si="3"/>
        <v/>
      </c>
      <c r="C55" s="20"/>
      <c r="D55" s="21" t="str">
        <f t="shared" si="6"/>
        <v/>
      </c>
      <c r="E55" s="21" t="str">
        <f t="shared" si="7"/>
        <v/>
      </c>
      <c r="F55" s="21" t="str">
        <f t="shared" si="5"/>
        <v/>
      </c>
      <c r="G55" s="21" t="str">
        <f t="shared" si="4"/>
        <v/>
      </c>
      <c r="H55" s="21" t="str">
        <f t="shared" si="8"/>
        <v/>
      </c>
    </row>
    <row r="56" spans="1:8" x14ac:dyDescent="0.3">
      <c r="A56" s="2"/>
      <c r="B56" s="23" t="str">
        <f t="shared" si="3"/>
        <v/>
      </c>
      <c r="C56" s="3"/>
      <c r="D56" s="4" t="str">
        <f t="shared" si="6"/>
        <v/>
      </c>
      <c r="E56" s="4" t="str">
        <f t="shared" si="7"/>
        <v/>
      </c>
      <c r="F56" s="4" t="str">
        <f t="shared" si="5"/>
        <v/>
      </c>
      <c r="G56" s="4" t="str">
        <f t="shared" si="4"/>
        <v/>
      </c>
      <c r="H56" s="4" t="str">
        <f t="shared" si="8"/>
        <v/>
      </c>
    </row>
    <row r="57" spans="1:8" x14ac:dyDescent="0.3">
      <c r="A57" s="19"/>
      <c r="B57" s="24" t="str">
        <f t="shared" si="3"/>
        <v/>
      </c>
      <c r="C57" s="20"/>
      <c r="D57" s="21" t="str">
        <f t="shared" si="6"/>
        <v/>
      </c>
      <c r="E57" s="21" t="str">
        <f t="shared" si="7"/>
        <v/>
      </c>
      <c r="F57" s="21" t="str">
        <f t="shared" si="5"/>
        <v/>
      </c>
      <c r="G57" s="21" t="str">
        <f t="shared" si="4"/>
        <v/>
      </c>
      <c r="H57" s="21" t="str">
        <f t="shared" si="8"/>
        <v/>
      </c>
    </row>
    <row r="58" spans="1:8" x14ac:dyDescent="0.3">
      <c r="A58" s="2"/>
      <c r="B58" s="23" t="str">
        <f t="shared" si="3"/>
        <v/>
      </c>
      <c r="C58" s="3"/>
      <c r="D58" s="4" t="str">
        <f t="shared" si="6"/>
        <v/>
      </c>
      <c r="E58" s="4" t="str">
        <f t="shared" si="7"/>
        <v/>
      </c>
      <c r="F58" s="4" t="str">
        <f t="shared" si="5"/>
        <v/>
      </c>
      <c r="G58" s="4" t="str">
        <f t="shared" si="4"/>
        <v/>
      </c>
      <c r="H58" s="4" t="str">
        <f t="shared" si="8"/>
        <v/>
      </c>
    </row>
    <row r="59" spans="1:8" x14ac:dyDescent="0.3">
      <c r="A59" s="19"/>
      <c r="B59" s="24" t="str">
        <f t="shared" si="3"/>
        <v/>
      </c>
      <c r="C59" s="20"/>
      <c r="D59" s="21" t="str">
        <f t="shared" si="6"/>
        <v/>
      </c>
      <c r="E59" s="21" t="str">
        <f t="shared" si="7"/>
        <v/>
      </c>
      <c r="F59" s="21" t="str">
        <f t="shared" si="5"/>
        <v/>
      </c>
      <c r="G59" s="21" t="str">
        <f t="shared" si="4"/>
        <v/>
      </c>
      <c r="H59" s="21" t="str">
        <f t="shared" si="8"/>
        <v/>
      </c>
    </row>
    <row r="60" spans="1:8" x14ac:dyDescent="0.3">
      <c r="A60" s="2"/>
      <c r="B60" s="23" t="str">
        <f t="shared" si="3"/>
        <v/>
      </c>
      <c r="C60" s="3"/>
      <c r="D60" s="4" t="str">
        <f t="shared" si="6"/>
        <v/>
      </c>
      <c r="E60" s="4" t="str">
        <f t="shared" si="7"/>
        <v/>
      </c>
      <c r="F60" s="4" t="str">
        <f t="shared" si="5"/>
        <v/>
      </c>
      <c r="G60" s="4" t="str">
        <f t="shared" si="4"/>
        <v/>
      </c>
      <c r="H60" s="4" t="str">
        <f t="shared" si="8"/>
        <v/>
      </c>
    </row>
    <row r="61" spans="1:8" x14ac:dyDescent="0.3">
      <c r="A61" s="19"/>
      <c r="B61" s="24" t="str">
        <f t="shared" si="3"/>
        <v/>
      </c>
      <c r="C61" s="20"/>
      <c r="D61" s="21" t="str">
        <f t="shared" si="6"/>
        <v/>
      </c>
      <c r="E61" s="21" t="str">
        <f t="shared" si="7"/>
        <v/>
      </c>
      <c r="F61" s="21" t="str">
        <f t="shared" si="5"/>
        <v/>
      </c>
      <c r="G61" s="21" t="str">
        <f t="shared" si="4"/>
        <v/>
      </c>
      <c r="H61" s="21" t="str">
        <f t="shared" si="8"/>
        <v/>
      </c>
    </row>
    <row r="62" spans="1:8" x14ac:dyDescent="0.3">
      <c r="A62" s="2"/>
      <c r="B62" s="23" t="str">
        <f t="shared" si="3"/>
        <v/>
      </c>
      <c r="C62" s="3"/>
      <c r="D62" s="4" t="str">
        <f t="shared" si="6"/>
        <v/>
      </c>
      <c r="E62" s="4" t="str">
        <f t="shared" si="7"/>
        <v/>
      </c>
      <c r="F62" s="4" t="str">
        <f t="shared" si="5"/>
        <v/>
      </c>
      <c r="G62" s="4" t="str">
        <f t="shared" si="4"/>
        <v/>
      </c>
      <c r="H62" s="4" t="str">
        <f t="shared" si="8"/>
        <v/>
      </c>
    </row>
    <row r="63" spans="1:8" x14ac:dyDescent="0.3">
      <c r="A63" s="19"/>
      <c r="B63" s="24" t="str">
        <f t="shared" si="3"/>
        <v/>
      </c>
      <c r="C63" s="20"/>
      <c r="D63" s="21" t="str">
        <f t="shared" si="6"/>
        <v/>
      </c>
      <c r="E63" s="21" t="str">
        <f t="shared" si="7"/>
        <v/>
      </c>
      <c r="F63" s="21" t="str">
        <f t="shared" si="5"/>
        <v/>
      </c>
      <c r="G63" s="21" t="str">
        <f t="shared" si="4"/>
        <v/>
      </c>
      <c r="H63" s="21" t="str">
        <f t="shared" si="8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6"/>
        <v/>
      </c>
      <c r="E64" s="4" t="str">
        <f t="shared" si="7"/>
        <v/>
      </c>
      <c r="F64" s="4" t="str">
        <f t="shared" si="5"/>
        <v/>
      </c>
      <c r="G64" s="4" t="str">
        <f t="shared" si="4"/>
        <v/>
      </c>
      <c r="H64" s="4" t="str">
        <f t="shared" si="8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6"/>
        <v/>
      </c>
      <c r="E65" s="21" t="str">
        <f t="shared" si="7"/>
        <v/>
      </c>
      <c r="F65" s="21" t="str">
        <f t="shared" si="5"/>
        <v/>
      </c>
      <c r="G65" s="21" t="str">
        <f t="shared" si="4"/>
        <v/>
      </c>
      <c r="H65" s="21" t="str">
        <f t="shared" si="8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97" si="9">IF(AND($A66&lt;&gt;"",$B66&lt;&gt;""),$K$9,"")</f>
        <v/>
      </c>
      <c r="E66" s="4" t="str">
        <f t="shared" si="7"/>
        <v/>
      </c>
      <c r="F66" s="4" t="str">
        <f t="shared" si="5"/>
        <v/>
      </c>
      <c r="G66" s="4" t="str">
        <f t="shared" si="4"/>
        <v/>
      </c>
      <c r="H66" s="4" t="str">
        <f t="shared" si="8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9"/>
        <v/>
      </c>
      <c r="E67" s="21" t="str">
        <f t="shared" ref="E67:E98" si="10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98" si="11">IF(AND($A67&lt;&gt;"",$B67&lt;&gt;""),$K$7-G67,"")</f>
        <v/>
      </c>
    </row>
    <row r="68" spans="1:8" x14ac:dyDescent="0.3">
      <c r="A68" s="2"/>
      <c r="B68" s="23" t="str">
        <f t="shared" ref="B68:B121" si="12">IF(A68&lt;&gt;"",B67+1,"")</f>
        <v/>
      </c>
      <c r="C68" s="3"/>
      <c r="D68" s="4" t="str">
        <f t="shared" si="9"/>
        <v/>
      </c>
      <c r="E68" s="4" t="str">
        <f t="shared" si="10"/>
        <v/>
      </c>
      <c r="F68" s="4" t="str">
        <f t="shared" si="5"/>
        <v/>
      </c>
      <c r="G68" s="4" t="str">
        <f t="shared" si="4"/>
        <v/>
      </c>
      <c r="H68" s="4" t="str">
        <f t="shared" si="11"/>
        <v/>
      </c>
    </row>
    <row r="69" spans="1:8" x14ac:dyDescent="0.3">
      <c r="A69" s="19"/>
      <c r="B69" s="24" t="str">
        <f t="shared" si="12"/>
        <v/>
      </c>
      <c r="C69" s="20"/>
      <c r="D69" s="21" t="str">
        <f t="shared" si="9"/>
        <v/>
      </c>
      <c r="E69" s="21" t="str">
        <f t="shared" si="10"/>
        <v/>
      </c>
      <c r="F69" s="21" t="str">
        <f t="shared" si="5"/>
        <v/>
      </c>
      <c r="G69" s="21" t="str">
        <f t="shared" si="4"/>
        <v/>
      </c>
      <c r="H69" s="21" t="str">
        <f t="shared" si="11"/>
        <v/>
      </c>
    </row>
    <row r="70" spans="1:8" x14ac:dyDescent="0.3">
      <c r="A70" s="2"/>
      <c r="B70" s="23" t="str">
        <f t="shared" si="12"/>
        <v/>
      </c>
      <c r="C70" s="3"/>
      <c r="D70" s="4" t="str">
        <f t="shared" si="9"/>
        <v/>
      </c>
      <c r="E70" s="4" t="str">
        <f t="shared" si="10"/>
        <v/>
      </c>
      <c r="F70" s="4" t="str">
        <f t="shared" si="5"/>
        <v/>
      </c>
      <c r="G70" s="4" t="str">
        <f t="shared" ref="G70:G121" si="13">IF(AND($A70&lt;&gt;"",$B70&lt;&gt;""),G69-F70,"")</f>
        <v/>
      </c>
      <c r="H70" s="4" t="str">
        <f t="shared" si="11"/>
        <v/>
      </c>
    </row>
    <row r="71" spans="1:8" x14ac:dyDescent="0.3">
      <c r="A71" s="19"/>
      <c r="B71" s="24" t="str">
        <f t="shared" si="12"/>
        <v/>
      </c>
      <c r="C71" s="20"/>
      <c r="D71" s="21" t="str">
        <f t="shared" si="9"/>
        <v/>
      </c>
      <c r="E71" s="21" t="str">
        <f t="shared" si="10"/>
        <v/>
      </c>
      <c r="F71" s="21" t="str">
        <f t="shared" ref="F71:F121" si="14">IF(AND($A71&lt;&gt;"",$B71&lt;&gt;""),D71-E71,"")</f>
        <v/>
      </c>
      <c r="G71" s="21" t="str">
        <f t="shared" si="13"/>
        <v/>
      </c>
      <c r="H71" s="21" t="str">
        <f t="shared" si="11"/>
        <v/>
      </c>
    </row>
    <row r="72" spans="1:8" x14ac:dyDescent="0.3">
      <c r="A72" s="2"/>
      <c r="B72" s="23" t="str">
        <f t="shared" si="12"/>
        <v/>
      </c>
      <c r="C72" s="3"/>
      <c r="D72" s="4" t="str">
        <f t="shared" si="9"/>
        <v/>
      </c>
      <c r="E72" s="4" t="str">
        <f t="shared" si="10"/>
        <v/>
      </c>
      <c r="F72" s="4" t="str">
        <f t="shared" si="14"/>
        <v/>
      </c>
      <c r="G72" s="4" t="str">
        <f t="shared" si="13"/>
        <v/>
      </c>
      <c r="H72" s="4" t="str">
        <f t="shared" si="11"/>
        <v/>
      </c>
    </row>
    <row r="73" spans="1:8" x14ac:dyDescent="0.3">
      <c r="A73" s="19"/>
      <c r="B73" s="24" t="str">
        <f t="shared" si="12"/>
        <v/>
      </c>
      <c r="C73" s="20"/>
      <c r="D73" s="21" t="str">
        <f t="shared" si="9"/>
        <v/>
      </c>
      <c r="E73" s="21" t="str">
        <f t="shared" si="10"/>
        <v/>
      </c>
      <c r="F73" s="21" t="str">
        <f t="shared" si="14"/>
        <v/>
      </c>
      <c r="G73" s="21" t="str">
        <f t="shared" si="13"/>
        <v/>
      </c>
      <c r="H73" s="21" t="str">
        <f t="shared" si="11"/>
        <v/>
      </c>
    </row>
    <row r="74" spans="1:8" x14ac:dyDescent="0.3">
      <c r="A74" s="2"/>
      <c r="B74" s="23" t="str">
        <f t="shared" si="12"/>
        <v/>
      </c>
      <c r="C74" s="3"/>
      <c r="D74" s="4" t="str">
        <f t="shared" si="9"/>
        <v/>
      </c>
      <c r="E74" s="4" t="str">
        <f t="shared" si="10"/>
        <v/>
      </c>
      <c r="F74" s="4" t="str">
        <f t="shared" si="14"/>
        <v/>
      </c>
      <c r="G74" s="4" t="str">
        <f t="shared" si="13"/>
        <v/>
      </c>
      <c r="H74" s="4" t="str">
        <f t="shared" si="11"/>
        <v/>
      </c>
    </row>
    <row r="75" spans="1:8" x14ac:dyDescent="0.3">
      <c r="A75" s="19"/>
      <c r="B75" s="24" t="str">
        <f t="shared" si="12"/>
        <v/>
      </c>
      <c r="C75" s="20"/>
      <c r="D75" s="21" t="str">
        <f t="shared" si="9"/>
        <v/>
      </c>
      <c r="E75" s="21" t="str">
        <f t="shared" si="10"/>
        <v/>
      </c>
      <c r="F75" s="21" t="str">
        <f t="shared" si="14"/>
        <v/>
      </c>
      <c r="G75" s="21" t="str">
        <f t="shared" si="13"/>
        <v/>
      </c>
      <c r="H75" s="21" t="str">
        <f t="shared" si="11"/>
        <v/>
      </c>
    </row>
    <row r="76" spans="1:8" x14ac:dyDescent="0.3">
      <c r="A76" s="2"/>
      <c r="B76" s="23" t="str">
        <f t="shared" si="12"/>
        <v/>
      </c>
      <c r="C76" s="3"/>
      <c r="D76" s="4" t="str">
        <f t="shared" si="9"/>
        <v/>
      </c>
      <c r="E76" s="4" t="str">
        <f t="shared" si="10"/>
        <v/>
      </c>
      <c r="F76" s="4" t="str">
        <f t="shared" si="14"/>
        <v/>
      </c>
      <c r="G76" s="4" t="str">
        <f t="shared" si="13"/>
        <v/>
      </c>
      <c r="H76" s="4" t="str">
        <f t="shared" si="11"/>
        <v/>
      </c>
    </row>
    <row r="77" spans="1:8" x14ac:dyDescent="0.3">
      <c r="A77" s="19"/>
      <c r="B77" s="24" t="str">
        <f t="shared" si="12"/>
        <v/>
      </c>
      <c r="C77" s="20"/>
      <c r="D77" s="21" t="str">
        <f t="shared" si="9"/>
        <v/>
      </c>
      <c r="E77" s="21" t="str">
        <f t="shared" si="10"/>
        <v/>
      </c>
      <c r="F77" s="21" t="str">
        <f t="shared" si="14"/>
        <v/>
      </c>
      <c r="G77" s="21" t="str">
        <f t="shared" si="13"/>
        <v/>
      </c>
      <c r="H77" s="21" t="str">
        <f t="shared" si="11"/>
        <v/>
      </c>
    </row>
    <row r="78" spans="1:8" x14ac:dyDescent="0.3">
      <c r="A78" s="2"/>
      <c r="B78" s="23" t="str">
        <f t="shared" si="12"/>
        <v/>
      </c>
      <c r="C78" s="3"/>
      <c r="D78" s="4" t="str">
        <f t="shared" si="9"/>
        <v/>
      </c>
      <c r="E78" s="4" t="str">
        <f t="shared" si="10"/>
        <v/>
      </c>
      <c r="F78" s="4" t="str">
        <f t="shared" si="14"/>
        <v/>
      </c>
      <c r="G78" s="4" t="str">
        <f t="shared" si="13"/>
        <v/>
      </c>
      <c r="H78" s="4" t="str">
        <f t="shared" si="11"/>
        <v/>
      </c>
    </row>
    <row r="79" spans="1:8" x14ac:dyDescent="0.3">
      <c r="A79" s="19"/>
      <c r="B79" s="24" t="str">
        <f t="shared" si="12"/>
        <v/>
      </c>
      <c r="C79" s="20"/>
      <c r="D79" s="21" t="str">
        <f t="shared" si="9"/>
        <v/>
      </c>
      <c r="E79" s="21" t="str">
        <f t="shared" si="10"/>
        <v/>
      </c>
      <c r="F79" s="21" t="str">
        <f t="shared" si="14"/>
        <v/>
      </c>
      <c r="G79" s="21" t="str">
        <f t="shared" si="13"/>
        <v/>
      </c>
      <c r="H79" s="21" t="str">
        <f t="shared" si="11"/>
        <v/>
      </c>
    </row>
    <row r="80" spans="1:8" x14ac:dyDescent="0.3">
      <c r="A80" s="2"/>
      <c r="B80" s="23" t="str">
        <f t="shared" si="12"/>
        <v/>
      </c>
      <c r="C80" s="3"/>
      <c r="D80" s="4" t="str">
        <f t="shared" si="9"/>
        <v/>
      </c>
      <c r="E80" s="4" t="str">
        <f t="shared" si="10"/>
        <v/>
      </c>
      <c r="F80" s="4" t="str">
        <f t="shared" si="14"/>
        <v/>
      </c>
      <c r="G80" s="4" t="str">
        <f t="shared" si="13"/>
        <v/>
      </c>
      <c r="H80" s="4" t="str">
        <f t="shared" si="11"/>
        <v/>
      </c>
    </row>
    <row r="81" spans="1:8" x14ac:dyDescent="0.3">
      <c r="A81" s="19"/>
      <c r="B81" s="24" t="str">
        <f t="shared" si="12"/>
        <v/>
      </c>
      <c r="C81" s="20"/>
      <c r="D81" s="21" t="str">
        <f t="shared" si="9"/>
        <v/>
      </c>
      <c r="E81" s="21" t="str">
        <f t="shared" si="10"/>
        <v/>
      </c>
      <c r="F81" s="21" t="str">
        <f t="shared" si="14"/>
        <v/>
      </c>
      <c r="G81" s="21" t="str">
        <f t="shared" si="13"/>
        <v/>
      </c>
      <c r="H81" s="21" t="str">
        <f t="shared" si="11"/>
        <v/>
      </c>
    </row>
    <row r="82" spans="1:8" x14ac:dyDescent="0.3">
      <c r="A82" s="2"/>
      <c r="B82" s="23" t="str">
        <f t="shared" si="12"/>
        <v/>
      </c>
      <c r="C82" s="3"/>
      <c r="D82" s="4" t="str">
        <f t="shared" si="9"/>
        <v/>
      </c>
      <c r="E82" s="4" t="str">
        <f t="shared" si="10"/>
        <v/>
      </c>
      <c r="F82" s="4" t="str">
        <f t="shared" si="14"/>
        <v/>
      </c>
      <c r="G82" s="4" t="str">
        <f t="shared" si="13"/>
        <v/>
      </c>
      <c r="H82" s="4" t="str">
        <f t="shared" si="11"/>
        <v/>
      </c>
    </row>
    <row r="83" spans="1:8" x14ac:dyDescent="0.3">
      <c r="A83" s="19"/>
      <c r="B83" s="24" t="str">
        <f t="shared" si="12"/>
        <v/>
      </c>
      <c r="C83" s="20"/>
      <c r="D83" s="21" t="str">
        <f t="shared" si="9"/>
        <v/>
      </c>
      <c r="E83" s="21" t="str">
        <f t="shared" si="10"/>
        <v/>
      </c>
      <c r="F83" s="21" t="str">
        <f t="shared" si="14"/>
        <v/>
      </c>
      <c r="G83" s="21" t="str">
        <f t="shared" si="13"/>
        <v/>
      </c>
      <c r="H83" s="21" t="str">
        <f t="shared" si="11"/>
        <v/>
      </c>
    </row>
    <row r="84" spans="1:8" x14ac:dyDescent="0.3">
      <c r="A84" s="2"/>
      <c r="B84" s="23" t="str">
        <f t="shared" si="12"/>
        <v/>
      </c>
      <c r="C84" s="3"/>
      <c r="D84" s="4" t="str">
        <f t="shared" si="9"/>
        <v/>
      </c>
      <c r="E84" s="4" t="str">
        <f t="shared" si="10"/>
        <v/>
      </c>
      <c r="F84" s="4" t="str">
        <f t="shared" si="14"/>
        <v/>
      </c>
      <c r="G84" s="4" t="str">
        <f t="shared" si="13"/>
        <v/>
      </c>
      <c r="H84" s="4" t="str">
        <f t="shared" si="11"/>
        <v/>
      </c>
    </row>
    <row r="85" spans="1:8" x14ac:dyDescent="0.3">
      <c r="A85" s="19"/>
      <c r="B85" s="24" t="str">
        <f t="shared" si="12"/>
        <v/>
      </c>
      <c r="C85" s="20"/>
      <c r="D85" s="21" t="str">
        <f t="shared" si="9"/>
        <v/>
      </c>
      <c r="E85" s="21" t="str">
        <f t="shared" si="10"/>
        <v/>
      </c>
      <c r="F85" s="21" t="str">
        <f t="shared" si="14"/>
        <v/>
      </c>
      <c r="G85" s="21" t="str">
        <f t="shared" si="13"/>
        <v/>
      </c>
      <c r="H85" s="21" t="str">
        <f t="shared" si="11"/>
        <v/>
      </c>
    </row>
    <row r="86" spans="1:8" x14ac:dyDescent="0.3">
      <c r="A86" s="2"/>
      <c r="B86" s="23" t="str">
        <f t="shared" si="12"/>
        <v/>
      </c>
      <c r="C86" s="3"/>
      <c r="D86" s="4" t="str">
        <f t="shared" si="9"/>
        <v/>
      </c>
      <c r="E86" s="4" t="str">
        <f t="shared" si="10"/>
        <v/>
      </c>
      <c r="F86" s="4" t="str">
        <f t="shared" si="14"/>
        <v/>
      </c>
      <c r="G86" s="4" t="str">
        <f t="shared" si="13"/>
        <v/>
      </c>
      <c r="H86" s="4" t="str">
        <f t="shared" si="11"/>
        <v/>
      </c>
    </row>
    <row r="87" spans="1:8" x14ac:dyDescent="0.3">
      <c r="A87" s="19"/>
      <c r="B87" s="24" t="str">
        <f t="shared" si="12"/>
        <v/>
      </c>
      <c r="C87" s="20"/>
      <c r="D87" s="21" t="str">
        <f t="shared" si="9"/>
        <v/>
      </c>
      <c r="E87" s="21" t="str">
        <f t="shared" si="10"/>
        <v/>
      </c>
      <c r="F87" s="21" t="str">
        <f t="shared" si="14"/>
        <v/>
      </c>
      <c r="G87" s="21" t="str">
        <f t="shared" si="13"/>
        <v/>
      </c>
      <c r="H87" s="21" t="str">
        <f t="shared" si="11"/>
        <v/>
      </c>
    </row>
    <row r="88" spans="1:8" x14ac:dyDescent="0.3">
      <c r="A88" s="2"/>
      <c r="B88" s="23" t="str">
        <f t="shared" si="12"/>
        <v/>
      </c>
      <c r="C88" s="3"/>
      <c r="D88" s="4" t="str">
        <f t="shared" si="9"/>
        <v/>
      </c>
      <c r="E88" s="4" t="str">
        <f t="shared" si="10"/>
        <v/>
      </c>
      <c r="F88" s="4" t="str">
        <f t="shared" si="14"/>
        <v/>
      </c>
      <c r="G88" s="4" t="str">
        <f t="shared" si="13"/>
        <v/>
      </c>
      <c r="H88" s="4" t="str">
        <f t="shared" si="11"/>
        <v/>
      </c>
    </row>
    <row r="89" spans="1:8" x14ac:dyDescent="0.3">
      <c r="A89" s="19"/>
      <c r="B89" s="24" t="str">
        <f t="shared" si="12"/>
        <v/>
      </c>
      <c r="C89" s="20"/>
      <c r="D89" s="21" t="str">
        <f t="shared" si="9"/>
        <v/>
      </c>
      <c r="E89" s="21" t="str">
        <f t="shared" si="10"/>
        <v/>
      </c>
      <c r="F89" s="21" t="str">
        <f t="shared" si="14"/>
        <v/>
      </c>
      <c r="G89" s="21" t="str">
        <f t="shared" si="13"/>
        <v/>
      </c>
      <c r="H89" s="21" t="str">
        <f t="shared" si="11"/>
        <v/>
      </c>
    </row>
    <row r="90" spans="1:8" x14ac:dyDescent="0.3">
      <c r="A90" s="2"/>
      <c r="B90" s="23" t="str">
        <f t="shared" si="12"/>
        <v/>
      </c>
      <c r="C90" s="3"/>
      <c r="D90" s="4" t="str">
        <f t="shared" si="9"/>
        <v/>
      </c>
      <c r="E90" s="4" t="str">
        <f t="shared" si="10"/>
        <v/>
      </c>
      <c r="F90" s="4" t="str">
        <f t="shared" si="14"/>
        <v/>
      </c>
      <c r="G90" s="4" t="str">
        <f t="shared" si="13"/>
        <v/>
      </c>
      <c r="H90" s="4" t="str">
        <f t="shared" si="11"/>
        <v/>
      </c>
    </row>
    <row r="91" spans="1:8" x14ac:dyDescent="0.3">
      <c r="A91" s="19"/>
      <c r="B91" s="24" t="str">
        <f t="shared" si="12"/>
        <v/>
      </c>
      <c r="C91" s="20"/>
      <c r="D91" s="21" t="str">
        <f t="shared" si="9"/>
        <v/>
      </c>
      <c r="E91" s="21" t="str">
        <f t="shared" si="10"/>
        <v/>
      </c>
      <c r="F91" s="21" t="str">
        <f t="shared" si="14"/>
        <v/>
      </c>
      <c r="G91" s="21" t="str">
        <f t="shared" si="13"/>
        <v/>
      </c>
      <c r="H91" s="21" t="str">
        <f t="shared" si="11"/>
        <v/>
      </c>
    </row>
    <row r="92" spans="1:8" x14ac:dyDescent="0.3">
      <c r="A92" s="2"/>
      <c r="B92" s="23" t="str">
        <f t="shared" si="12"/>
        <v/>
      </c>
      <c r="C92" s="3"/>
      <c r="D92" s="4" t="str">
        <f t="shared" si="9"/>
        <v/>
      </c>
      <c r="E92" s="4" t="str">
        <f t="shared" si="10"/>
        <v/>
      </c>
      <c r="F92" s="4" t="str">
        <f t="shared" si="14"/>
        <v/>
      </c>
      <c r="G92" s="4" t="str">
        <f t="shared" si="13"/>
        <v/>
      </c>
      <c r="H92" s="4" t="str">
        <f t="shared" si="11"/>
        <v/>
      </c>
    </row>
    <row r="93" spans="1:8" x14ac:dyDescent="0.3">
      <c r="A93" s="19"/>
      <c r="B93" s="24" t="str">
        <f t="shared" si="12"/>
        <v/>
      </c>
      <c r="C93" s="20"/>
      <c r="D93" s="21" t="str">
        <f t="shared" si="9"/>
        <v/>
      </c>
      <c r="E93" s="21" t="str">
        <f t="shared" si="10"/>
        <v/>
      </c>
      <c r="F93" s="21" t="str">
        <f t="shared" si="14"/>
        <v/>
      </c>
      <c r="G93" s="21" t="str">
        <f t="shared" si="13"/>
        <v/>
      </c>
      <c r="H93" s="21" t="str">
        <f t="shared" si="11"/>
        <v/>
      </c>
    </row>
    <row r="94" spans="1:8" x14ac:dyDescent="0.3">
      <c r="A94" s="2"/>
      <c r="B94" s="23" t="str">
        <f t="shared" si="12"/>
        <v/>
      </c>
      <c r="C94" s="3"/>
      <c r="D94" s="4" t="str">
        <f t="shared" si="9"/>
        <v/>
      </c>
      <c r="E94" s="4" t="str">
        <f t="shared" si="10"/>
        <v/>
      </c>
      <c r="F94" s="4" t="str">
        <f t="shared" si="14"/>
        <v/>
      </c>
      <c r="G94" s="4" t="str">
        <f t="shared" si="13"/>
        <v/>
      </c>
      <c r="H94" s="4" t="str">
        <f t="shared" si="11"/>
        <v/>
      </c>
    </row>
    <row r="95" spans="1:8" x14ac:dyDescent="0.3">
      <c r="A95" s="19"/>
      <c r="B95" s="24" t="str">
        <f t="shared" si="12"/>
        <v/>
      </c>
      <c r="C95" s="20"/>
      <c r="D95" s="21" t="str">
        <f t="shared" si="9"/>
        <v/>
      </c>
      <c r="E95" s="21" t="str">
        <f t="shared" si="10"/>
        <v/>
      </c>
      <c r="F95" s="21" t="str">
        <f t="shared" si="14"/>
        <v/>
      </c>
      <c r="G95" s="21" t="str">
        <f t="shared" si="13"/>
        <v/>
      </c>
      <c r="H95" s="21" t="str">
        <f t="shared" si="11"/>
        <v/>
      </c>
    </row>
    <row r="96" spans="1:8" x14ac:dyDescent="0.3">
      <c r="A96" s="2"/>
      <c r="B96" s="23" t="str">
        <f t="shared" si="12"/>
        <v/>
      </c>
      <c r="C96" s="3"/>
      <c r="D96" s="4" t="str">
        <f t="shared" si="9"/>
        <v/>
      </c>
      <c r="E96" s="4" t="str">
        <f t="shared" si="10"/>
        <v/>
      </c>
      <c r="F96" s="4" t="str">
        <f t="shared" si="14"/>
        <v/>
      </c>
      <c r="G96" s="4" t="str">
        <f t="shared" si="13"/>
        <v/>
      </c>
      <c r="H96" s="4" t="str">
        <f t="shared" si="11"/>
        <v/>
      </c>
    </row>
    <row r="97" spans="1:8" x14ac:dyDescent="0.3">
      <c r="A97" s="19"/>
      <c r="B97" s="24" t="str">
        <f t="shared" si="12"/>
        <v/>
      </c>
      <c r="C97" s="20"/>
      <c r="D97" s="21" t="str">
        <f t="shared" si="9"/>
        <v/>
      </c>
      <c r="E97" s="21" t="str">
        <f t="shared" si="10"/>
        <v/>
      </c>
      <c r="F97" s="21" t="str">
        <f t="shared" si="14"/>
        <v/>
      </c>
      <c r="G97" s="21" t="str">
        <f t="shared" si="13"/>
        <v/>
      </c>
      <c r="H97" s="21" t="str">
        <f t="shared" si="11"/>
        <v/>
      </c>
    </row>
    <row r="98" spans="1:8" x14ac:dyDescent="0.3">
      <c r="A98" s="2"/>
      <c r="B98" s="23" t="str">
        <f t="shared" si="12"/>
        <v/>
      </c>
      <c r="C98" s="3"/>
      <c r="D98" s="4" t="str">
        <f t="shared" ref="D98:D121" si="15">IF(AND($A98&lt;&gt;"",$B98&lt;&gt;""),$K$9,"")</f>
        <v/>
      </c>
      <c r="E98" s="4" t="str">
        <f t="shared" si="10"/>
        <v/>
      </c>
      <c r="F98" s="4" t="str">
        <f t="shared" si="14"/>
        <v/>
      </c>
      <c r="G98" s="4" t="str">
        <f t="shared" si="13"/>
        <v/>
      </c>
      <c r="H98" s="4" t="str">
        <f t="shared" si="11"/>
        <v/>
      </c>
    </row>
    <row r="99" spans="1:8" x14ac:dyDescent="0.3">
      <c r="A99" s="19"/>
      <c r="B99" s="24" t="str">
        <f t="shared" si="12"/>
        <v/>
      </c>
      <c r="C99" s="20"/>
      <c r="D99" s="21" t="str">
        <f t="shared" si="15"/>
        <v/>
      </c>
      <c r="E99" s="21" t="str">
        <f t="shared" ref="E99:E121" si="16">IF(AND($A99&lt;&gt;"",$B99&lt;&gt;""),G98*$K$8,"")</f>
        <v/>
      </c>
      <c r="F99" s="21" t="str">
        <f t="shared" si="14"/>
        <v/>
      </c>
      <c r="G99" s="21" t="str">
        <f t="shared" si="13"/>
        <v/>
      </c>
      <c r="H99" s="21" t="str">
        <f t="shared" ref="H99:H121" si="17">IF(AND($A99&lt;&gt;"",$B99&lt;&gt;""),$K$7-G99,"")</f>
        <v/>
      </c>
    </row>
    <row r="100" spans="1:8" x14ac:dyDescent="0.3">
      <c r="A100" s="2"/>
      <c r="B100" s="23" t="str">
        <f t="shared" si="12"/>
        <v/>
      </c>
      <c r="C100" s="3"/>
      <c r="D100" s="4" t="str">
        <f t="shared" si="15"/>
        <v/>
      </c>
      <c r="E100" s="4" t="str">
        <f t="shared" si="16"/>
        <v/>
      </c>
      <c r="F100" s="4" t="str">
        <f t="shared" si="14"/>
        <v/>
      </c>
      <c r="G100" s="4" t="str">
        <f t="shared" si="13"/>
        <v/>
      </c>
      <c r="H100" s="4" t="str">
        <f t="shared" si="17"/>
        <v/>
      </c>
    </row>
    <row r="101" spans="1:8" x14ac:dyDescent="0.3">
      <c r="A101" s="19"/>
      <c r="B101" s="24" t="str">
        <f t="shared" si="12"/>
        <v/>
      </c>
      <c r="C101" s="20"/>
      <c r="D101" s="21" t="str">
        <f t="shared" si="15"/>
        <v/>
      </c>
      <c r="E101" s="21" t="str">
        <f t="shared" si="16"/>
        <v/>
      </c>
      <c r="F101" s="21" t="str">
        <f t="shared" si="14"/>
        <v/>
      </c>
      <c r="G101" s="21" t="str">
        <f t="shared" si="13"/>
        <v/>
      </c>
      <c r="H101" s="21" t="str">
        <f t="shared" si="17"/>
        <v/>
      </c>
    </row>
    <row r="102" spans="1:8" x14ac:dyDescent="0.3">
      <c r="A102" s="2"/>
      <c r="B102" s="23" t="str">
        <f t="shared" si="12"/>
        <v/>
      </c>
      <c r="C102" s="3"/>
      <c r="D102" s="4" t="str">
        <f t="shared" si="15"/>
        <v/>
      </c>
      <c r="E102" s="4" t="str">
        <f t="shared" si="16"/>
        <v/>
      </c>
      <c r="F102" s="4" t="str">
        <f t="shared" si="14"/>
        <v/>
      </c>
      <c r="G102" s="4" t="str">
        <f t="shared" si="13"/>
        <v/>
      </c>
      <c r="H102" s="4" t="str">
        <f t="shared" si="17"/>
        <v/>
      </c>
    </row>
    <row r="103" spans="1:8" x14ac:dyDescent="0.3">
      <c r="A103" s="19"/>
      <c r="B103" s="24" t="str">
        <f t="shared" si="12"/>
        <v/>
      </c>
      <c r="C103" s="20"/>
      <c r="D103" s="21" t="str">
        <f t="shared" si="15"/>
        <v/>
      </c>
      <c r="E103" s="21" t="str">
        <f t="shared" si="16"/>
        <v/>
      </c>
      <c r="F103" s="21" t="str">
        <f t="shared" si="14"/>
        <v/>
      </c>
      <c r="G103" s="21" t="str">
        <f t="shared" si="13"/>
        <v/>
      </c>
      <c r="H103" s="21" t="str">
        <f t="shared" si="17"/>
        <v/>
      </c>
    </row>
    <row r="104" spans="1:8" x14ac:dyDescent="0.3">
      <c r="A104" s="2"/>
      <c r="B104" s="23" t="str">
        <f t="shared" si="12"/>
        <v/>
      </c>
      <c r="C104" s="3"/>
      <c r="D104" s="4" t="str">
        <f t="shared" si="15"/>
        <v/>
      </c>
      <c r="E104" s="4" t="str">
        <f t="shared" si="16"/>
        <v/>
      </c>
      <c r="F104" s="4" t="str">
        <f t="shared" si="14"/>
        <v/>
      </c>
      <c r="G104" s="4" t="str">
        <f t="shared" si="13"/>
        <v/>
      </c>
      <c r="H104" s="4" t="str">
        <f t="shared" si="17"/>
        <v/>
      </c>
    </row>
    <row r="105" spans="1:8" x14ac:dyDescent="0.3">
      <c r="A105" s="19"/>
      <c r="B105" s="24" t="str">
        <f t="shared" si="12"/>
        <v/>
      </c>
      <c r="C105" s="20"/>
      <c r="D105" s="21" t="str">
        <f t="shared" si="15"/>
        <v/>
      </c>
      <c r="E105" s="21" t="str">
        <f t="shared" si="16"/>
        <v/>
      </c>
      <c r="F105" s="21" t="str">
        <f t="shared" si="14"/>
        <v/>
      </c>
      <c r="G105" s="21" t="str">
        <f t="shared" si="13"/>
        <v/>
      </c>
      <c r="H105" s="21" t="str">
        <f t="shared" si="17"/>
        <v/>
      </c>
    </row>
    <row r="106" spans="1:8" x14ac:dyDescent="0.3">
      <c r="A106" s="2"/>
      <c r="B106" s="23" t="str">
        <f t="shared" si="12"/>
        <v/>
      </c>
      <c r="C106" s="3"/>
      <c r="D106" s="4" t="str">
        <f t="shared" si="15"/>
        <v/>
      </c>
      <c r="E106" s="4" t="str">
        <f t="shared" si="16"/>
        <v/>
      </c>
      <c r="F106" s="4" t="str">
        <f t="shared" si="14"/>
        <v/>
      </c>
      <c r="G106" s="4" t="str">
        <f t="shared" si="13"/>
        <v/>
      </c>
      <c r="H106" s="4" t="str">
        <f t="shared" si="17"/>
        <v/>
      </c>
    </row>
    <row r="107" spans="1:8" x14ac:dyDescent="0.3">
      <c r="A107" s="19"/>
      <c r="B107" s="24" t="str">
        <f t="shared" si="12"/>
        <v/>
      </c>
      <c r="C107" s="20"/>
      <c r="D107" s="21" t="str">
        <f t="shared" si="15"/>
        <v/>
      </c>
      <c r="E107" s="21" t="str">
        <f t="shared" si="16"/>
        <v/>
      </c>
      <c r="F107" s="21" t="str">
        <f t="shared" si="14"/>
        <v/>
      </c>
      <c r="G107" s="21" t="str">
        <f t="shared" si="13"/>
        <v/>
      </c>
      <c r="H107" s="21" t="str">
        <f t="shared" si="17"/>
        <v/>
      </c>
    </row>
    <row r="108" spans="1:8" x14ac:dyDescent="0.3">
      <c r="A108" s="2"/>
      <c r="B108" s="23" t="str">
        <f t="shared" si="12"/>
        <v/>
      </c>
      <c r="C108" s="3"/>
      <c r="D108" s="4" t="str">
        <f t="shared" si="15"/>
        <v/>
      </c>
      <c r="E108" s="4" t="str">
        <f t="shared" si="16"/>
        <v/>
      </c>
      <c r="F108" s="4" t="str">
        <f t="shared" si="14"/>
        <v/>
      </c>
      <c r="G108" s="4" t="str">
        <f t="shared" si="13"/>
        <v/>
      </c>
      <c r="H108" s="4" t="str">
        <f t="shared" si="17"/>
        <v/>
      </c>
    </row>
    <row r="109" spans="1:8" x14ac:dyDescent="0.3">
      <c r="A109" s="19"/>
      <c r="B109" s="24" t="str">
        <f t="shared" si="12"/>
        <v/>
      </c>
      <c r="C109" s="20"/>
      <c r="D109" s="21" t="str">
        <f t="shared" si="15"/>
        <v/>
      </c>
      <c r="E109" s="21" t="str">
        <f t="shared" si="16"/>
        <v/>
      </c>
      <c r="F109" s="21" t="str">
        <f t="shared" si="14"/>
        <v/>
      </c>
      <c r="G109" s="21" t="str">
        <f t="shared" si="13"/>
        <v/>
      </c>
      <c r="H109" s="21" t="str">
        <f t="shared" si="17"/>
        <v/>
      </c>
    </row>
    <row r="110" spans="1:8" x14ac:dyDescent="0.3">
      <c r="A110" s="2"/>
      <c r="B110" s="23" t="str">
        <f t="shared" si="12"/>
        <v/>
      </c>
      <c r="C110" s="3"/>
      <c r="D110" s="4" t="str">
        <f t="shared" si="15"/>
        <v/>
      </c>
      <c r="E110" s="4" t="str">
        <f t="shared" si="16"/>
        <v/>
      </c>
      <c r="F110" s="4" t="str">
        <f t="shared" si="14"/>
        <v/>
      </c>
      <c r="G110" s="4" t="str">
        <f t="shared" si="13"/>
        <v/>
      </c>
      <c r="H110" s="4" t="str">
        <f t="shared" si="17"/>
        <v/>
      </c>
    </row>
    <row r="111" spans="1:8" x14ac:dyDescent="0.3">
      <c r="A111" s="19"/>
      <c r="B111" s="24" t="str">
        <f t="shared" si="12"/>
        <v/>
      </c>
      <c r="C111" s="20"/>
      <c r="D111" s="21" t="str">
        <f t="shared" si="15"/>
        <v/>
      </c>
      <c r="E111" s="21" t="str">
        <f t="shared" si="16"/>
        <v/>
      </c>
      <c r="F111" s="21" t="str">
        <f t="shared" si="14"/>
        <v/>
      </c>
      <c r="G111" s="21" t="str">
        <f t="shared" si="13"/>
        <v/>
      </c>
      <c r="H111" s="21" t="str">
        <f t="shared" si="17"/>
        <v/>
      </c>
    </row>
    <row r="112" spans="1:8" x14ac:dyDescent="0.3">
      <c r="A112" s="2"/>
      <c r="B112" s="23" t="str">
        <f t="shared" si="12"/>
        <v/>
      </c>
      <c r="C112" s="3"/>
      <c r="D112" s="4" t="str">
        <f t="shared" si="15"/>
        <v/>
      </c>
      <c r="E112" s="4" t="str">
        <f t="shared" si="16"/>
        <v/>
      </c>
      <c r="F112" s="4" t="str">
        <f t="shared" si="14"/>
        <v/>
      </c>
      <c r="G112" s="4" t="str">
        <f t="shared" si="13"/>
        <v/>
      </c>
      <c r="H112" s="4" t="str">
        <f t="shared" si="17"/>
        <v/>
      </c>
    </row>
    <row r="113" spans="1:8" x14ac:dyDescent="0.3">
      <c r="A113" s="19"/>
      <c r="B113" s="24" t="str">
        <f t="shared" si="12"/>
        <v/>
      </c>
      <c r="C113" s="20"/>
      <c r="D113" s="21" t="str">
        <f t="shared" si="15"/>
        <v/>
      </c>
      <c r="E113" s="21" t="str">
        <f t="shared" si="16"/>
        <v/>
      </c>
      <c r="F113" s="21" t="str">
        <f t="shared" si="14"/>
        <v/>
      </c>
      <c r="G113" s="21" t="str">
        <f t="shared" si="13"/>
        <v/>
      </c>
      <c r="H113" s="21" t="str">
        <f t="shared" si="17"/>
        <v/>
      </c>
    </row>
    <row r="114" spans="1:8" x14ac:dyDescent="0.3">
      <c r="A114" s="2"/>
      <c r="B114" s="23" t="str">
        <f t="shared" si="12"/>
        <v/>
      </c>
      <c r="C114" s="3"/>
      <c r="D114" s="4" t="str">
        <f t="shared" si="15"/>
        <v/>
      </c>
      <c r="E114" s="4" t="str">
        <f t="shared" si="16"/>
        <v/>
      </c>
      <c r="F114" s="4" t="str">
        <f t="shared" si="14"/>
        <v/>
      </c>
      <c r="G114" s="4" t="str">
        <f t="shared" si="13"/>
        <v/>
      </c>
      <c r="H114" s="4" t="str">
        <f t="shared" si="17"/>
        <v/>
      </c>
    </row>
    <row r="115" spans="1:8" x14ac:dyDescent="0.3">
      <c r="A115" s="19"/>
      <c r="B115" s="24" t="str">
        <f t="shared" si="12"/>
        <v/>
      </c>
      <c r="C115" s="20"/>
      <c r="D115" s="21" t="str">
        <f t="shared" si="15"/>
        <v/>
      </c>
      <c r="E115" s="21" t="str">
        <f t="shared" si="16"/>
        <v/>
      </c>
      <c r="F115" s="21" t="str">
        <f t="shared" si="14"/>
        <v/>
      </c>
      <c r="G115" s="21" t="str">
        <f t="shared" si="13"/>
        <v/>
      </c>
      <c r="H115" s="21" t="str">
        <f t="shared" si="17"/>
        <v/>
      </c>
    </row>
    <row r="116" spans="1:8" x14ac:dyDescent="0.3">
      <c r="A116" s="2"/>
      <c r="B116" s="23" t="str">
        <f t="shared" si="12"/>
        <v/>
      </c>
      <c r="C116" s="3"/>
      <c r="D116" s="4" t="str">
        <f t="shared" si="15"/>
        <v/>
      </c>
      <c r="E116" s="4" t="str">
        <f t="shared" si="16"/>
        <v/>
      </c>
      <c r="F116" s="4" t="str">
        <f t="shared" si="14"/>
        <v/>
      </c>
      <c r="G116" s="4" t="str">
        <f t="shared" si="13"/>
        <v/>
      </c>
      <c r="H116" s="4" t="str">
        <f t="shared" si="17"/>
        <v/>
      </c>
    </row>
    <row r="117" spans="1:8" x14ac:dyDescent="0.3">
      <c r="A117" s="19"/>
      <c r="B117" s="24" t="str">
        <f t="shared" si="12"/>
        <v/>
      </c>
      <c r="C117" s="20"/>
      <c r="D117" s="21" t="str">
        <f t="shared" si="15"/>
        <v/>
      </c>
      <c r="E117" s="21" t="str">
        <f t="shared" si="16"/>
        <v/>
      </c>
      <c r="F117" s="21" t="str">
        <f t="shared" si="14"/>
        <v/>
      </c>
      <c r="G117" s="21" t="str">
        <f t="shared" si="13"/>
        <v/>
      </c>
      <c r="H117" s="21" t="str">
        <f t="shared" si="17"/>
        <v/>
      </c>
    </row>
    <row r="118" spans="1:8" x14ac:dyDescent="0.3">
      <c r="A118" s="2"/>
      <c r="B118" s="23" t="str">
        <f t="shared" si="12"/>
        <v/>
      </c>
      <c r="C118" s="3"/>
      <c r="D118" s="4" t="str">
        <f t="shared" si="15"/>
        <v/>
      </c>
      <c r="E118" s="4" t="str">
        <f t="shared" si="16"/>
        <v/>
      </c>
      <c r="F118" s="4" t="str">
        <f t="shared" si="14"/>
        <v/>
      </c>
      <c r="G118" s="4" t="str">
        <f t="shared" si="13"/>
        <v/>
      </c>
      <c r="H118" s="4" t="str">
        <f t="shared" si="17"/>
        <v/>
      </c>
    </row>
    <row r="119" spans="1:8" x14ac:dyDescent="0.3">
      <c r="A119" s="19"/>
      <c r="B119" s="24" t="str">
        <f t="shared" si="12"/>
        <v/>
      </c>
      <c r="C119" s="20"/>
      <c r="D119" s="21" t="str">
        <f t="shared" si="15"/>
        <v/>
      </c>
      <c r="E119" s="21" t="str">
        <f t="shared" si="16"/>
        <v/>
      </c>
      <c r="F119" s="21" t="str">
        <f t="shared" si="14"/>
        <v/>
      </c>
      <c r="G119" s="21" t="str">
        <f t="shared" si="13"/>
        <v/>
      </c>
      <c r="H119" s="21" t="str">
        <f t="shared" si="17"/>
        <v/>
      </c>
    </row>
    <row r="120" spans="1:8" x14ac:dyDescent="0.3">
      <c r="A120" s="2"/>
      <c r="B120" s="23" t="str">
        <f t="shared" si="12"/>
        <v/>
      </c>
      <c r="C120" s="3"/>
      <c r="D120" s="4" t="str">
        <f t="shared" si="15"/>
        <v/>
      </c>
      <c r="E120" s="4" t="str">
        <f t="shared" si="16"/>
        <v/>
      </c>
      <c r="F120" s="4" t="str">
        <f t="shared" si="14"/>
        <v/>
      </c>
      <c r="G120" s="4" t="str">
        <f t="shared" si="13"/>
        <v/>
      </c>
      <c r="H120" s="4" t="str">
        <f t="shared" si="17"/>
        <v/>
      </c>
    </row>
    <row r="121" spans="1:8" x14ac:dyDescent="0.3">
      <c r="A121" s="19"/>
      <c r="B121" s="24" t="str">
        <f t="shared" si="12"/>
        <v/>
      </c>
      <c r="C121" s="20"/>
      <c r="D121" s="21" t="str">
        <f t="shared" si="15"/>
        <v/>
      </c>
      <c r="E121" s="21" t="str">
        <f t="shared" si="16"/>
        <v/>
      </c>
      <c r="F121" s="21" t="str">
        <f t="shared" si="14"/>
        <v/>
      </c>
      <c r="G121" s="21" t="str">
        <f t="shared" si="13"/>
        <v/>
      </c>
      <c r="H121" s="21" t="str">
        <f t="shared" si="17"/>
        <v/>
      </c>
    </row>
  </sheetData>
  <sheetProtection algorithmName="SHA-512" hashValue="Dz8vLCDNETYZXjgtX3fO5asnO7OkuBq3RxLEdrqc11GpkGTpNd1tsxuDKoA0+vAP81ueswE/0JzTrAPujy70dA==" saltValue="2rHgJ0yh2M1OVB7XLQMbtA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2026-07-14T04:24:33Z</dcterms:modified>
</cp:coreProperties>
</file>