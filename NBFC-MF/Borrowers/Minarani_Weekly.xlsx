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Loan1" sheetId="5" r:id="rId1"/>
    <sheet name="189" sheetId="6" r:id="rId2"/>
    <sheet name="199" sheetId="7" r:id="rId3"/>
    <sheet name="216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8" l="1"/>
  <c r="H18" i="8" s="1"/>
  <c r="B17" i="8"/>
  <c r="G17" i="8" s="1"/>
  <c r="K16" i="8"/>
  <c r="K17" i="8" s="1"/>
  <c r="B16" i="8"/>
  <c r="F16" i="8" s="1"/>
  <c r="B15" i="8"/>
  <c r="E15" i="8" s="1"/>
  <c r="B14" i="8"/>
  <c r="H14" i="8" s="1"/>
  <c r="K8" i="8"/>
  <c r="B3" i="8"/>
  <c r="B4" i="8" s="1"/>
  <c r="K2" i="8"/>
  <c r="E2" i="8"/>
  <c r="B2" i="8"/>
  <c r="E18" i="8" l="1"/>
  <c r="F18" i="8"/>
  <c r="F15" i="8"/>
  <c r="D17" i="8"/>
  <c r="F17" i="8"/>
  <c r="E14" i="8"/>
  <c r="E17" i="8"/>
  <c r="F14" i="8"/>
  <c r="H17" i="8"/>
  <c r="B5" i="8"/>
  <c r="D4" i="8"/>
  <c r="D16" i="8"/>
  <c r="G14" i="8"/>
  <c r="D15" i="8"/>
  <c r="H15" i="8"/>
  <c r="E16" i="8"/>
  <c r="G18" i="8"/>
  <c r="G16" i="8"/>
  <c r="G15" i="8"/>
  <c r="H16" i="8"/>
  <c r="G2" i="8"/>
  <c r="H2" i="8" s="1"/>
  <c r="D3" i="8"/>
  <c r="D2" i="8"/>
  <c r="F2" i="8" s="1"/>
  <c r="D14" i="8"/>
  <c r="D18" i="8"/>
  <c r="B18" i="7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B6" i="8" l="1"/>
  <c r="D5" i="8"/>
  <c r="E3" i="8"/>
  <c r="F3" i="8" s="1"/>
  <c r="G3" i="8" s="1"/>
  <c r="F15" i="7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E4" i="8" l="1"/>
  <c r="F4" i="8" s="1"/>
  <c r="G4" i="8" s="1"/>
  <c r="H3" i="8"/>
  <c r="B7" i="8"/>
  <c r="D6" i="8"/>
  <c r="H2" i="7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B8" i="8" l="1"/>
  <c r="D7" i="8"/>
  <c r="H4" i="8"/>
  <c r="E5" i="8"/>
  <c r="F5" i="8" s="1"/>
  <c r="G5" i="8" s="1"/>
  <c r="F2" i="6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H5" i="8" l="1"/>
  <c r="E6" i="8"/>
  <c r="F6" i="8" s="1"/>
  <c r="G6" i="8" s="1"/>
  <c r="B9" i="8"/>
  <c r="D8" i="8"/>
  <c r="E5" i="7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6" i="8" l="1"/>
  <c r="E7" i="8"/>
  <c r="F7" i="8" s="1"/>
  <c r="G7" i="8" s="1"/>
  <c r="D9" i="8"/>
  <c r="B10" i="8"/>
  <c r="F4" i="6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H7" i="8" l="1"/>
  <c r="E8" i="8"/>
  <c r="F8" i="8" s="1"/>
  <c r="G8" i="8"/>
  <c r="B11" i="8"/>
  <c r="D10" i="8"/>
  <c r="B8" i="6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H8" i="8" l="1"/>
  <c r="E9" i="8"/>
  <c r="F9" i="8" s="1"/>
  <c r="G9" i="8"/>
  <c r="D11" i="8"/>
  <c r="B12" i="8"/>
  <c r="F6" i="6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3" i="8" l="1"/>
  <c r="D12" i="8"/>
  <c r="H9" i="8"/>
  <c r="E10" i="8"/>
  <c r="F10" i="8" s="1"/>
  <c r="G10" i="8" s="1"/>
  <c r="B10" i="6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10" i="8" l="1"/>
  <c r="E11" i="8"/>
  <c r="F11" i="8" s="1"/>
  <c r="G11" i="8"/>
  <c r="D13" i="8"/>
  <c r="K12" i="8"/>
  <c r="H7" i="6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H11" i="8" l="1"/>
  <c r="E12" i="8"/>
  <c r="F12" i="8" s="1"/>
  <c r="G12" i="8" s="1"/>
  <c r="K13" i="8"/>
  <c r="B12" i="6"/>
  <c r="D11" i="6"/>
  <c r="H8" i="6"/>
  <c r="E9" i="6"/>
  <c r="F9" i="6" s="1"/>
  <c r="G9" i="6"/>
  <c r="H11" i="7"/>
  <c r="E12" i="7"/>
  <c r="F12" i="7" s="1"/>
  <c r="G12" i="7" s="1"/>
  <c r="H12" i="7" s="1"/>
  <c r="D13" i="7"/>
  <c r="K12" i="7"/>
  <c r="E8" i="5"/>
  <c r="F8" i="5" s="1"/>
  <c r="G8" i="5" s="1"/>
  <c r="H8" i="5" s="1"/>
  <c r="H12" i="8" l="1"/>
  <c r="E13" i="8"/>
  <c r="F13" i="8" s="1"/>
  <c r="G13" i="8" s="1"/>
  <c r="H9" i="6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H13" i="8" l="1"/>
  <c r="K15" i="8" s="1"/>
  <c r="K14" i="8"/>
  <c r="D13" i="6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<sst xmlns="http://schemas.openxmlformats.org/spreadsheetml/2006/main" count="100" uniqueCount="24">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</sst>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opLeftCell="A3" workbookViewId="0">
      <selection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46226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46233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>
        <v>46240</v>
      </c>
      <c r="B6" s="22">
        <f t="shared" si="3"/>
        <v>5</v>
      </c>
      <c r="C6" s="3"/>
      <c r="D6" s="1">
        <f t="shared" si="0"/>
        <v>3000</v>
      </c>
      <c r="E6" s="1">
        <f t="shared" si="1"/>
        <v>617.53412761908567</v>
      </c>
      <c r="F6" s="1">
        <f t="shared" si="4"/>
        <v>2382.4658723809143</v>
      </c>
      <c r="G6" s="1">
        <f t="shared" si="5"/>
        <v>18745.312366590952</v>
      </c>
      <c r="H6" s="1">
        <f t="shared" si="2"/>
        <v>11254.687633409048</v>
      </c>
      <c r="J6" s="4" t="s">
        <v>13</v>
      </c>
      <c r="K6" s="26"/>
    </row>
    <row r="7" spans="1:11" x14ac:dyDescent="0.3">
      <c r="A7" s="19">
        <v>46247</v>
      </c>
      <c r="B7" s="23">
        <f t="shared" si="3"/>
        <v>6</v>
      </c>
      <c r="C7" s="20"/>
      <c r="D7" s="21">
        <f t="shared" si="0"/>
        <v>3000</v>
      </c>
      <c r="E7" s="21">
        <f t="shared" si="1"/>
        <v>547.89812673712129</v>
      </c>
      <c r="F7" s="21">
        <f t="shared" si="4"/>
        <v>2452.1018732628786</v>
      </c>
      <c r="G7" s="21">
        <f t="shared" si="5"/>
        <v>16293.210493328073</v>
      </c>
      <c r="H7" s="21">
        <f t="shared" si="2"/>
        <v>13706.789506671927</v>
      </c>
      <c r="J7" s="4" t="s">
        <v>6</v>
      </c>
      <c r="K7" s="27">
        <v>30000</v>
      </c>
    </row>
    <row r="8" spans="1:11" x14ac:dyDescent="0.3">
      <c r="A8" s="2">
        <v>46254</v>
      </c>
      <c r="B8" s="22">
        <f t="shared" si="3"/>
        <v>7</v>
      </c>
      <c r="C8" s="3"/>
      <c r="D8" s="1">
        <f t="shared" si="0"/>
        <v>3000</v>
      </c>
      <c r="E8" s="1">
        <f t="shared" si="1"/>
        <v>476.22676716437877</v>
      </c>
      <c r="F8" s="1">
        <f t="shared" si="4"/>
        <v>2523.7732328356215</v>
      </c>
      <c r="G8" s="1">
        <f t="shared" si="5"/>
        <v>13769.437260492452</v>
      </c>
      <c r="H8" s="1">
        <f t="shared" si="2"/>
        <v>16230.562739507548</v>
      </c>
      <c r="J8" s="4" t="s">
        <v>14</v>
      </c>
      <c r="K8" s="6">
        <f>RATE(K10,-K9,K7)</f>
        <v>2.9228540769137515E-2</v>
      </c>
    </row>
    <row r="9" spans="1:11" x14ac:dyDescent="0.3">
      <c r="A9" s="19">
        <v>46260</v>
      </c>
      <c r="B9" s="23">
        <f t="shared" si="3"/>
        <v>8</v>
      </c>
      <c r="C9" s="20"/>
      <c r="D9" s="21">
        <f t="shared" si="0"/>
        <v>3000</v>
      </c>
      <c r="E9" s="21">
        <f t="shared" si="1"/>
        <v>402.46055833638479</v>
      </c>
      <c r="F9" s="21">
        <f t="shared" si="4"/>
        <v>2597.5394416636154</v>
      </c>
      <c r="G9" s="21">
        <f t="shared" si="5"/>
        <v>11171.897818828837</v>
      </c>
      <c r="H9" s="21">
        <f t="shared" si="2"/>
        <v>18828.102181171162</v>
      </c>
      <c r="J9" s="4" t="s">
        <v>7</v>
      </c>
      <c r="K9" s="28">
        <v>3000</v>
      </c>
    </row>
    <row r="10" spans="1:11" x14ac:dyDescent="0.3">
      <c r="A10" s="2">
        <v>46260</v>
      </c>
      <c r="B10" s="22">
        <f t="shared" si="3"/>
        <v>9</v>
      </c>
      <c r="C10" s="3"/>
      <c r="D10" s="1">
        <f t="shared" si="0"/>
        <v>3000</v>
      </c>
      <c r="E10" s="1">
        <f t="shared" si="1"/>
        <v>326.53827086627712</v>
      </c>
      <c r="F10" s="1">
        <f t="shared" si="4"/>
        <v>2673.4617291337227</v>
      </c>
      <c r="G10" s="1">
        <f t="shared" si="5"/>
        <v>8498.4360896951148</v>
      </c>
      <c r="H10" s="1">
        <f t="shared" si="2"/>
        <v>21501.563910304885</v>
      </c>
      <c r="J10" s="4" t="s">
        <v>8</v>
      </c>
      <c r="K10" s="29">
        <v>12</v>
      </c>
    </row>
    <row r="11" spans="1:11" ht="17.25" thickBot="1" x14ac:dyDescent="0.35">
      <c r="A11" s="19">
        <v>46260</v>
      </c>
      <c r="B11" s="23">
        <f t="shared" si="3"/>
        <v>10</v>
      </c>
      <c r="C11" s="20"/>
      <c r="D11" s="21">
        <f t="shared" si="0"/>
        <v>3000</v>
      </c>
      <c r="E11" s="21">
        <f t="shared" si="1"/>
        <v>248.39688572156325</v>
      </c>
      <c r="F11" s="21">
        <f t="shared" si="4"/>
        <v>2751.6031142784368</v>
      </c>
      <c r="G11" s="21">
        <f t="shared" si="5"/>
        <v>5746.832975416678</v>
      </c>
      <c r="H11" s="21">
        <f t="shared" si="2"/>
        <v>24253.167024583323</v>
      </c>
      <c r="J11" s="14"/>
    </row>
    <row r="12" spans="1:11" x14ac:dyDescent="0.3">
      <c r="A12" s="2">
        <v>46260</v>
      </c>
      <c r="B12" s="22">
        <f t="shared" si="3"/>
        <v>11</v>
      </c>
      <c r="C12" s="3"/>
      <c r="D12" s="1">
        <f t="shared" si="0"/>
        <v>3000</v>
      </c>
      <c r="E12" s="1">
        <f t="shared" si="1"/>
        <v>167.97154191539022</v>
      </c>
      <c r="F12" s="1">
        <f t="shared" si="4"/>
        <v>2832.0284580846096</v>
      </c>
      <c r="G12" s="1">
        <f t="shared" si="5"/>
        <v>2914.8045173320684</v>
      </c>
      <c r="H12" s="1">
        <f t="shared" si="2"/>
        <v>27085.195482667932</v>
      </c>
      <c r="J12" s="8" t="s">
        <v>16</v>
      </c>
      <c r="K12" s="9">
        <f>IFERROR(MAX($B:$B),"")</f>
        <v>12</v>
      </c>
    </row>
    <row r="13" spans="1:11" x14ac:dyDescent="0.3">
      <c r="A13" s="19">
        <v>46260</v>
      </c>
      <c r="B13" s="23">
        <f t="shared" si="3"/>
        <v>12</v>
      </c>
      <c r="C13" s="20"/>
      <c r="D13" s="21">
        <f t="shared" si="0"/>
        <v>3000</v>
      </c>
      <c r="E13" s="21">
        <f t="shared" si="1"/>
        <v>85.19548266890655</v>
      </c>
      <c r="F13" s="21">
        <f t="shared" si="4"/>
        <v>2914.8045173310934</v>
      </c>
      <c r="G13" s="21">
        <f t="shared" si="5"/>
        <v>9.7497832030057907E-10</v>
      </c>
      <c r="H13" s="21">
        <f t="shared" si="2"/>
        <v>29999.999999999025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9.7497832030057907E-10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29999.999999999025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46268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L30000W12-Minarani-N216</v>
      </c>
    </row>
    <row r="3" spans="1:11" x14ac:dyDescent="0.3">
      <c r="A3" s="19">
        <v>46275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46282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46289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24000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21127.778238971867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8872.2217610281332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Loan1</vt:lpstr>
      <vt:lpstr>189</vt:lpstr>
      <vt:lpstr>199</vt:lpstr>
      <vt:lpstr>216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2026-09-30T06:16:00Z</dcterms:modified>
</cp:coreProperties>
</file>