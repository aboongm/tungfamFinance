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Loan1" sheetId="5" r:id="rId1"/>
    <sheet name="189" sheetId="6" r:id="rId2"/>
    <sheet name="199" sheetId="7" r:id="rId3"/>
    <sheet name="216" sheetId="8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8" l="1"/>
  <c r="H18" i="8" s="1"/>
  <c r="B17" i="8"/>
  <c r="G17" i="8" s="1"/>
  <c r="K16" i="8"/>
  <c r="K17" i="8" s="1"/>
  <c r="B16" i="8"/>
  <c r="F16" i="8" s="1"/>
  <c r="B15" i="8"/>
  <c r="E15" i="8" s="1"/>
  <c r="B14" i="8"/>
  <c r="H14" i="8" s="1"/>
  <c r="K8" i="8"/>
  <c r="B3" i="8"/>
  <c r="B4" i="8" s="1"/>
  <c r="K2" i="8"/>
  <c r="E2" i="8"/>
  <c r="B2" i="8"/>
  <c r="E18" i="8" l="1"/>
  <c r="F18" i="8"/>
  <c r="F15" i="8"/>
  <c r="D17" i="8"/>
  <c r="F17" i="8"/>
  <c r="E14" i="8"/>
  <c r="E17" i="8"/>
  <c r="F14" i="8"/>
  <c r="H17" i="8"/>
  <c r="B5" i="8"/>
  <c r="D4" i="8"/>
  <c r="D16" i="8"/>
  <c r="G14" i="8"/>
  <c r="D15" i="8"/>
  <c r="H15" i="8"/>
  <c r="E16" i="8"/>
  <c r="G18" i="8"/>
  <c r="G16" i="8"/>
  <c r="G15" i="8"/>
  <c r="H16" i="8"/>
  <c r="G2" i="8"/>
  <c r="H2" i="8" s="1"/>
  <c r="D3" i="8"/>
  <c r="D2" i="8"/>
  <c r="F2" i="8" s="1"/>
  <c r="D14" i="8"/>
  <c r="D18" i="8"/>
  <c r="B18" i="7"/>
  <c r="H18" i="7" s="1"/>
  <c r="B17" i="7"/>
  <c r="G17" i="7" s="1"/>
  <c r="K16" i="7"/>
  <c r="K17" i="7" s="1"/>
  <c r="B16" i="7"/>
  <c r="F16" i="7" s="1"/>
  <c r="B15" i="7"/>
  <c r="E15" i="7" s="1"/>
  <c r="B14" i="7"/>
  <c r="H14" i="7" s="1"/>
  <c r="K8" i="7"/>
  <c r="B3" i="7"/>
  <c r="B4" i="7" s="1"/>
  <c r="K2" i="7"/>
  <c r="E2" i="7"/>
  <c r="B2" i="7"/>
  <c r="B6" i="8" l="1"/>
  <c r="D5" i="8"/>
  <c r="E3" i="8"/>
  <c r="F3" i="8" s="1"/>
  <c r="G3" i="8" s="1"/>
  <c r="F15" i="7"/>
  <c r="D17" i="7"/>
  <c r="E18" i="7"/>
  <c r="F17" i="7"/>
  <c r="F18" i="7"/>
  <c r="E14" i="7"/>
  <c r="E17" i="7"/>
  <c r="F14" i="7"/>
  <c r="H17" i="7"/>
  <c r="B5" i="7"/>
  <c r="D4" i="7"/>
  <c r="D16" i="7"/>
  <c r="G14" i="7"/>
  <c r="D15" i="7"/>
  <c r="H15" i="7"/>
  <c r="E16" i="7"/>
  <c r="G18" i="7"/>
  <c r="G16" i="7"/>
  <c r="G15" i="7"/>
  <c r="H16" i="7"/>
  <c r="D3" i="7"/>
  <c r="D2" i="7"/>
  <c r="F2" i="7" s="1"/>
  <c r="G2" i="7" s="1"/>
  <c r="D14" i="7"/>
  <c r="D18" i="7"/>
  <c r="B18" i="6"/>
  <c r="H18" i="6" s="1"/>
  <c r="B17" i="6"/>
  <c r="G17" i="6" s="1"/>
  <c r="K16" i="6"/>
  <c r="K17" i="6" s="1"/>
  <c r="B16" i="6"/>
  <c r="H16" i="6" s="1"/>
  <c r="B15" i="6"/>
  <c r="G15" i="6" s="1"/>
  <c r="B14" i="6"/>
  <c r="H14" i="6" s="1"/>
  <c r="K8" i="6"/>
  <c r="K2" i="6"/>
  <c r="B2" i="6"/>
  <c r="E4" i="8" l="1"/>
  <c r="F4" i="8" s="1"/>
  <c r="G4" i="8" s="1"/>
  <c r="H3" i="8"/>
  <c r="B7" i="8"/>
  <c r="D6" i="8"/>
  <c r="H2" i="7"/>
  <c r="E3" i="7"/>
  <c r="F3" i="7" s="1"/>
  <c r="G3" i="7" s="1"/>
  <c r="B6" i="7"/>
  <c r="D5" i="7"/>
  <c r="E15" i="6"/>
  <c r="F15" i="6"/>
  <c r="E16" i="6"/>
  <c r="F17" i="6"/>
  <c r="F16" i="6"/>
  <c r="H15" i="6"/>
  <c r="D15" i="6"/>
  <c r="E14" i="6"/>
  <c r="G16" i="6"/>
  <c r="D17" i="6"/>
  <c r="H17" i="6"/>
  <c r="E18" i="6"/>
  <c r="B3" i="6"/>
  <c r="F14" i="6"/>
  <c r="D16" i="6"/>
  <c r="E17" i="6"/>
  <c r="F18" i="6"/>
  <c r="G14" i="6"/>
  <c r="G18" i="6"/>
  <c r="E2" i="6"/>
  <c r="D2" i="6"/>
  <c r="D14" i="6"/>
  <c r="D18" i="6"/>
  <c r="B18" i="5"/>
  <c r="B17" i="5"/>
  <c r="B16" i="5"/>
  <c r="B15" i="5"/>
  <c r="B14" i="5"/>
  <c r="B10" i="5"/>
  <c r="B11" i="5" s="1"/>
  <c r="B12" i="5" s="1"/>
  <c r="B13" i="5" s="1"/>
  <c r="B9" i="5"/>
  <c r="B8" i="5"/>
  <c r="B7" i="5"/>
  <c r="B6" i="5"/>
  <c r="B2" i="5"/>
  <c r="B3" i="5" s="1"/>
  <c r="B4" i="5" s="1"/>
  <c r="B5" i="5" s="1"/>
  <c r="B8" i="8" l="1"/>
  <c r="D7" i="8"/>
  <c r="H4" i="8"/>
  <c r="E5" i="8"/>
  <c r="F5" i="8" s="1"/>
  <c r="G5" i="8" s="1"/>
  <c r="F2" i="6"/>
  <c r="G2" i="6" s="1"/>
  <c r="H2" i="6" s="1"/>
  <c r="E4" i="7"/>
  <c r="F4" i="7" s="1"/>
  <c r="G4" i="7" s="1"/>
  <c r="H4" i="7" s="1"/>
  <c r="H3" i="7"/>
  <c r="B7" i="7"/>
  <c r="D6" i="7"/>
  <c r="B4" i="6"/>
  <c r="E3" i="6"/>
  <c r="D3" i="6"/>
  <c r="F3" i="6" s="1"/>
  <c r="G3" i="6" s="1"/>
  <c r="H3" i="6" s="1"/>
  <c r="K16" i="5"/>
  <c r="K2" i="5"/>
  <c r="H5" i="8" l="1"/>
  <c r="E6" i="8"/>
  <c r="F6" i="8" s="1"/>
  <c r="G6" i="8" s="1"/>
  <c r="B9" i="8"/>
  <c r="D8" i="8"/>
  <c r="E5" i="7"/>
  <c r="F5" i="7" s="1"/>
  <c r="G5" i="7" s="1"/>
  <c r="E6" i="7" s="1"/>
  <c r="F6" i="7" s="1"/>
  <c r="G6" i="7" s="1"/>
  <c r="B8" i="7"/>
  <c r="D7" i="7"/>
  <c r="B5" i="6"/>
  <c r="E4" i="6"/>
  <c r="D4" i="6"/>
  <c r="K17" i="5"/>
  <c r="K1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H6" i="8" l="1"/>
  <c r="E7" i="8"/>
  <c r="F7" i="8" s="1"/>
  <c r="G7" i="8" s="1"/>
  <c r="D9" i="8"/>
  <c r="B10" i="8"/>
  <c r="F4" i="6"/>
  <c r="G4" i="6" s="1"/>
  <c r="H4" i="6" s="1"/>
  <c r="H5" i="7"/>
  <c r="H6" i="7"/>
  <c r="E7" i="7"/>
  <c r="F7" i="7" s="1"/>
  <c r="G7" i="7" s="1"/>
  <c r="B9" i="7"/>
  <c r="D8" i="7"/>
  <c r="B6" i="6"/>
  <c r="B7" i="6" s="1"/>
  <c r="E5" i="6"/>
  <c r="D5" i="6"/>
  <c r="K13" i="5"/>
  <c r="K8" i="5"/>
  <c r="E2" i="5" s="1"/>
  <c r="F2" i="5" s="1"/>
  <c r="G2" i="5" s="1"/>
  <c r="H2" i="5" s="1"/>
  <c r="H7" i="8" l="1"/>
  <c r="E8" i="8"/>
  <c r="F8" i="8" s="1"/>
  <c r="G8" i="8"/>
  <c r="B11" i="8"/>
  <c r="D10" i="8"/>
  <c r="B8" i="6"/>
  <c r="D7" i="6"/>
  <c r="F5" i="6"/>
  <c r="G5" i="6" s="1"/>
  <c r="H5" i="6" s="1"/>
  <c r="H7" i="7"/>
  <c r="E8" i="7"/>
  <c r="F8" i="7" s="1"/>
  <c r="G8" i="7" s="1"/>
  <c r="D9" i="7"/>
  <c r="B10" i="7"/>
  <c r="E6" i="6"/>
  <c r="D6" i="6"/>
  <c r="E3" i="5"/>
  <c r="F3" i="5" s="1"/>
  <c r="G3" i="5" s="1"/>
  <c r="E4" i="5" s="1"/>
  <c r="F4" i="5" s="1"/>
  <c r="G4" i="5" s="1"/>
  <c r="H4" i="5" s="1"/>
  <c r="H8" i="8" l="1"/>
  <c r="E9" i="8"/>
  <c r="F9" i="8" s="1"/>
  <c r="G9" i="8"/>
  <c r="D11" i="8"/>
  <c r="B12" i="8"/>
  <c r="F6" i="6"/>
  <c r="G6" i="6" s="1"/>
  <c r="B9" i="6"/>
  <c r="D8" i="6"/>
  <c r="H8" i="7"/>
  <c r="E9" i="7"/>
  <c r="F9" i="7" s="1"/>
  <c r="G9" i="7" s="1"/>
  <c r="H9" i="7" s="1"/>
  <c r="B11" i="7"/>
  <c r="D10" i="7"/>
  <c r="H3" i="5"/>
  <c r="E5" i="5"/>
  <c r="F5" i="5" s="1"/>
  <c r="G5" i="5" s="1"/>
  <c r="B13" i="8" l="1"/>
  <c r="D12" i="8"/>
  <c r="H9" i="8"/>
  <c r="E10" i="8"/>
  <c r="F10" i="8" s="1"/>
  <c r="G10" i="8" s="1"/>
  <c r="B10" i="6"/>
  <c r="D9" i="6"/>
  <c r="H6" i="6"/>
  <c r="E7" i="6"/>
  <c r="F7" i="6" s="1"/>
  <c r="G7" i="6" s="1"/>
  <c r="E10" i="7"/>
  <c r="F10" i="7" s="1"/>
  <c r="G10" i="7" s="1"/>
  <c r="H10" i="7" s="1"/>
  <c r="D11" i="7"/>
  <c r="B12" i="7"/>
  <c r="H5" i="5"/>
  <c r="E6" i="5"/>
  <c r="F6" i="5" s="1"/>
  <c r="G6" i="5" s="1"/>
  <c r="H10" i="8" l="1"/>
  <c r="E11" i="8"/>
  <c r="F11" i="8" s="1"/>
  <c r="G11" i="8"/>
  <c r="D13" i="8"/>
  <c r="K12" i="8"/>
  <c r="H7" i="6"/>
  <c r="E8" i="6"/>
  <c r="F8" i="6" s="1"/>
  <c r="G8" i="6" s="1"/>
  <c r="B11" i="6"/>
  <c r="D10" i="6"/>
  <c r="E11" i="7"/>
  <c r="F11" i="7" s="1"/>
  <c r="G11" i="7" s="1"/>
  <c r="B13" i="7"/>
  <c r="D12" i="7"/>
  <c r="H6" i="5"/>
  <c r="E7" i="5"/>
  <c r="F7" i="5" s="1"/>
  <c r="G7" i="5" s="1"/>
  <c r="H7" i="5" s="1"/>
  <c r="H11" i="8" l="1"/>
  <c r="E12" i="8"/>
  <c r="F12" i="8" s="1"/>
  <c r="G12" i="8" s="1"/>
  <c r="K13" i="8"/>
  <c r="B12" i="6"/>
  <c r="D11" i="6"/>
  <c r="H8" i="6"/>
  <c r="E9" i="6"/>
  <c r="F9" i="6" s="1"/>
  <c r="G9" i="6"/>
  <c r="H11" i="7"/>
  <c r="E12" i="7"/>
  <c r="F12" i="7" s="1"/>
  <c r="G12" i="7" s="1"/>
  <c r="H12" i="7" s="1"/>
  <c r="D13" i="7"/>
  <c r="K12" i="7"/>
  <c r="E8" i="5"/>
  <c r="F8" i="5" s="1"/>
  <c r="G8" i="5" s="1"/>
  <c r="H8" i="5" s="1"/>
  <c r="H12" i="8" l="1"/>
  <c r="E13" i="8"/>
  <c r="F13" i="8" s="1"/>
  <c r="G13" i="8" s="1"/>
  <c r="H9" i="6"/>
  <c r="E10" i="6"/>
  <c r="F10" i="6" s="1"/>
  <c r="G10" i="6" s="1"/>
  <c r="B13" i="6"/>
  <c r="D12" i="6"/>
  <c r="K13" i="7"/>
  <c r="E13" i="7"/>
  <c r="F13" i="7" s="1"/>
  <c r="G13" i="7" s="1"/>
  <c r="H13" i="7" s="1"/>
  <c r="K15" i="7" s="1"/>
  <c r="E9" i="5"/>
  <c r="F9" i="5" s="1"/>
  <c r="G9" i="5" s="1"/>
  <c r="H9" i="5" s="1"/>
  <c r="H13" i="8" l="1"/>
  <c r="K15" i="8" s="1"/>
  <c r="K14" i="8"/>
  <c r="D13" i="6"/>
  <c r="K12" i="6"/>
  <c r="H10" i="6"/>
  <c r="E11" i="6"/>
  <c r="F11" i="6" s="1"/>
  <c r="G11" i="6" s="1"/>
  <c r="K14" i="7"/>
  <c r="E10" i="5"/>
  <c r="F10" i="5" s="1"/>
  <c r="G10" i="5" s="1"/>
  <c r="H10" i="5" s="1"/>
  <c r="K13" i="6" l="1"/>
  <c r="H11" i="6"/>
  <c r="E12" i="6"/>
  <c r="F12" i="6" s="1"/>
  <c r="G12" i="6" s="1"/>
  <c r="E11" i="5"/>
  <c r="F11" i="5" s="1"/>
  <c r="G11" i="5" s="1"/>
  <c r="H11" i="5" s="1"/>
  <c r="H12" i="6" l="1"/>
  <c r="E13" i="6"/>
  <c r="F13" i="6" s="1"/>
  <c r="G13" i="6" s="1"/>
  <c r="E12" i="5"/>
  <c r="F12" i="5" s="1"/>
  <c r="G12" i="5" s="1"/>
  <c r="H12" i="5" s="1"/>
  <c r="H13" i="6" l="1"/>
  <c r="K15" i="6" s="1"/>
  <c r="K14" i="6"/>
  <c r="E13" i="5"/>
  <c r="F13" i="5" s="1"/>
  <c r="G13" i="5" s="1"/>
  <c r="H13" i="5" s="1"/>
  <c r="K15" i="5" s="1"/>
  <c r="K14" i="5" l="1"/>
  <c r="E14" i="5"/>
  <c r="F14" i="5" s="1"/>
  <c r="G14" i="5" s="1"/>
  <c r="H14" i="5" s="1"/>
  <c r="E15" i="5" l="1"/>
  <c r="F15" i="5" s="1"/>
  <c r="G15" i="5" s="1"/>
  <c r="H15" i="5" s="1"/>
  <c r="E16" i="5" l="1"/>
  <c r="F16" i="5" s="1"/>
  <c r="G16" i="5" s="1"/>
  <c r="H16" i="5" s="1"/>
  <c r="E17" i="5" l="1"/>
  <c r="F17" i="5" s="1"/>
  <c r="G17" i="5" s="1"/>
  <c r="H17" i="5" l="1"/>
  <c r="E18" i="5"/>
  <c r="F18" i="5" s="1"/>
  <c r="G18" i="5" s="1"/>
  <c r="H18" i="5" s="1"/>
</calcChain>
</file>

<file path=xl/sharedStrings.xml><?xml version="1.0" encoding="utf-8"?>
<sst xmlns="http://schemas.openxmlformats.org/spreadsheetml/2006/main" count="100" uniqueCount="24">
  <si>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</si>
  <si>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</si>
  <si>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</si>
  <si>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</si>
  <si>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</si>
  <si>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</si>
  <si>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</si>
  <si>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</si>
  <si>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</si>
  <si>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</si>
  <si>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</si>
  <si>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</si>
  <si>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</si>
  <si>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</si>
  <si>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</si>
  <si>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</si>
  <si>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</si>
  <si>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</si>
  <si>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Start Date</t>
  </si>
  <si>
    <t>End Date</t>
  </si>
  <si>
    <t>Reference Id</t>
  </si>
  <si>
    <t>Minarani</t>
  </si>
  <si>
    <t>Out(Int + Principal)</t>
  </si>
  <si>
    <t>Principal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</si>
</sst>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0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zoomScaleNormal="100" workbookViewId="0">
      <pane ySplit="1" topLeftCell="A2" activePane="bottomLeft" state="frozen"/>
      <selection pane="bottomLeft" activeCell="A10" sqref="A10:A13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1.710937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46156</v>
      </c>
      <c r="B2" s="22">
        <f>IF(A2&lt;&gt;"",1,"")</f>
        <v>1</v>
      </c>
      <c r="C2" s="3"/>
      <c r="D2" s="1">
        <f t="shared" ref="D2:D18" si="0">IF(AND($A2&lt;&gt;"",$B2&lt;&gt;""),$K$9,"")</f>
        <v>2000</v>
      </c>
      <c r="E2" s="1">
        <f>IF(AND($A2&lt;&gt;"",$B2&lt;&gt;""),$K$7*$K$8,"")</f>
        <v>584.57081538274804</v>
      </c>
      <c r="F2" s="1">
        <f>IF(AND($A2&lt;&gt;"",$B2&lt;&gt;""),D2-E2,"")</f>
        <v>1415.4291846172518</v>
      </c>
      <c r="G2" s="1">
        <f>IF(AND($A2&lt;&gt;"",$B2&lt;&gt;""),$K$7-F2,"")</f>
        <v>18584.570815382747</v>
      </c>
      <c r="H2" s="1">
        <f>IF(AND($A2&lt;&gt;"",$B2&lt;&gt;""),$K$7-G2,"")</f>
        <v>1415.4291846172528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L20000W12-Minarani-NLoan1</v>
      </c>
    </row>
    <row r="3" spans="1:11" x14ac:dyDescent="0.3">
      <c r="A3" s="19">
        <v>46163</v>
      </c>
      <c r="B3" s="23">
        <f>IF(A3&lt;&gt;"",B2+1,"")</f>
        <v>2</v>
      </c>
      <c r="C3" s="20"/>
      <c r="D3" s="21">
        <f t="shared" si="0"/>
        <v>2000</v>
      </c>
      <c r="E3" s="21">
        <f t="shared" ref="E3:E18" si="1">IF(AND($A3&lt;&gt;"",$B3&lt;&gt;""),G2*$K$8,"")</f>
        <v>543.19988575433581</v>
      </c>
      <c r="F3" s="21">
        <f>IF(AND($A3&lt;&gt;"",$B3&lt;&gt;""),D3-E3,"")</f>
        <v>1456.8001142456642</v>
      </c>
      <c r="G3" s="21">
        <f>IF(AND($A3&lt;&gt;"",$B3&lt;&gt;""),G2-F3,"")</f>
        <v>17127.770701137084</v>
      </c>
      <c r="H3" s="21">
        <f t="shared" ref="H3:H18" si="2">IF(AND($A3&lt;&gt;"",$B3&lt;&gt;""),$K$7-G3,"")</f>
        <v>2872.229298862916</v>
      </c>
      <c r="J3" s="4" t="s">
        <v>10</v>
      </c>
      <c r="K3" s="26" t="s">
        <v>21</v>
      </c>
    </row>
    <row r="4" spans="1:11" x14ac:dyDescent="0.3">
      <c r="A4" s="2">
        <v>46170</v>
      </c>
      <c r="B4" s="22">
        <f t="shared" ref="B4:B18" si="3">IF(A4&lt;&gt;"",B3+1,"")</f>
        <v>3</v>
      </c>
      <c r="C4" s="3"/>
      <c r="D4" s="1">
        <f t="shared" si="0"/>
        <v>2000</v>
      </c>
      <c r="E4" s="1">
        <f t="shared" si="1"/>
        <v>500.61974422262239</v>
      </c>
      <c r="F4" s="1">
        <f t="shared" ref="F4:F18" si="4">IF(AND($A4&lt;&gt;"",$B4&lt;&gt;""),D4-E4,"")</f>
        <v>1499.3802557773777</v>
      </c>
      <c r="G4" s="1">
        <f t="shared" ref="G4:G18" si="5">IF(AND($A4&lt;&gt;"",$B4&lt;&gt;""),G3-F4,"")</f>
        <v>15628.390445359706</v>
      </c>
      <c r="H4" s="1">
        <f t="shared" si="2"/>
        <v>4371.6095546402939</v>
      </c>
      <c r="J4" s="4" t="s">
        <v>11</v>
      </c>
      <c r="K4" s="26"/>
    </row>
    <row r="5" spans="1:11" x14ac:dyDescent="0.3">
      <c r="A5" s="19">
        <v>46178</v>
      </c>
      <c r="B5" s="23">
        <f t="shared" si="3"/>
        <v>4</v>
      </c>
      <c r="C5" s="20"/>
      <c r="D5" s="21">
        <f t="shared" si="0"/>
        <v>2000</v>
      </c>
      <c r="E5" s="21">
        <f t="shared" si="1"/>
        <v>456.79504728819364</v>
      </c>
      <c r="F5" s="21">
        <f t="shared" si="4"/>
        <v>1543.2049527118063</v>
      </c>
      <c r="G5" s="21">
        <f t="shared" si="5"/>
        <v>14085.185492647899</v>
      </c>
      <c r="H5" s="21">
        <f t="shared" si="2"/>
        <v>5914.8145073521009</v>
      </c>
      <c r="J5" s="4" t="s">
        <v>12</v>
      </c>
      <c r="K5" s="26"/>
    </row>
    <row r="6" spans="1:11" x14ac:dyDescent="0.3">
      <c r="A6" s="2">
        <v>46184</v>
      </c>
      <c r="B6" s="22">
        <f t="shared" si="3"/>
        <v>5</v>
      </c>
      <c r="C6" s="3"/>
      <c r="D6" s="1">
        <f t="shared" si="0"/>
        <v>2000</v>
      </c>
      <c r="E6" s="1">
        <f t="shared" si="1"/>
        <v>411.68941841272181</v>
      </c>
      <c r="F6" s="1">
        <f t="shared" si="4"/>
        <v>1588.3105815872782</v>
      </c>
      <c r="G6" s="1">
        <f t="shared" si="5"/>
        <v>12496.87491106062</v>
      </c>
      <c r="H6" s="1">
        <f t="shared" si="2"/>
        <v>7503.1250889393796</v>
      </c>
      <c r="J6" s="4" t="s">
        <v>13</v>
      </c>
      <c r="K6" s="26"/>
    </row>
    <row r="7" spans="1:11" x14ac:dyDescent="0.3">
      <c r="A7" s="19">
        <v>46191</v>
      </c>
      <c r="B7" s="23">
        <f t="shared" si="3"/>
        <v>6</v>
      </c>
      <c r="C7" s="20"/>
      <c r="D7" s="21">
        <f t="shared" si="0"/>
        <v>2000</v>
      </c>
      <c r="E7" s="21">
        <f t="shared" si="1"/>
        <v>365.26541782474573</v>
      </c>
      <c r="F7" s="21">
        <f t="shared" si="4"/>
        <v>1634.7345821752542</v>
      </c>
      <c r="G7" s="21">
        <f t="shared" si="5"/>
        <v>10862.140328885365</v>
      </c>
      <c r="H7" s="21">
        <f t="shared" si="2"/>
        <v>9137.8596711146347</v>
      </c>
      <c r="J7" s="4" t="s">
        <v>6</v>
      </c>
      <c r="K7" s="27">
        <v>20000</v>
      </c>
    </row>
    <row r="8" spans="1:11" x14ac:dyDescent="0.3">
      <c r="A8" s="2">
        <v>46198</v>
      </c>
      <c r="B8" s="22">
        <f t="shared" si="3"/>
        <v>7</v>
      </c>
      <c r="C8" s="3"/>
      <c r="D8" s="1">
        <f t="shared" si="0"/>
        <v>2000</v>
      </c>
      <c r="E8" s="1">
        <f t="shared" si="1"/>
        <v>317.48451144291749</v>
      </c>
      <c r="F8" s="1">
        <f t="shared" si="4"/>
        <v>1682.5154885570826</v>
      </c>
      <c r="G8" s="1">
        <f t="shared" si="5"/>
        <v>9179.6248403282825</v>
      </c>
      <c r="H8" s="1">
        <f t="shared" si="2"/>
        <v>10820.375159671717</v>
      </c>
      <c r="J8" s="4" t="s">
        <v>14</v>
      </c>
      <c r="K8" s="6">
        <f>RATE(K10,-K9,K7)</f>
        <v>2.9228540769137404E-2</v>
      </c>
    </row>
    <row r="9" spans="1:11" x14ac:dyDescent="0.3">
      <c r="A9" s="19">
        <v>46204</v>
      </c>
      <c r="B9" s="23">
        <f t="shared" si="3"/>
        <v>8</v>
      </c>
      <c r="C9" s="20"/>
      <c r="D9" s="21">
        <f t="shared" si="0"/>
        <v>2000</v>
      </c>
      <c r="E9" s="21">
        <f t="shared" si="1"/>
        <v>268.30703889092166</v>
      </c>
      <c r="F9" s="21">
        <f t="shared" si="4"/>
        <v>1731.6929611090784</v>
      </c>
      <c r="G9" s="21">
        <f t="shared" si="5"/>
        <v>7447.9318792192043</v>
      </c>
      <c r="H9" s="21">
        <f t="shared" si="2"/>
        <v>12552.068120780796</v>
      </c>
      <c r="J9" s="4" t="s">
        <v>7</v>
      </c>
      <c r="K9" s="28">
        <v>2000</v>
      </c>
    </row>
    <row r="10" spans="1:11" x14ac:dyDescent="0.3">
      <c r="A10" s="2">
        <v>46204</v>
      </c>
      <c r="B10" s="22">
        <f t="shared" si="3"/>
        <v>9</v>
      </c>
      <c r="C10" s="3"/>
      <c r="D10" s="1">
        <f t="shared" si="0"/>
        <v>2000</v>
      </c>
      <c r="E10" s="1">
        <f t="shared" si="1"/>
        <v>217.69218057751667</v>
      </c>
      <c r="F10" s="1">
        <f t="shared" si="4"/>
        <v>1782.3078194224834</v>
      </c>
      <c r="G10" s="1">
        <f t="shared" si="5"/>
        <v>5665.6240597967208</v>
      </c>
      <c r="H10" s="1">
        <f t="shared" si="2"/>
        <v>14334.375940203279</v>
      </c>
      <c r="J10" s="4" t="s">
        <v>8</v>
      </c>
      <c r="K10" s="29">
        <v>12</v>
      </c>
    </row>
    <row r="11" spans="1:11" ht="17.25" thickBot="1" x14ac:dyDescent="0.35">
      <c r="A11" s="19">
        <v>46204</v>
      </c>
      <c r="B11" s="23">
        <f t="shared" si="3"/>
        <v>10</v>
      </c>
      <c r="C11" s="20"/>
      <c r="D11" s="21">
        <f t="shared" si="0"/>
        <v>2000</v>
      </c>
      <c r="E11" s="21">
        <f t="shared" si="1"/>
        <v>165.59792381437421</v>
      </c>
      <c r="F11" s="21">
        <f t="shared" si="4"/>
        <v>1834.4020761856259</v>
      </c>
      <c r="G11" s="21">
        <f t="shared" si="5"/>
        <v>3831.2219836110949</v>
      </c>
      <c r="H11" s="21">
        <f t="shared" si="2"/>
        <v>16168.778016388906</v>
      </c>
      <c r="J11" s="14"/>
    </row>
    <row r="12" spans="1:11" x14ac:dyDescent="0.3">
      <c r="A12" s="2">
        <v>46204</v>
      </c>
      <c r="B12" s="22">
        <f t="shared" si="3"/>
        <v>11</v>
      </c>
      <c r="C12" s="3"/>
      <c r="D12" s="1">
        <f t="shared" si="0"/>
        <v>2000</v>
      </c>
      <c r="E12" s="1">
        <f t="shared" si="1"/>
        <v>111.98102794359237</v>
      </c>
      <c r="F12" s="1">
        <f t="shared" si="4"/>
        <v>1888.0189720564076</v>
      </c>
      <c r="G12" s="1">
        <f t="shared" si="5"/>
        <v>1943.2030115546872</v>
      </c>
      <c r="H12" s="1">
        <f t="shared" si="2"/>
        <v>18056.796988445312</v>
      </c>
      <c r="J12" s="8" t="s">
        <v>16</v>
      </c>
      <c r="K12" s="9">
        <f>IFERROR(MAX($B:$B),"")</f>
        <v>12</v>
      </c>
    </row>
    <row r="13" spans="1:11" x14ac:dyDescent="0.3">
      <c r="A13" s="19">
        <v>46204</v>
      </c>
      <c r="B13" s="23">
        <f t="shared" si="3"/>
        <v>12</v>
      </c>
      <c r="C13" s="20"/>
      <c r="D13" s="21">
        <f t="shared" si="0"/>
        <v>2000</v>
      </c>
      <c r="E13" s="21">
        <f t="shared" si="1"/>
        <v>56.796988445936755</v>
      </c>
      <c r="F13" s="21">
        <f t="shared" si="4"/>
        <v>1943.2030115540633</v>
      </c>
      <c r="G13" s="21">
        <f t="shared" si="5"/>
        <v>6.2391336541622877E-10</v>
      </c>
      <c r="H13" s="21">
        <f t="shared" si="2"/>
        <v>19999.999999999374</v>
      </c>
      <c r="J13" s="24" t="s">
        <v>22</v>
      </c>
      <c r="K13" s="11">
        <f>(K10*K9)-K9*K12</f>
        <v>0</v>
      </c>
    </row>
    <row r="14" spans="1:11" x14ac:dyDescent="0.3">
      <c r="A14" s="2"/>
      <c r="B14" s="22" t="str">
        <f t="shared" si="3"/>
        <v/>
      </c>
      <c r="C14" s="3"/>
      <c r="D14" s="1" t="str">
        <f t="shared" si="0"/>
        <v/>
      </c>
      <c r="E14" s="1" t="str">
        <f t="shared" si="1"/>
        <v/>
      </c>
      <c r="F14" s="1" t="str">
        <f t="shared" si="4"/>
        <v/>
      </c>
      <c r="G14" s="1" t="str">
        <f t="shared" si="5"/>
        <v/>
      </c>
      <c r="H14" s="1" t="str">
        <f t="shared" si="2"/>
        <v/>
      </c>
      <c r="J14" s="10" t="s">
        <v>23</v>
      </c>
      <c r="K14" s="11">
        <f>IF(A2="", K9*K10, IFERROR(INDEX($G:$G, MATCH($K$12, $B:$B, 0)), 0))</f>
        <v>6.2391336541622877E-10</v>
      </c>
    </row>
    <row r="15" spans="1:11" ht="17.25" thickBot="1" x14ac:dyDescent="0.35">
      <c r="A15" s="19"/>
      <c r="B15" s="23" t="str">
        <f t="shared" si="3"/>
        <v/>
      </c>
      <c r="C15" s="20"/>
      <c r="D15" s="21" t="str">
        <f t="shared" si="0"/>
        <v/>
      </c>
      <c r="E15" s="21" t="str">
        <f t="shared" si="1"/>
        <v/>
      </c>
      <c r="F15" s="21" t="str">
        <f t="shared" si="4"/>
        <v/>
      </c>
      <c r="G15" s="21" t="str">
        <f t="shared" si="5"/>
        <v/>
      </c>
      <c r="H15" s="21" t="str">
        <f t="shared" si="2"/>
        <v/>
      </c>
      <c r="J15" s="12" t="s">
        <v>5</v>
      </c>
      <c r="K15" s="13">
        <f>IFERROR(INDEX($H:$H, MATCH($K$12, $B:$B, 0)), 0)</f>
        <v>19999.999999999374</v>
      </c>
    </row>
    <row r="16" spans="1:11" x14ac:dyDescent="0.3">
      <c r="A16" s="2"/>
      <c r="B16" s="22" t="str">
        <f t="shared" si="3"/>
        <v/>
      </c>
      <c r="C16" s="3"/>
      <c r="D16" s="1" t="str">
        <f t="shared" si="0"/>
        <v/>
      </c>
      <c r="E16" s="1" t="str">
        <f t="shared" si="1"/>
        <v/>
      </c>
      <c r="F16" s="1" t="str">
        <f t="shared" si="4"/>
        <v/>
      </c>
      <c r="G16" s="1" t="str">
        <f t="shared" si="5"/>
        <v/>
      </c>
      <c r="H16" s="1" t="str">
        <f t="shared" si="2"/>
        <v/>
      </c>
      <c r="J16" s="15" t="s">
        <v>18</v>
      </c>
      <c r="K16" s="16">
        <f>IF(A2,A2, "")</f>
        <v>46156</v>
      </c>
    </row>
    <row r="17" spans="1:11" x14ac:dyDescent="0.3">
      <c r="A17" s="19"/>
      <c r="B17" s="23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4"/>
        <v/>
      </c>
      <c r="G17" s="21" t="str">
        <f t="shared" si="5"/>
        <v/>
      </c>
      <c r="H17" s="21" t="str">
        <f t="shared" si="2"/>
        <v/>
      </c>
      <c r="J17" s="17" t="s">
        <v>19</v>
      </c>
      <c r="K17" s="18">
        <f xml:space="preserve"> IF(A2,(K16 + (17*7)),"")</f>
        <v>46275</v>
      </c>
    </row>
    <row r="18" spans="1:11" x14ac:dyDescent="0.3">
      <c r="A18" s="2"/>
      <c r="B18" s="22" t="str">
        <f t="shared" si="3"/>
        <v/>
      </c>
      <c r="C18" s="3"/>
      <c r="D18" s="1" t="str">
        <f t="shared" si="0"/>
        <v/>
      </c>
      <c r="E18" s="1" t="str">
        <f t="shared" si="1"/>
        <v/>
      </c>
      <c r="F18" s="1" t="str">
        <f t="shared" si="4"/>
        <v/>
      </c>
      <c r="G18" s="1" t="str">
        <f t="shared" si="5"/>
        <v/>
      </c>
      <c r="H18" s="1" t="str">
        <f t="shared" si="2"/>
        <v/>
      </c>
    </row>
  </sheetData>
  <sheetProtection algorithmName="SHA-512" hashValue="f6GAJvThIzVJt6IvRd4ea78fIsyO0g9e+0kUx9BZmBxVrWGLS+HZhw0qb9bFF4b+jssbCrnmDLLc9D+1bjiDAg==" saltValue="Co3Ld9mkQpojVhvFigPmCw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A5" sqref="A5:A13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1.710937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46193</v>
      </c>
      <c r="B2" s="22">
        <f>IF(A2&lt;&gt;"",1,"")</f>
        <v>1</v>
      </c>
      <c r="C2" s="3"/>
      <c r="D2" s="1">
        <f t="shared" ref="D2:D18" si="0">IF(AND($A2&lt;&gt;"",$B2&lt;&gt;""),$K$9,"")</f>
        <v>1000</v>
      </c>
      <c r="E2" s="1">
        <f>IF(AND($A2&lt;&gt;"",$B2&lt;&gt;""),$K$7*$K$8,"")</f>
        <v>292.28540769137402</v>
      </c>
      <c r="F2" s="1">
        <f>IF(AND($A2&lt;&gt;"",$B2&lt;&gt;""),D2-E2,"")</f>
        <v>707.71459230862592</v>
      </c>
      <c r="G2" s="1">
        <f>IF(AND($A2&lt;&gt;"",$B2&lt;&gt;""),$K$7-F2,"")</f>
        <v>9292.2854076913736</v>
      </c>
      <c r="H2" s="1">
        <f>IF(AND($A2&lt;&gt;"",$B2&lt;&gt;""),$K$7-G2,"")</f>
        <v>707.71459230862638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L10000W12-Minarani-N189</v>
      </c>
    </row>
    <row r="3" spans="1:11" x14ac:dyDescent="0.3">
      <c r="A3" s="19">
        <v>46200</v>
      </c>
      <c r="B3" s="23">
        <f>IF(A3&lt;&gt;"",B2+1,"")</f>
        <v>2</v>
      </c>
      <c r="C3" s="20"/>
      <c r="D3" s="21">
        <f t="shared" si="0"/>
        <v>1000</v>
      </c>
      <c r="E3" s="21">
        <f t="shared" ref="E3:E18" si="1">IF(AND($A3&lt;&gt;"",$B3&lt;&gt;""),G2*$K$8,"")</f>
        <v>271.5999428771679</v>
      </c>
      <c r="F3" s="21">
        <f>IF(AND($A3&lt;&gt;"",$B3&lt;&gt;""),D3-E3,"")</f>
        <v>728.4000571228321</v>
      </c>
      <c r="G3" s="21">
        <f>IF(AND($A3&lt;&gt;"",$B3&lt;&gt;""),G2-F3,"")</f>
        <v>8563.885350568542</v>
      </c>
      <c r="H3" s="21">
        <f t="shared" ref="H3:H18" si="2">IF(AND($A3&lt;&gt;"",$B3&lt;&gt;""),$K$7-G3,"")</f>
        <v>1436.114649431458</v>
      </c>
      <c r="J3" s="4" t="s">
        <v>10</v>
      </c>
      <c r="K3" s="26" t="s">
        <v>21</v>
      </c>
    </row>
    <row r="4" spans="1:11" x14ac:dyDescent="0.3">
      <c r="A4" s="2">
        <v>46206</v>
      </c>
      <c r="B4" s="22">
        <f t="shared" ref="B4:B18" si="3">IF(A4&lt;&gt;"",B3+1,"")</f>
        <v>3</v>
      </c>
      <c r="C4" s="3"/>
      <c r="D4" s="1">
        <f t="shared" si="0"/>
        <v>1000</v>
      </c>
      <c r="E4" s="1">
        <f t="shared" si="1"/>
        <v>250.30987211131119</v>
      </c>
      <c r="F4" s="1">
        <f t="shared" ref="F4:F18" si="4">IF(AND($A4&lt;&gt;"",$B4&lt;&gt;""),D4-E4,"")</f>
        <v>749.69012788868883</v>
      </c>
      <c r="G4" s="1">
        <f t="shared" ref="G4:G18" si="5">IF(AND($A4&lt;&gt;"",$B4&lt;&gt;""),G3-F4,"")</f>
        <v>7814.195222679853</v>
      </c>
      <c r="H4" s="1">
        <f t="shared" si="2"/>
        <v>2185.804777320147</v>
      </c>
      <c r="J4" s="4" t="s">
        <v>11</v>
      </c>
      <c r="K4" s="26"/>
    </row>
    <row r="5" spans="1:11" x14ac:dyDescent="0.3">
      <c r="A5" s="19">
        <v>46206</v>
      </c>
      <c r="B5" s="23">
        <f t="shared" si="3"/>
        <v>4</v>
      </c>
      <c r="C5" s="20"/>
      <c r="D5" s="21">
        <f t="shared" si="0"/>
        <v>1000</v>
      </c>
      <c r="E5" s="21">
        <f t="shared" si="1"/>
        <v>228.39752364409682</v>
      </c>
      <c r="F5" s="21">
        <f t="shared" si="4"/>
        <v>771.60247635590315</v>
      </c>
      <c r="G5" s="21">
        <f t="shared" si="5"/>
        <v>7042.5927463239495</v>
      </c>
      <c r="H5" s="21">
        <f t="shared" si="2"/>
        <v>2957.4072536760505</v>
      </c>
      <c r="J5" s="4" t="s">
        <v>12</v>
      </c>
      <c r="K5" s="26"/>
    </row>
    <row r="6" spans="1:11" x14ac:dyDescent="0.3">
      <c r="A6" s="2">
        <v>46206</v>
      </c>
      <c r="B6" s="22">
        <f t="shared" si="3"/>
        <v>5</v>
      </c>
      <c r="C6" s="3"/>
      <c r="D6" s="1">
        <f t="shared" si="0"/>
        <v>1000</v>
      </c>
      <c r="E6" s="1">
        <f t="shared" si="1"/>
        <v>205.8447092063609</v>
      </c>
      <c r="F6" s="1">
        <f t="shared" si="4"/>
        <v>794.1552907936391</v>
      </c>
      <c r="G6" s="1">
        <f t="shared" si="5"/>
        <v>6248.4374555303102</v>
      </c>
      <c r="H6" s="1">
        <f t="shared" si="2"/>
        <v>3751.5625444696898</v>
      </c>
      <c r="J6" s="4" t="s">
        <v>13</v>
      </c>
      <c r="K6" s="26"/>
    </row>
    <row r="7" spans="1:11" x14ac:dyDescent="0.3">
      <c r="A7" s="19">
        <v>46206</v>
      </c>
      <c r="B7" s="23">
        <f t="shared" si="3"/>
        <v>6</v>
      </c>
      <c r="C7" s="20"/>
      <c r="D7" s="21">
        <f t="shared" si="0"/>
        <v>1000</v>
      </c>
      <c r="E7" s="21">
        <f t="shared" si="1"/>
        <v>182.63270891237286</v>
      </c>
      <c r="F7" s="21">
        <f t="shared" si="4"/>
        <v>817.36729108762711</v>
      </c>
      <c r="G7" s="21">
        <f t="shared" si="5"/>
        <v>5431.0701644426827</v>
      </c>
      <c r="H7" s="21">
        <f t="shared" si="2"/>
        <v>4568.9298355573173</v>
      </c>
      <c r="J7" s="4" t="s">
        <v>6</v>
      </c>
      <c r="K7" s="27">
        <v>10000</v>
      </c>
    </row>
    <row r="8" spans="1:11" x14ac:dyDescent="0.3">
      <c r="A8" s="2">
        <v>46206</v>
      </c>
      <c r="B8" s="22">
        <f t="shared" si="3"/>
        <v>7</v>
      </c>
      <c r="C8" s="3"/>
      <c r="D8" s="1">
        <f t="shared" si="0"/>
        <v>1000</v>
      </c>
      <c r="E8" s="1">
        <f t="shared" si="1"/>
        <v>158.74225572145875</v>
      </c>
      <c r="F8" s="1">
        <f t="shared" si="4"/>
        <v>841.25774427854128</v>
      </c>
      <c r="G8" s="1">
        <f t="shared" si="5"/>
        <v>4589.8124201641413</v>
      </c>
      <c r="H8" s="1">
        <f t="shared" si="2"/>
        <v>5410.1875798358587</v>
      </c>
      <c r="J8" s="4" t="s">
        <v>14</v>
      </c>
      <c r="K8" s="6">
        <f>RATE(K10,-K9,K7)</f>
        <v>2.9228540769137404E-2</v>
      </c>
    </row>
    <row r="9" spans="1:11" x14ac:dyDescent="0.3">
      <c r="A9" s="19">
        <v>46206</v>
      </c>
      <c r="B9" s="23">
        <f t="shared" si="3"/>
        <v>8</v>
      </c>
      <c r="C9" s="20"/>
      <c r="D9" s="21">
        <f t="shared" si="0"/>
        <v>1000</v>
      </c>
      <c r="E9" s="21">
        <f t="shared" si="1"/>
        <v>134.15351944546083</v>
      </c>
      <c r="F9" s="21">
        <f t="shared" si="4"/>
        <v>865.8464805545392</v>
      </c>
      <c r="G9" s="21">
        <f t="shared" si="5"/>
        <v>3723.9659396096022</v>
      </c>
      <c r="H9" s="21">
        <f t="shared" si="2"/>
        <v>6276.0340603903978</v>
      </c>
      <c r="J9" s="4" t="s">
        <v>7</v>
      </c>
      <c r="K9" s="28">
        <v>1000</v>
      </c>
    </row>
    <row r="10" spans="1:11" x14ac:dyDescent="0.3">
      <c r="A10" s="2">
        <v>46206</v>
      </c>
      <c r="B10" s="22">
        <f t="shared" si="3"/>
        <v>9</v>
      </c>
      <c r="C10" s="3"/>
      <c r="D10" s="1">
        <f t="shared" si="0"/>
        <v>1000</v>
      </c>
      <c r="E10" s="1">
        <f t="shared" si="1"/>
        <v>108.84609028875833</v>
      </c>
      <c r="F10" s="1">
        <f t="shared" si="4"/>
        <v>891.15390971124168</v>
      </c>
      <c r="G10" s="1">
        <f t="shared" si="5"/>
        <v>2832.8120298983604</v>
      </c>
      <c r="H10" s="1">
        <f t="shared" si="2"/>
        <v>7167.1879701016396</v>
      </c>
      <c r="J10" s="4" t="s">
        <v>8</v>
      </c>
      <c r="K10" s="29">
        <v>12</v>
      </c>
    </row>
    <row r="11" spans="1:11" ht="17.25" thickBot="1" x14ac:dyDescent="0.35">
      <c r="A11" s="19">
        <v>46206</v>
      </c>
      <c r="B11" s="23">
        <f t="shared" si="3"/>
        <v>10</v>
      </c>
      <c r="C11" s="20"/>
      <c r="D11" s="21">
        <f t="shared" si="0"/>
        <v>1000</v>
      </c>
      <c r="E11" s="21">
        <f t="shared" si="1"/>
        <v>82.798961907187106</v>
      </c>
      <c r="F11" s="21">
        <f t="shared" si="4"/>
        <v>917.20103809281295</v>
      </c>
      <c r="G11" s="21">
        <f t="shared" si="5"/>
        <v>1915.6109918055474</v>
      </c>
      <c r="H11" s="21">
        <f t="shared" si="2"/>
        <v>8084.3890081944528</v>
      </c>
      <c r="J11" s="14"/>
    </row>
    <row r="12" spans="1:11" x14ac:dyDescent="0.3">
      <c r="A12" s="2">
        <v>46206</v>
      </c>
      <c r="B12" s="22">
        <f t="shared" si="3"/>
        <v>11</v>
      </c>
      <c r="C12" s="3"/>
      <c r="D12" s="1">
        <f t="shared" si="0"/>
        <v>1000</v>
      </c>
      <c r="E12" s="1">
        <f t="shared" si="1"/>
        <v>55.990513971796183</v>
      </c>
      <c r="F12" s="1">
        <f t="shared" si="4"/>
        <v>944.00948602820381</v>
      </c>
      <c r="G12" s="1">
        <f t="shared" si="5"/>
        <v>971.60150577734362</v>
      </c>
      <c r="H12" s="1">
        <f t="shared" si="2"/>
        <v>9028.3984942226562</v>
      </c>
      <c r="J12" s="8" t="s">
        <v>16</v>
      </c>
      <c r="K12" s="9">
        <f>IFERROR(MAX($B:$B),"")</f>
        <v>12</v>
      </c>
    </row>
    <row r="13" spans="1:11" x14ac:dyDescent="0.3">
      <c r="A13" s="19">
        <v>46206</v>
      </c>
      <c r="B13" s="23">
        <f t="shared" si="3"/>
        <v>12</v>
      </c>
      <c r="C13" s="20"/>
      <c r="D13" s="21">
        <f t="shared" si="0"/>
        <v>1000</v>
      </c>
      <c r="E13" s="21">
        <f t="shared" si="1"/>
        <v>28.398494222968377</v>
      </c>
      <c r="F13" s="21">
        <f t="shared" si="4"/>
        <v>971.60150577703166</v>
      </c>
      <c r="G13" s="21">
        <f t="shared" si="5"/>
        <v>3.1195668270811439E-10</v>
      </c>
      <c r="H13" s="21">
        <f t="shared" si="2"/>
        <v>9999.9999999996871</v>
      </c>
      <c r="J13" s="24" t="s">
        <v>22</v>
      </c>
      <c r="K13" s="11">
        <f>(K10*K9)-K9*K12</f>
        <v>0</v>
      </c>
    </row>
    <row r="14" spans="1:11" x14ac:dyDescent="0.3">
      <c r="A14" s="2"/>
      <c r="B14" s="22" t="str">
        <f t="shared" si="3"/>
        <v/>
      </c>
      <c r="C14" s="3"/>
      <c r="D14" s="1" t="str">
        <f t="shared" si="0"/>
        <v/>
      </c>
      <c r="E14" s="1" t="str">
        <f t="shared" si="1"/>
        <v/>
      </c>
      <c r="F14" s="1" t="str">
        <f t="shared" si="4"/>
        <v/>
      </c>
      <c r="G14" s="1" t="str">
        <f t="shared" si="5"/>
        <v/>
      </c>
      <c r="H14" s="1" t="str">
        <f t="shared" si="2"/>
        <v/>
      </c>
      <c r="J14" s="10" t="s">
        <v>23</v>
      </c>
      <c r="K14" s="11">
        <f>IF(A2="", K9*K10, IFERROR(INDEX($G:$G, MATCH($K$12, $B:$B, 0)), 0))</f>
        <v>3.1195668270811439E-10</v>
      </c>
    </row>
    <row r="15" spans="1:11" ht="17.25" thickBot="1" x14ac:dyDescent="0.35">
      <c r="A15" s="19"/>
      <c r="B15" s="23" t="str">
        <f t="shared" si="3"/>
        <v/>
      </c>
      <c r="C15" s="20"/>
      <c r="D15" s="21" t="str">
        <f t="shared" si="0"/>
        <v/>
      </c>
      <c r="E15" s="21" t="str">
        <f t="shared" si="1"/>
        <v/>
      </c>
      <c r="F15" s="21" t="str">
        <f t="shared" si="4"/>
        <v/>
      </c>
      <c r="G15" s="21" t="str">
        <f t="shared" si="5"/>
        <v/>
      </c>
      <c r="H15" s="21" t="str">
        <f t="shared" si="2"/>
        <v/>
      </c>
      <c r="J15" s="12" t="s">
        <v>5</v>
      </c>
      <c r="K15" s="13">
        <f>IFERROR(INDEX($H:$H, MATCH($K$12, $B:$B, 0)), 0)</f>
        <v>9999.9999999996871</v>
      </c>
    </row>
    <row r="16" spans="1:11" x14ac:dyDescent="0.3">
      <c r="A16" s="2"/>
      <c r="B16" s="22" t="str">
        <f t="shared" si="3"/>
        <v/>
      </c>
      <c r="C16" s="3"/>
      <c r="D16" s="1" t="str">
        <f t="shared" si="0"/>
        <v/>
      </c>
      <c r="E16" s="1" t="str">
        <f t="shared" si="1"/>
        <v/>
      </c>
      <c r="F16" s="1" t="str">
        <f t="shared" si="4"/>
        <v/>
      </c>
      <c r="G16" s="1" t="str">
        <f t="shared" si="5"/>
        <v/>
      </c>
      <c r="H16" s="1" t="str">
        <f t="shared" si="2"/>
        <v/>
      </c>
      <c r="J16" s="15" t="s">
        <v>18</v>
      </c>
      <c r="K16" s="16">
        <f>IF(A2,A2, "")</f>
        <v>46193</v>
      </c>
    </row>
    <row r="17" spans="1:11" x14ac:dyDescent="0.3">
      <c r="A17" s="19"/>
      <c r="B17" s="23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4"/>
        <v/>
      </c>
      <c r="G17" s="21" t="str">
        <f t="shared" si="5"/>
        <v/>
      </c>
      <c r="H17" s="21" t="str">
        <f t="shared" si="2"/>
        <v/>
      </c>
      <c r="J17" s="17" t="s">
        <v>19</v>
      </c>
      <c r="K17" s="18">
        <f xml:space="preserve"> IF(A2,(K16 + (17*7)),"")</f>
        <v>46312</v>
      </c>
    </row>
    <row r="18" spans="1:11" x14ac:dyDescent="0.3">
      <c r="A18" s="2"/>
      <c r="B18" s="22" t="str">
        <f t="shared" si="3"/>
        <v/>
      </c>
      <c r="C18" s="3"/>
      <c r="D18" s="1" t="str">
        <f t="shared" si="0"/>
        <v/>
      </c>
      <c r="E18" s="1" t="str">
        <f t="shared" si="1"/>
        <v/>
      </c>
      <c r="F18" s="1" t="str">
        <f t="shared" si="4"/>
        <v/>
      </c>
      <c r="G18" s="1" t="str">
        <f t="shared" si="5"/>
        <v/>
      </c>
      <c r="H18" s="1" t="str">
        <f t="shared" si="2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opLeftCell="A3" workbookViewId="0">
      <selection activeCell="A14" sqref="A14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1.710937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46212</v>
      </c>
      <c r="B2" s="22">
        <f>IF(A2&lt;&gt;"",1,"")</f>
        <v>1</v>
      </c>
      <c r="C2" s="3"/>
      <c r="D2" s="1">
        <f t="shared" ref="D2:D18" si="0">IF(AND($A2&lt;&gt;"",$B2&lt;&gt;""),$K$9,"")</f>
        <v>3000</v>
      </c>
      <c r="E2" s="1">
        <f>IF(AND($A2&lt;&gt;"",$B2&lt;&gt;""),$K$7*$K$8,"")</f>
        <v>876.85622307412541</v>
      </c>
      <c r="F2" s="1">
        <f>IF(AND($A2&lt;&gt;"",$B2&lt;&gt;""),D2-E2,"")</f>
        <v>2123.1437769258746</v>
      </c>
      <c r="G2" s="1">
        <f>IF(AND($A2&lt;&gt;"",$B2&lt;&gt;""),$K$7-F2,"")</f>
        <v>27876.856223074126</v>
      </c>
      <c r="H2" s="1">
        <f>IF(AND($A2&lt;&gt;"",$B2&lt;&gt;""),$K$7-G2,"")</f>
        <v>2123.1437769258737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L30000W12-Minarani-N199</v>
      </c>
    </row>
    <row r="3" spans="1:11" x14ac:dyDescent="0.3">
      <c r="A3" s="19">
        <v>46219</v>
      </c>
      <c r="B3" s="23">
        <f>IF(A3&lt;&gt;"",B2+1,"")</f>
        <v>2</v>
      </c>
      <c r="C3" s="20"/>
      <c r="D3" s="21">
        <f t="shared" si="0"/>
        <v>3000</v>
      </c>
      <c r="E3" s="21">
        <f t="shared" ref="E3:E18" si="1">IF(AND($A3&lt;&gt;"",$B3&lt;&gt;""),G2*$K$8,"")</f>
        <v>814.7998286315069</v>
      </c>
      <c r="F3" s="21">
        <f>IF(AND($A3&lt;&gt;"",$B3&lt;&gt;""),D3-E3,"")</f>
        <v>2185.2001713684931</v>
      </c>
      <c r="G3" s="21">
        <f>IF(AND($A3&lt;&gt;"",$B3&lt;&gt;""),G2-F3,"")</f>
        <v>25691.656051705635</v>
      </c>
      <c r="H3" s="21">
        <f t="shared" ref="H3:H18" si="2">IF(AND($A3&lt;&gt;"",$B3&lt;&gt;""),$K$7-G3,"")</f>
        <v>4308.343948294365</v>
      </c>
      <c r="J3" s="4" t="s">
        <v>10</v>
      </c>
      <c r="K3" s="26" t="s">
        <v>21</v>
      </c>
    </row>
    <row r="4" spans="1:11" x14ac:dyDescent="0.3">
      <c r="A4" s="2">
        <v>46226</v>
      </c>
      <c r="B4" s="22">
        <f t="shared" ref="B4:B18" si="3">IF(A4&lt;&gt;"",B3+1,"")</f>
        <v>3</v>
      </c>
      <c r="C4" s="3"/>
      <c r="D4" s="1">
        <f t="shared" si="0"/>
        <v>3000</v>
      </c>
      <c r="E4" s="1">
        <f t="shared" si="1"/>
        <v>750.92961633393668</v>
      </c>
      <c r="F4" s="1">
        <f t="shared" ref="F4:F18" si="4">IF(AND($A4&lt;&gt;"",$B4&lt;&gt;""),D4-E4,"")</f>
        <v>2249.0703836660632</v>
      </c>
      <c r="G4" s="1">
        <f t="shared" ref="G4:G18" si="5">IF(AND($A4&lt;&gt;"",$B4&lt;&gt;""),G3-F4,"")</f>
        <v>23442.585668039574</v>
      </c>
      <c r="H4" s="1">
        <f t="shared" si="2"/>
        <v>6557.4143319604264</v>
      </c>
      <c r="J4" s="4" t="s">
        <v>11</v>
      </c>
      <c r="K4" s="26"/>
    </row>
    <row r="5" spans="1:11" x14ac:dyDescent="0.3">
      <c r="A5" s="19">
        <v>46233</v>
      </c>
      <c r="B5" s="23">
        <f t="shared" si="3"/>
        <v>4</v>
      </c>
      <c r="C5" s="20"/>
      <c r="D5" s="21">
        <f t="shared" si="0"/>
        <v>3000</v>
      </c>
      <c r="E5" s="21">
        <f t="shared" si="1"/>
        <v>685.19257093229351</v>
      </c>
      <c r="F5" s="21">
        <f t="shared" si="4"/>
        <v>2314.8074290677064</v>
      </c>
      <c r="G5" s="21">
        <f t="shared" si="5"/>
        <v>21127.778238971867</v>
      </c>
      <c r="H5" s="21">
        <f t="shared" si="2"/>
        <v>8872.2217610281332</v>
      </c>
      <c r="J5" s="4" t="s">
        <v>12</v>
      </c>
      <c r="K5" s="26"/>
    </row>
    <row r="6" spans="1:11" x14ac:dyDescent="0.3">
      <c r="A6" s="2">
        <v>46240</v>
      </c>
      <c r="B6" s="22">
        <f t="shared" si="3"/>
        <v>5</v>
      </c>
      <c r="C6" s="3"/>
      <c r="D6" s="1">
        <f t="shared" si="0"/>
        <v>3000</v>
      </c>
      <c r="E6" s="1">
        <f t="shared" si="1"/>
        <v>617.53412761908567</v>
      </c>
      <c r="F6" s="1">
        <f t="shared" si="4"/>
        <v>2382.4658723809143</v>
      </c>
      <c r="G6" s="1">
        <f t="shared" si="5"/>
        <v>18745.312366590952</v>
      </c>
      <c r="H6" s="1">
        <f t="shared" si="2"/>
        <v>11254.687633409048</v>
      </c>
      <c r="J6" s="4" t="s">
        <v>13</v>
      </c>
      <c r="K6" s="26"/>
    </row>
    <row r="7" spans="1:11" x14ac:dyDescent="0.3">
      <c r="A7" s="19">
        <v>46247</v>
      </c>
      <c r="B7" s="23">
        <f t="shared" si="3"/>
        <v>6</v>
      </c>
      <c r="C7" s="20"/>
      <c r="D7" s="21">
        <f t="shared" si="0"/>
        <v>3000</v>
      </c>
      <c r="E7" s="21">
        <f t="shared" si="1"/>
        <v>547.89812673712129</v>
      </c>
      <c r="F7" s="21">
        <f t="shared" si="4"/>
        <v>2452.1018732628786</v>
      </c>
      <c r="G7" s="21">
        <f t="shared" si="5"/>
        <v>16293.210493328073</v>
      </c>
      <c r="H7" s="21">
        <f t="shared" si="2"/>
        <v>13706.789506671927</v>
      </c>
      <c r="J7" s="4" t="s">
        <v>6</v>
      </c>
      <c r="K7" s="27">
        <v>30000</v>
      </c>
    </row>
    <row r="8" spans="1:11" x14ac:dyDescent="0.3">
      <c r="A8" s="2">
        <v>46254</v>
      </c>
      <c r="B8" s="22">
        <f t="shared" si="3"/>
        <v>7</v>
      </c>
      <c r="C8" s="3"/>
      <c r="D8" s="1">
        <f t="shared" si="0"/>
        <v>3000</v>
      </c>
      <c r="E8" s="1">
        <f t="shared" si="1"/>
        <v>476.22676716437877</v>
      </c>
      <c r="F8" s="1">
        <f t="shared" si="4"/>
        <v>2523.7732328356215</v>
      </c>
      <c r="G8" s="1">
        <f t="shared" si="5"/>
        <v>13769.437260492452</v>
      </c>
      <c r="H8" s="1">
        <f t="shared" si="2"/>
        <v>16230.562739507548</v>
      </c>
      <c r="J8" s="4" t="s">
        <v>14</v>
      </c>
      <c r="K8" s="6">
        <f>RATE(K10,-K9,K7)</f>
        <v>2.9228540769137515E-2</v>
      </c>
    </row>
    <row r="9" spans="1:11" x14ac:dyDescent="0.3">
      <c r="A9" s="19">
        <v>46260</v>
      </c>
      <c r="B9" s="23">
        <f t="shared" si="3"/>
        <v>8</v>
      </c>
      <c r="C9" s="20"/>
      <c r="D9" s="21">
        <f t="shared" si="0"/>
        <v>3000</v>
      </c>
      <c r="E9" s="21">
        <f t="shared" si="1"/>
        <v>402.46055833638479</v>
      </c>
      <c r="F9" s="21">
        <f t="shared" si="4"/>
        <v>2597.5394416636154</v>
      </c>
      <c r="G9" s="21">
        <f t="shared" si="5"/>
        <v>11171.897818828837</v>
      </c>
      <c r="H9" s="21">
        <f t="shared" si="2"/>
        <v>18828.102181171162</v>
      </c>
      <c r="J9" s="4" t="s">
        <v>7</v>
      </c>
      <c r="K9" s="28">
        <v>3000</v>
      </c>
    </row>
    <row r="10" spans="1:11" x14ac:dyDescent="0.3">
      <c r="A10" s="2">
        <v>46260</v>
      </c>
      <c r="B10" s="22">
        <f t="shared" si="3"/>
        <v>9</v>
      </c>
      <c r="C10" s="3"/>
      <c r="D10" s="1">
        <f t="shared" si="0"/>
        <v>3000</v>
      </c>
      <c r="E10" s="1">
        <f t="shared" si="1"/>
        <v>326.53827086627712</v>
      </c>
      <c r="F10" s="1">
        <f t="shared" si="4"/>
        <v>2673.4617291337227</v>
      </c>
      <c r="G10" s="1">
        <f t="shared" si="5"/>
        <v>8498.4360896951148</v>
      </c>
      <c r="H10" s="1">
        <f t="shared" si="2"/>
        <v>21501.563910304885</v>
      </c>
      <c r="J10" s="4" t="s">
        <v>8</v>
      </c>
      <c r="K10" s="29">
        <v>12</v>
      </c>
    </row>
    <row r="11" spans="1:11" ht="17.25" thickBot="1" x14ac:dyDescent="0.35">
      <c r="A11" s="19">
        <v>46260</v>
      </c>
      <c r="B11" s="23">
        <f t="shared" si="3"/>
        <v>10</v>
      </c>
      <c r="C11" s="20"/>
      <c r="D11" s="21">
        <f t="shared" si="0"/>
        <v>3000</v>
      </c>
      <c r="E11" s="21">
        <f t="shared" si="1"/>
        <v>248.39688572156325</v>
      </c>
      <c r="F11" s="21">
        <f t="shared" si="4"/>
        <v>2751.6031142784368</v>
      </c>
      <c r="G11" s="21">
        <f t="shared" si="5"/>
        <v>5746.832975416678</v>
      </c>
      <c r="H11" s="21">
        <f t="shared" si="2"/>
        <v>24253.167024583323</v>
      </c>
      <c r="J11" s="14"/>
    </row>
    <row r="12" spans="1:11" x14ac:dyDescent="0.3">
      <c r="A12" s="2">
        <v>46260</v>
      </c>
      <c r="B12" s="22">
        <f t="shared" si="3"/>
        <v>11</v>
      </c>
      <c r="C12" s="3"/>
      <c r="D12" s="1">
        <f t="shared" si="0"/>
        <v>3000</v>
      </c>
      <c r="E12" s="1">
        <f t="shared" si="1"/>
        <v>167.97154191539022</v>
      </c>
      <c r="F12" s="1">
        <f t="shared" si="4"/>
        <v>2832.0284580846096</v>
      </c>
      <c r="G12" s="1">
        <f t="shared" si="5"/>
        <v>2914.8045173320684</v>
      </c>
      <c r="H12" s="1">
        <f t="shared" si="2"/>
        <v>27085.195482667932</v>
      </c>
      <c r="J12" s="8" t="s">
        <v>16</v>
      </c>
      <c r="K12" s="9">
        <f>IFERROR(MAX($B:$B),"")</f>
        <v>12</v>
      </c>
    </row>
    <row r="13" spans="1:11" x14ac:dyDescent="0.3">
      <c r="A13" s="19">
        <v>46260</v>
      </c>
      <c r="B13" s="23">
        <f t="shared" si="3"/>
        <v>12</v>
      </c>
      <c r="C13" s="20"/>
      <c r="D13" s="21">
        <f t="shared" si="0"/>
        <v>3000</v>
      </c>
      <c r="E13" s="21">
        <f t="shared" si="1"/>
        <v>85.19548266890655</v>
      </c>
      <c r="F13" s="21">
        <f t="shared" si="4"/>
        <v>2914.8045173310934</v>
      </c>
      <c r="G13" s="21">
        <f t="shared" si="5"/>
        <v>9.7497832030057907E-10</v>
      </c>
      <c r="H13" s="21">
        <f t="shared" si="2"/>
        <v>29999.999999999025</v>
      </c>
      <c r="J13" s="24" t="s">
        <v>22</v>
      </c>
      <c r="K13" s="11">
        <f>(K10*K9)-K9*K12</f>
        <v>0</v>
      </c>
    </row>
    <row r="14" spans="1:11" x14ac:dyDescent="0.3">
      <c r="A14" s="2"/>
      <c r="B14" s="22" t="str">
        <f t="shared" si="3"/>
        <v/>
      </c>
      <c r="C14" s="3"/>
      <c r="D14" s="1" t="str">
        <f t="shared" si="0"/>
        <v/>
      </c>
      <c r="E14" s="1" t="str">
        <f t="shared" si="1"/>
        <v/>
      </c>
      <c r="F14" s="1" t="str">
        <f t="shared" si="4"/>
        <v/>
      </c>
      <c r="G14" s="1" t="str">
        <f t="shared" si="5"/>
        <v/>
      </c>
      <c r="H14" s="1" t="str">
        <f t="shared" si="2"/>
        <v/>
      </c>
      <c r="J14" s="10" t="s">
        <v>23</v>
      </c>
      <c r="K14" s="11">
        <f>IF(A2="", K9*K10, IFERROR(INDEX($G:$G, MATCH($K$12, $B:$B, 0)), 0))</f>
        <v>9.7497832030057907E-10</v>
      </c>
    </row>
    <row r="15" spans="1:11" ht="17.25" thickBot="1" x14ac:dyDescent="0.35">
      <c r="A15" s="19"/>
      <c r="B15" s="23" t="str">
        <f t="shared" si="3"/>
        <v/>
      </c>
      <c r="C15" s="20"/>
      <c r="D15" s="21" t="str">
        <f t="shared" si="0"/>
        <v/>
      </c>
      <c r="E15" s="21" t="str">
        <f t="shared" si="1"/>
        <v/>
      </c>
      <c r="F15" s="21" t="str">
        <f t="shared" si="4"/>
        <v/>
      </c>
      <c r="G15" s="21" t="str">
        <f t="shared" si="5"/>
        <v/>
      </c>
      <c r="H15" s="21" t="str">
        <f t="shared" si="2"/>
        <v/>
      </c>
      <c r="J15" s="12" t="s">
        <v>5</v>
      </c>
      <c r="K15" s="13">
        <f>IFERROR(INDEX($H:$H, MATCH($K$12, $B:$B, 0)), 0)</f>
        <v>29999.999999999025</v>
      </c>
    </row>
    <row r="16" spans="1:11" x14ac:dyDescent="0.3">
      <c r="A16" s="2"/>
      <c r="B16" s="22" t="str">
        <f t="shared" si="3"/>
        <v/>
      </c>
      <c r="C16" s="3"/>
      <c r="D16" s="1" t="str">
        <f t="shared" si="0"/>
        <v/>
      </c>
      <c r="E16" s="1" t="str">
        <f t="shared" si="1"/>
        <v/>
      </c>
      <c r="F16" s="1" t="str">
        <f t="shared" si="4"/>
        <v/>
      </c>
      <c r="G16" s="1" t="str">
        <f t="shared" si="5"/>
        <v/>
      </c>
      <c r="H16" s="1" t="str">
        <f t="shared" si="2"/>
        <v/>
      </c>
      <c r="J16" s="15" t="s">
        <v>18</v>
      </c>
      <c r="K16" s="16">
        <f>IF(A2,A2, "")</f>
        <v>46212</v>
      </c>
    </row>
    <row r="17" spans="1:11" x14ac:dyDescent="0.3">
      <c r="A17" s="19"/>
      <c r="B17" s="23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4"/>
        <v/>
      </c>
      <c r="G17" s="21" t="str">
        <f t="shared" si="5"/>
        <v/>
      </c>
      <c r="H17" s="21" t="str">
        <f t="shared" si="2"/>
        <v/>
      </c>
      <c r="J17" s="17" t="s">
        <v>19</v>
      </c>
      <c r="K17" s="18">
        <f xml:space="preserve"> IF(A2,(K16 + (17*7)),"")</f>
        <v>46331</v>
      </c>
    </row>
    <row r="18" spans="1:11" x14ac:dyDescent="0.3">
      <c r="A18" s="2"/>
      <c r="B18" s="22" t="str">
        <f t="shared" si="3"/>
        <v/>
      </c>
      <c r="C18" s="3"/>
      <c r="D18" s="1" t="str">
        <f t="shared" si="0"/>
        <v/>
      </c>
      <c r="E18" s="1" t="str">
        <f t="shared" si="1"/>
        <v/>
      </c>
      <c r="F18" s="1" t="str">
        <f t="shared" si="4"/>
        <v/>
      </c>
      <c r="G18" s="1" t="str">
        <f t="shared" si="5"/>
        <v/>
      </c>
      <c r="H18" s="1" t="str">
        <f t="shared" si="2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A8" sqref="A8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1.710937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46268</v>
      </c>
      <c r="B2" s="22">
        <f>IF(A2&lt;&gt;"",1,"")</f>
        <v>1</v>
      </c>
      <c r="C2" s="3"/>
      <c r="D2" s="1">
        <f t="shared" ref="D2:D18" si="0">IF(AND($A2&lt;&gt;"",$B2&lt;&gt;""),$K$9,"")</f>
        <v>3000</v>
      </c>
      <c r="E2" s="1">
        <f>IF(AND($A2&lt;&gt;"",$B2&lt;&gt;""),$K$7*$K$8,"")</f>
        <v>876.85622307412541</v>
      </c>
      <c r="F2" s="1">
        <f>IF(AND($A2&lt;&gt;"",$B2&lt;&gt;""),D2-E2,"")</f>
        <v>2123.1437769258746</v>
      </c>
      <c r="G2" s="1">
        <f>IF(AND($A2&lt;&gt;"",$B2&lt;&gt;""),$K$7-F2,"")</f>
        <v>27876.856223074126</v>
      </c>
      <c r="H2" s="1">
        <f>IF(AND($A2&lt;&gt;"",$B2&lt;&gt;""),$K$7-G2,"")</f>
        <v>2123.1437769258737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L30000W12-Minarani-N216</v>
      </c>
    </row>
    <row r="3" spans="1:11" x14ac:dyDescent="0.3">
      <c r="A3" s="19">
        <v>46275</v>
      </c>
      <c r="B3" s="23">
        <f>IF(A3&lt;&gt;"",B2+1,"")</f>
        <v>2</v>
      </c>
      <c r="C3" s="20"/>
      <c r="D3" s="21">
        <f t="shared" si="0"/>
        <v>3000</v>
      </c>
      <c r="E3" s="21">
        <f t="shared" ref="E3:E18" si="1">IF(AND($A3&lt;&gt;"",$B3&lt;&gt;""),G2*$K$8,"")</f>
        <v>814.7998286315069</v>
      </c>
      <c r="F3" s="21">
        <f>IF(AND($A3&lt;&gt;"",$B3&lt;&gt;""),D3-E3,"")</f>
        <v>2185.2001713684931</v>
      </c>
      <c r="G3" s="21">
        <f>IF(AND($A3&lt;&gt;"",$B3&lt;&gt;""),G2-F3,"")</f>
        <v>25691.656051705635</v>
      </c>
      <c r="H3" s="21">
        <f t="shared" ref="H3:H18" si="2">IF(AND($A3&lt;&gt;"",$B3&lt;&gt;""),$K$7-G3,"")</f>
        <v>4308.343948294365</v>
      </c>
      <c r="J3" s="4" t="s">
        <v>10</v>
      </c>
      <c r="K3" s="26" t="s">
        <v>21</v>
      </c>
    </row>
    <row r="4" spans="1:11" x14ac:dyDescent="0.3">
      <c r="A4" s="2">
        <v>46282</v>
      </c>
      <c r="B4" s="22">
        <f t="shared" ref="B4:B18" si="3">IF(A4&lt;&gt;"",B3+1,"")</f>
        <v>3</v>
      </c>
      <c r="C4" s="3"/>
      <c r="D4" s="1">
        <f t="shared" si="0"/>
        <v>3000</v>
      </c>
      <c r="E4" s="1">
        <f t="shared" si="1"/>
        <v>750.92961633393668</v>
      </c>
      <c r="F4" s="1">
        <f t="shared" ref="F4:F18" si="4">IF(AND($A4&lt;&gt;"",$B4&lt;&gt;""),D4-E4,"")</f>
        <v>2249.0703836660632</v>
      </c>
      <c r="G4" s="1">
        <f t="shared" ref="G4:G18" si="5">IF(AND($A4&lt;&gt;"",$B4&lt;&gt;""),G3-F4,"")</f>
        <v>23442.585668039574</v>
      </c>
      <c r="H4" s="1">
        <f t="shared" si="2"/>
        <v>6557.4143319604264</v>
      </c>
      <c r="J4" s="4" t="s">
        <v>11</v>
      </c>
      <c r="K4" s="26"/>
    </row>
    <row r="5" spans="1:11" x14ac:dyDescent="0.3">
      <c r="A5" s="19">
        <v>46289</v>
      </c>
      <c r="B5" s="23">
        <f t="shared" si="3"/>
        <v>4</v>
      </c>
      <c r="C5" s="20"/>
      <c r="D5" s="21">
        <f t="shared" si="0"/>
        <v>3000</v>
      </c>
      <c r="E5" s="21">
        <f t="shared" si="1"/>
        <v>685.19257093229351</v>
      </c>
      <c r="F5" s="21">
        <f t="shared" si="4"/>
        <v>2314.8074290677064</v>
      </c>
      <c r="G5" s="21">
        <f t="shared" si="5"/>
        <v>21127.778238971867</v>
      </c>
      <c r="H5" s="21">
        <f t="shared" si="2"/>
        <v>8872.2217610281332</v>
      </c>
      <c r="J5" s="4" t="s">
        <v>12</v>
      </c>
      <c r="K5" s="26"/>
    </row>
    <row r="6" spans="1:11" x14ac:dyDescent="0.3">
      <c r="A6" s="2">
        <v>46296</v>
      </c>
      <c r="B6" s="22">
        <f t="shared" si="3"/>
        <v>5</v>
      </c>
      <c r="C6" s="3"/>
      <c r="D6" s="1">
        <f t="shared" si="0"/>
        <v>3000</v>
      </c>
      <c r="E6" s="1">
        <f t="shared" si="1"/>
        <v>617.53412761908567</v>
      </c>
      <c r="F6" s="1">
        <f t="shared" si="4"/>
        <v>2382.4658723809143</v>
      </c>
      <c r="G6" s="1">
        <f t="shared" si="5"/>
        <v>18745.312366590952</v>
      </c>
      <c r="H6" s="1">
        <f t="shared" si="2"/>
        <v>11254.687633409048</v>
      </c>
      <c r="J6" s="4" t="s">
        <v>13</v>
      </c>
      <c r="K6" s="26"/>
    </row>
    <row r="7" spans="1:11" x14ac:dyDescent="0.3">
      <c r="A7" s="19">
        <v>46303</v>
      </c>
      <c r="B7" s="23">
        <f t="shared" si="3"/>
        <v>6</v>
      </c>
      <c r="C7" s="20"/>
      <c r="D7" s="21">
        <f t="shared" si="0"/>
        <v>3000</v>
      </c>
      <c r="E7" s="21">
        <f t="shared" si="1"/>
        <v>547.89812673712129</v>
      </c>
      <c r="F7" s="21">
        <f t="shared" si="4"/>
        <v>2452.1018732628786</v>
      </c>
      <c r="G7" s="21">
        <f t="shared" si="5"/>
        <v>16293.210493328073</v>
      </c>
      <c r="H7" s="21">
        <f t="shared" si="2"/>
        <v>13706.789506671927</v>
      </c>
      <c r="J7" s="4" t="s">
        <v>6</v>
      </c>
      <c r="K7" s="27">
        <v>30000</v>
      </c>
    </row>
    <row r="8" spans="1:11" x14ac:dyDescent="0.3">
      <c r="A8" s="2"/>
      <c r="B8" s="22" t="str">
        <f t="shared" si="3"/>
        <v/>
      </c>
      <c r="C8" s="3"/>
      <c r="D8" s="1" t="str">
        <f t="shared" si="0"/>
        <v/>
      </c>
      <c r="E8" s="1" t="str">
        <f t="shared" si="1"/>
        <v/>
      </c>
      <c r="F8" s="1" t="str">
        <f t="shared" si="4"/>
        <v/>
      </c>
      <c r="G8" s="1" t="str">
        <f t="shared" si="5"/>
        <v/>
      </c>
      <c r="H8" s="1" t="str">
        <f t="shared" si="2"/>
        <v/>
      </c>
      <c r="J8" s="4" t="s">
        <v>14</v>
      </c>
      <c r="K8" s="6">
        <f>RATE(K10,-K9,K7)</f>
        <v>2.9228540769137515E-2</v>
      </c>
    </row>
    <row r="9" spans="1:11" x14ac:dyDescent="0.3">
      <c r="A9" s="19"/>
      <c r="B9" s="23" t="str">
        <f t="shared" si="3"/>
        <v/>
      </c>
      <c r="C9" s="20"/>
      <c r="D9" s="21" t="str">
        <f t="shared" si="0"/>
        <v/>
      </c>
      <c r="E9" s="21" t="str">
        <f t="shared" si="1"/>
        <v/>
      </c>
      <c r="F9" s="21" t="str">
        <f t="shared" si="4"/>
        <v/>
      </c>
      <c r="G9" s="21" t="str">
        <f t="shared" si="5"/>
        <v/>
      </c>
      <c r="H9" s="21" t="str">
        <f t="shared" si="2"/>
        <v/>
      </c>
      <c r="J9" s="4" t="s">
        <v>7</v>
      </c>
      <c r="K9" s="28">
        <v>3000</v>
      </c>
    </row>
    <row r="10" spans="1:11" x14ac:dyDescent="0.3">
      <c r="A10" s="2"/>
      <c r="B10" s="22" t="str">
        <f t="shared" si="3"/>
        <v/>
      </c>
      <c r="C10" s="3"/>
      <c r="D10" s="1" t="str">
        <f t="shared" si="0"/>
        <v/>
      </c>
      <c r="E10" s="1" t="str">
        <f t="shared" si="1"/>
        <v/>
      </c>
      <c r="F10" s="1" t="str">
        <f t="shared" si="4"/>
        <v/>
      </c>
      <c r="G10" s="1" t="str">
        <f t="shared" si="5"/>
        <v/>
      </c>
      <c r="H10" s="1" t="str">
        <f t="shared" si="2"/>
        <v/>
      </c>
      <c r="J10" s="4" t="s">
        <v>8</v>
      </c>
      <c r="K10" s="29">
        <v>12</v>
      </c>
    </row>
    <row r="11" spans="1:11" ht="17.25" thickBot="1" x14ac:dyDescent="0.35">
      <c r="A11" s="19"/>
      <c r="B11" s="23" t="str">
        <f t="shared" si="3"/>
        <v/>
      </c>
      <c r="C11" s="20"/>
      <c r="D11" s="21" t="str">
        <f t="shared" si="0"/>
        <v/>
      </c>
      <c r="E11" s="21" t="str">
        <f t="shared" si="1"/>
        <v/>
      </c>
      <c r="F11" s="21" t="str">
        <f t="shared" si="4"/>
        <v/>
      </c>
      <c r="G11" s="21" t="str">
        <f t="shared" si="5"/>
        <v/>
      </c>
      <c r="H11" s="21" t="str">
        <f t="shared" si="2"/>
        <v/>
      </c>
      <c r="J11" s="14"/>
    </row>
    <row r="12" spans="1:11" x14ac:dyDescent="0.3">
      <c r="A12" s="2"/>
      <c r="B12" s="22" t="str">
        <f t="shared" si="3"/>
        <v/>
      </c>
      <c r="C12" s="3"/>
      <c r="D12" s="1" t="str">
        <f t="shared" si="0"/>
        <v/>
      </c>
      <c r="E12" s="1" t="str">
        <f t="shared" si="1"/>
        <v/>
      </c>
      <c r="F12" s="1" t="str">
        <f t="shared" si="4"/>
        <v/>
      </c>
      <c r="G12" s="1" t="str">
        <f t="shared" si="5"/>
        <v/>
      </c>
      <c r="H12" s="1" t="str">
        <f t="shared" si="2"/>
        <v/>
      </c>
      <c r="J12" s="8" t="s">
        <v>16</v>
      </c>
      <c r="K12" s="9">
        <f>IFERROR(MAX($B:$B),"")</f>
        <v>6</v>
      </c>
    </row>
    <row r="13" spans="1:11" x14ac:dyDescent="0.3">
      <c r="A13" s="19"/>
      <c r="B13" s="23" t="str">
        <f t="shared" si="3"/>
        <v/>
      </c>
      <c r="C13" s="20"/>
      <c r="D13" s="21" t="str">
        <f t="shared" si="0"/>
        <v/>
      </c>
      <c r="E13" s="21" t="str">
        <f t="shared" si="1"/>
        <v/>
      </c>
      <c r="F13" s="21" t="str">
        <f t="shared" si="4"/>
        <v/>
      </c>
      <c r="G13" s="21" t="str">
        <f t="shared" si="5"/>
        <v/>
      </c>
      <c r="H13" s="21" t="str">
        <f t="shared" si="2"/>
        <v/>
      </c>
      <c r="J13" s="24" t="s">
        <v>22</v>
      </c>
      <c r="K13" s="11">
        <f>(K10*K9)-K9*K12</f>
        <v>18000</v>
      </c>
    </row>
    <row r="14" spans="1:11" x14ac:dyDescent="0.3">
      <c r="A14" s="2"/>
      <c r="B14" s="22" t="str">
        <f t="shared" si="3"/>
        <v/>
      </c>
      <c r="C14" s="3"/>
      <c r="D14" s="1" t="str">
        <f t="shared" si="0"/>
        <v/>
      </c>
      <c r="E14" s="1" t="str">
        <f t="shared" si="1"/>
        <v/>
      </c>
      <c r="F14" s="1" t="str">
        <f t="shared" si="4"/>
        <v/>
      </c>
      <c r="G14" s="1" t="str">
        <f t="shared" si="5"/>
        <v/>
      </c>
      <c r="H14" s="1" t="str">
        <f t="shared" si="2"/>
        <v/>
      </c>
      <c r="J14" s="10" t="s">
        <v>23</v>
      </c>
      <c r="K14" s="11">
        <f>IF(A2="", K9*K10, IFERROR(INDEX($G:$G, MATCH($K$12, $B:$B, 0)), 0))</f>
        <v>16293.210493328073</v>
      </c>
    </row>
    <row r="15" spans="1:11" ht="17.25" thickBot="1" x14ac:dyDescent="0.35">
      <c r="A15" s="19"/>
      <c r="B15" s="23" t="str">
        <f t="shared" si="3"/>
        <v/>
      </c>
      <c r="C15" s="20"/>
      <c r="D15" s="21" t="str">
        <f t="shared" si="0"/>
        <v/>
      </c>
      <c r="E15" s="21" t="str">
        <f t="shared" si="1"/>
        <v/>
      </c>
      <c r="F15" s="21" t="str">
        <f t="shared" si="4"/>
        <v/>
      </c>
      <c r="G15" s="21" t="str">
        <f t="shared" si="5"/>
        <v/>
      </c>
      <c r="H15" s="21" t="str">
        <f t="shared" si="2"/>
        <v/>
      </c>
      <c r="J15" s="12" t="s">
        <v>5</v>
      </c>
      <c r="K15" s="13">
        <f>IFERROR(INDEX($H:$H, MATCH($K$12, $B:$B, 0)), 0)</f>
        <v>13706.789506671927</v>
      </c>
    </row>
    <row r="16" spans="1:11" x14ac:dyDescent="0.3">
      <c r="A16" s="2"/>
      <c r="B16" s="22" t="str">
        <f t="shared" si="3"/>
        <v/>
      </c>
      <c r="C16" s="3"/>
      <c r="D16" s="1" t="str">
        <f t="shared" si="0"/>
        <v/>
      </c>
      <c r="E16" s="1" t="str">
        <f t="shared" si="1"/>
        <v/>
      </c>
      <c r="F16" s="1" t="str">
        <f t="shared" si="4"/>
        <v/>
      </c>
      <c r="G16" s="1" t="str">
        <f t="shared" si="5"/>
        <v/>
      </c>
      <c r="H16" s="1" t="str">
        <f t="shared" si="2"/>
        <v/>
      </c>
      <c r="J16" s="15" t="s">
        <v>18</v>
      </c>
      <c r="K16" s="16">
        <f>IF(A2,A2, "")</f>
        <v>46268</v>
      </c>
    </row>
    <row r="17" spans="1:11" x14ac:dyDescent="0.3">
      <c r="A17" s="19"/>
      <c r="B17" s="23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4"/>
        <v/>
      </c>
      <c r="G17" s="21" t="str">
        <f t="shared" si="5"/>
        <v/>
      </c>
      <c r="H17" s="21" t="str">
        <f t="shared" si="2"/>
        <v/>
      </c>
      <c r="J17" s="17" t="s">
        <v>19</v>
      </c>
      <c r="K17" s="18">
        <f xml:space="preserve"> IF(A2,(K16 + (17*7)),"")</f>
        <v>46387</v>
      </c>
    </row>
    <row r="18" spans="1:11" x14ac:dyDescent="0.3">
      <c r="A18" s="2"/>
      <c r="B18" s="22" t="str">
        <f t="shared" si="3"/>
        <v/>
      </c>
      <c r="C18" s="3"/>
      <c r="D18" s="1" t="str">
        <f t="shared" si="0"/>
        <v/>
      </c>
      <c r="E18" s="1" t="str">
        <f t="shared" si="1"/>
        <v/>
      </c>
      <c r="F18" s="1" t="str">
        <f t="shared" si="4"/>
        <v/>
      </c>
      <c r="G18" s="1" t="str">
        <f t="shared" si="5"/>
        <v/>
      </c>
      <c r="H18" s="1" t="str">
        <f t="shared" si="2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Loan1</vt:lpstr>
      <vt:lpstr>189</vt:lpstr>
      <vt:lpstr>199</vt:lpstr>
      <vt:lpstr>216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2026-10-13T06:14:29Z</dcterms:modified>
</cp:coreProperties>
</file>