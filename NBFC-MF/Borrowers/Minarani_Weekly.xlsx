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5" r:id="rId1"/>
    <sheet name="189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6" l="1"/>
  <c r="H18" i="6" s="1"/>
  <c r="B17" i="6"/>
  <c r="G17" i="6" s="1"/>
  <c r="K16" i="6"/>
  <c r="K17" i="6" s="1"/>
  <c r="B16" i="6"/>
  <c r="H16" i="6" s="1"/>
  <c r="F15" i="6"/>
  <c r="E15" i="6"/>
  <c r="B15" i="6"/>
  <c r="G15" i="6" s="1"/>
  <c r="B14" i="6"/>
  <c r="H14" i="6" s="1"/>
  <c r="F13" i="6"/>
  <c r="B13" i="6"/>
  <c r="G13" i="6" s="1"/>
  <c r="B12" i="6"/>
  <c r="H12" i="6" s="1"/>
  <c r="B11" i="6"/>
  <c r="H11" i="6" s="1"/>
  <c r="B10" i="6"/>
  <c r="H10" i="6" s="1"/>
  <c r="B9" i="6"/>
  <c r="H9" i="6" s="1"/>
  <c r="K8" i="6"/>
  <c r="B8" i="6"/>
  <c r="G8" i="6" s="1"/>
  <c r="F7" i="6"/>
  <c r="B7" i="6"/>
  <c r="G7" i="6" s="1"/>
  <c r="K2" i="6"/>
  <c r="B2" i="6"/>
  <c r="D7" i="6" l="1"/>
  <c r="E16" i="6"/>
  <c r="F17" i="6"/>
  <c r="E7" i="6"/>
  <c r="F16" i="6"/>
  <c r="F10" i="6"/>
  <c r="F12" i="6"/>
  <c r="H15" i="6"/>
  <c r="H7" i="6"/>
  <c r="D15" i="6"/>
  <c r="F8" i="6"/>
  <c r="E10" i="6"/>
  <c r="E12" i="6"/>
  <c r="D8" i="6"/>
  <c r="H8" i="6"/>
  <c r="E9" i="6"/>
  <c r="G10" i="6"/>
  <c r="E11" i="6"/>
  <c r="G12" i="6"/>
  <c r="D13" i="6"/>
  <c r="H13" i="6"/>
  <c r="E14" i="6"/>
  <c r="G16" i="6"/>
  <c r="D17" i="6"/>
  <c r="H17" i="6"/>
  <c r="E18" i="6"/>
  <c r="B3" i="6"/>
  <c r="E8" i="6"/>
  <c r="F9" i="6"/>
  <c r="D10" i="6"/>
  <c r="F11" i="6"/>
  <c r="D12" i="6"/>
  <c r="E13" i="6"/>
  <c r="F14" i="6"/>
  <c r="D16" i="6"/>
  <c r="E17" i="6"/>
  <c r="F18" i="6"/>
  <c r="G9" i="6"/>
  <c r="G11" i="6"/>
  <c r="G14" i="6"/>
  <c r="G18" i="6"/>
  <c r="E2" i="6"/>
  <c r="D2" i="6"/>
  <c r="F2" i="6" s="1"/>
  <c r="G2" i="6" s="1"/>
  <c r="H2" i="6" s="1"/>
  <c r="D9" i="6"/>
  <c r="D11" i="6"/>
  <c r="D14" i="6"/>
  <c r="D18" i="6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2" i="5"/>
  <c r="B3" i="5" s="1"/>
  <c r="B4" i="5" s="1"/>
  <c r="B5" i="5" s="1"/>
  <c r="B4" i="6" l="1"/>
  <c r="E3" i="6"/>
  <c r="D3" i="6"/>
  <c r="F3" i="6"/>
  <c r="G3" i="6" s="1"/>
  <c r="H3" i="6" s="1"/>
  <c r="K16" i="5"/>
  <c r="K2" i="5"/>
  <c r="B5" i="6" l="1"/>
  <c r="E4" i="6"/>
  <c r="D4" i="6"/>
  <c r="F4" i="6" s="1"/>
  <c r="G4" i="6" s="1"/>
  <c r="H4" i="6" s="1"/>
  <c r="K17" i="5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B6" i="6" l="1"/>
  <c r="E5" i="6"/>
  <c r="D5" i="6"/>
  <c r="F5" i="6" s="1"/>
  <c r="G5" i="6" s="1"/>
  <c r="H5" i="6" s="1"/>
  <c r="K13" i="5"/>
  <c r="K8" i="5"/>
  <c r="E2" i="5" s="1"/>
  <c r="F2" i="5" s="1"/>
  <c r="G2" i="5" s="1"/>
  <c r="H2" i="5" s="1"/>
  <c r="E6" i="6" l="1"/>
  <c r="F6" i="6" s="1"/>
  <c r="G6" i="6" s="1"/>
  <c r="H6" i="6" s="1"/>
  <c r="D6" i="6"/>
  <c r="K12" i="6"/>
  <c r="E3" i="5"/>
  <c r="F3" i="5" s="1"/>
  <c r="G3" i="5" s="1"/>
  <c r="E4" i="5" s="1"/>
  <c r="F4" i="5" s="1"/>
  <c r="G4" i="5" s="1"/>
  <c r="H4" i="5" s="1"/>
  <c r="K15" i="6" l="1"/>
  <c r="K13" i="6"/>
  <c r="K14" i="6"/>
  <c r="H3" i="5"/>
  <c r="E5" i="5"/>
  <c r="F5" i="5" s="1"/>
  <c r="G5" i="5" s="1"/>
  <c r="H5" i="5" l="1"/>
  <c r="E6" i="5"/>
  <c r="F6" i="5" s="1"/>
  <c r="G6" i="5" s="1"/>
  <c r="H6" i="5" l="1"/>
  <c r="E7" i="5"/>
  <c r="F7" i="5" s="1"/>
  <c r="G7" i="5" s="1"/>
  <c r="H7" i="5" s="1"/>
  <c r="E8" i="5" l="1"/>
  <c r="F8" i="5" s="1"/>
  <c r="G8" i="5" s="1"/>
  <c r="H8" i="5" s="1"/>
  <c r="K15" i="5" s="1"/>
  <c r="K14" i="5" l="1"/>
  <c r="E9" i="5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s="1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<sst xmlns="http://schemas.openxmlformats.org/spreadsheetml/2006/main" count="50" uniqueCount="24">
  <si>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</si>
  <si>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</si>
  <si>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</si>
  <si>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</si>
  <si>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</si>
  <si>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</si>
  <si>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</si>
  <si>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</si>
  <si>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</si>
  <si>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</si>
  <si>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</si>
  <si>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</si>
  <si>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</si>
  <si>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</si>
  <si>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</si>
  <si>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</si>
  <si>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</si>
  <si>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</si>
  <si>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</si>
  <si>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</si>
  <si>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</si>
  <si>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Minarani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</si>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</sst>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9" sqref="A9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46156</v>
      </c>
      <c r="B2" s="22">
        <f>IF(A2&lt;&gt;"",1,"")</f>
        <v>1</v>
      </c>
      <c r="C2" s="3"/>
      <c r="D2" s="1">
        <f t="shared" ref="D2:D18" si="0">IF(AND($A2&lt;&gt;"",$B2&lt;&gt;""),$K$9,"")</f>
        <v>2000</v>
      </c>
      <c r="E2" s="1">
        <f>IF(AND($A2&lt;&gt;"",$B2&lt;&gt;""),$K$7*$K$8,"")</f>
        <v>584.57081538274804</v>
      </c>
      <c r="F2" s="1">
        <f>IF(AND($A2&lt;&gt;"",$B2&lt;&gt;""),D2-E2,"")</f>
        <v>1415.4291846172518</v>
      </c>
      <c r="G2" s="1">
        <f>IF(AND($A2&lt;&gt;"",$B2&lt;&gt;""),$K$7-F2,"")</f>
        <v>18584.570815382747</v>
      </c>
      <c r="H2" s="1">
        <f>IF(AND($A2&lt;&gt;"",$B2&lt;&gt;""),$K$7-G2,"")</f>
        <v>1415.4291846172528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L20000W12-Minarani-NLoan1</v>
      </c>
    </row>
    <row r="3" spans="1:11" x14ac:dyDescent="0.3">
      <c r="A3" s="19">
        <v>46163</v>
      </c>
      <c r="B3" s="23">
        <f>IF(A3&lt;&gt;"",B2+1,"")</f>
        <v>2</v>
      </c>
      <c r="C3" s="20"/>
      <c r="D3" s="21">
        <f t="shared" si="0"/>
        <v>2000</v>
      </c>
      <c r="E3" s="21">
        <f t="shared" ref="E3:E18" si="1">IF(AND($A3&lt;&gt;"",$B3&lt;&gt;""),G2*$K$8,"")</f>
        <v>543.19988575433581</v>
      </c>
      <c r="F3" s="21">
        <f>IF(AND($A3&lt;&gt;"",$B3&lt;&gt;""),D3-E3,"")</f>
        <v>1456.8001142456642</v>
      </c>
      <c r="G3" s="21">
        <f>IF(AND($A3&lt;&gt;"",$B3&lt;&gt;""),G2-F3,"")</f>
        <v>17127.770701137084</v>
      </c>
      <c r="H3" s="21">
        <f t="shared" ref="H3:H18" si="2">IF(AND($A3&lt;&gt;"",$B3&lt;&gt;""),$K$7-G3,"")</f>
        <v>2872.229298862916</v>
      </c>
      <c r="J3" s="4" t="s">
        <v>10</v>
      </c>
      <c r="K3" s="26" t="s">
        <v>21</v>
      </c>
    </row>
    <row r="4" spans="1:11" x14ac:dyDescent="0.3">
      <c r="A4" s="2">
        <v>46170</v>
      </c>
      <c r="B4" s="22">
        <f t="shared" ref="B4:B18" si="3">IF(A4&lt;&gt;"",B3+1,"")</f>
        <v>3</v>
      </c>
      <c r="C4" s="3"/>
      <c r="D4" s="1">
        <f t="shared" si="0"/>
        <v>2000</v>
      </c>
      <c r="E4" s="1">
        <f t="shared" si="1"/>
        <v>500.61974422262239</v>
      </c>
      <c r="F4" s="1">
        <f t="shared" ref="F4:F18" si="4">IF(AND($A4&lt;&gt;"",$B4&lt;&gt;""),D4-E4,"")</f>
        <v>1499.3802557773777</v>
      </c>
      <c r="G4" s="1">
        <f t="shared" ref="G4:G18" si="5">IF(AND($A4&lt;&gt;"",$B4&lt;&gt;""),G3-F4,"")</f>
        <v>15628.390445359706</v>
      </c>
      <c r="H4" s="1">
        <f t="shared" si="2"/>
        <v>4371.6095546402939</v>
      </c>
      <c r="J4" s="4" t="s">
        <v>11</v>
      </c>
      <c r="K4" s="26"/>
    </row>
    <row r="5" spans="1:11" x14ac:dyDescent="0.3">
      <c r="A5" s="19">
        <v>46178</v>
      </c>
      <c r="B5" s="23">
        <f t="shared" si="3"/>
        <v>4</v>
      </c>
      <c r="C5" s="20"/>
      <c r="D5" s="21">
        <f t="shared" si="0"/>
        <v>2000</v>
      </c>
      <c r="E5" s="21">
        <f t="shared" si="1"/>
        <v>456.79504728819364</v>
      </c>
      <c r="F5" s="21">
        <f t="shared" si="4"/>
        <v>1543.2049527118063</v>
      </c>
      <c r="G5" s="21">
        <f t="shared" si="5"/>
        <v>14085.185492647899</v>
      </c>
      <c r="H5" s="21">
        <f t="shared" si="2"/>
        <v>5914.8145073521009</v>
      </c>
      <c r="J5" s="4" t="s">
        <v>12</v>
      </c>
      <c r="K5" s="26"/>
    </row>
    <row r="6" spans="1:11" x14ac:dyDescent="0.3">
      <c r="A6" s="2">
        <v>46184</v>
      </c>
      <c r="B6" s="22">
        <f t="shared" si="3"/>
        <v>5</v>
      </c>
      <c r="C6" s="3"/>
      <c r="D6" s="1">
        <f t="shared" si="0"/>
        <v>2000</v>
      </c>
      <c r="E6" s="1">
        <f t="shared" si="1"/>
        <v>411.68941841272181</v>
      </c>
      <c r="F6" s="1">
        <f t="shared" si="4"/>
        <v>1588.3105815872782</v>
      </c>
      <c r="G6" s="1">
        <f t="shared" si="5"/>
        <v>12496.87491106062</v>
      </c>
      <c r="H6" s="1">
        <f t="shared" si="2"/>
        <v>7503.1250889393796</v>
      </c>
      <c r="J6" s="4" t="s">
        <v>13</v>
      </c>
      <c r="K6" s="26"/>
    </row>
    <row r="7" spans="1:11" x14ac:dyDescent="0.3">
      <c r="A7" s="19">
        <v>46191</v>
      </c>
      <c r="B7" s="23">
        <f t="shared" si="3"/>
        <v>6</v>
      </c>
      <c r="C7" s="20"/>
      <c r="D7" s="21">
        <f t="shared" si="0"/>
        <v>2000</v>
      </c>
      <c r="E7" s="21">
        <f t="shared" si="1"/>
        <v>365.26541782474573</v>
      </c>
      <c r="F7" s="21">
        <f t="shared" si="4"/>
        <v>1634.7345821752542</v>
      </c>
      <c r="G7" s="21">
        <f t="shared" si="5"/>
        <v>10862.140328885365</v>
      </c>
      <c r="H7" s="21">
        <f t="shared" si="2"/>
        <v>9137.8596711146347</v>
      </c>
      <c r="J7" s="4" t="s">
        <v>6</v>
      </c>
      <c r="K7" s="27">
        <v>20000</v>
      </c>
    </row>
    <row r="8" spans="1:11" x14ac:dyDescent="0.3">
      <c r="A8" s="2">
        <v>46198</v>
      </c>
      <c r="B8" s="22">
        <f t="shared" si="3"/>
        <v>7</v>
      </c>
      <c r="C8" s="3"/>
      <c r="D8" s="1">
        <f t="shared" si="0"/>
        <v>2000</v>
      </c>
      <c r="E8" s="1">
        <f t="shared" si="1"/>
        <v>317.48451144291749</v>
      </c>
      <c r="F8" s="1">
        <f t="shared" si="4"/>
        <v>1682.5154885570826</v>
      </c>
      <c r="G8" s="1">
        <f t="shared" si="5"/>
        <v>9179.6248403282825</v>
      </c>
      <c r="H8" s="1">
        <f t="shared" si="2"/>
        <v>10820.375159671717</v>
      </c>
      <c r="J8" s="4" t="s">
        <v>14</v>
      </c>
      <c r="K8" s="6">
        <f>RATE(K10,-K9,K7)</f>
        <v>2.9228540769137404E-2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2000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12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7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10000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9179.6248403282825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10820.375159671717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46156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46275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f6GAJvThIzVJt6IvRd4ea78fIsyO0g9e+0kUx9BZmBxVrWGLS+HZhw0qb9bFF4b+jssbCrnmDLLc9D+1bjiDAg==" saltValue="Co3Ld9mkQpojVhvFigPmCw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workbookViewId="0">
      <selection activeCell="B6" sqref="B6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46193</v>
      </c>
      <c r="B2" s="22">
        <f>IF(A2&lt;&gt;"",1,"")</f>
        <v>1</v>
      </c>
      <c r="C2" s="3"/>
      <c r="D2" s="1">
        <f t="shared" ref="D2:D18" si="0">IF(AND($A2&lt;&gt;"",$B2&lt;&gt;""),$K$9,"")</f>
        <v>1000</v>
      </c>
      <c r="E2" s="1">
        <f>IF(AND($A2&lt;&gt;"",$B2&lt;&gt;""),$K$7*$K$8,"")</f>
        <v>292.28540769137402</v>
      </c>
      <c r="F2" s="1">
        <f>IF(AND($A2&lt;&gt;"",$B2&lt;&gt;""),D2-E2,"")</f>
        <v>707.71459230862592</v>
      </c>
      <c r="G2" s="1">
        <f>IF(AND($A2&lt;&gt;"",$B2&lt;&gt;""),$K$7-F2,"")</f>
        <v>9292.2854076913736</v>
      </c>
      <c r="H2" s="1">
        <f>IF(AND($A2&lt;&gt;"",$B2&lt;&gt;""),$K$7-G2,"")</f>
        <v>707.71459230862638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L10000W12-Minarani-N189</v>
      </c>
    </row>
    <row r="3" spans="1:11" x14ac:dyDescent="0.3">
      <c r="A3" s="19"/>
      <c r="B3" s="23" t="str">
        <f>IF(A3&lt;&gt;"",B2+1,"")</f>
        <v/>
      </c>
      <c r="C3" s="20"/>
      <c r="D3" s="21" t="str">
        <f t="shared" si="0"/>
        <v/>
      </c>
      <c r="E3" s="21" t="str">
        <f t="shared" ref="E3:E18" si="1">IF(AND($A3&lt;&gt;"",$B3&lt;&gt;""),G2*$K$8,"")</f>
        <v/>
      </c>
      <c r="F3" s="21" t="str">
        <f>IF(AND($A3&lt;&gt;"",$B3&lt;&gt;""),D3-E3,"")</f>
        <v/>
      </c>
      <c r="G3" s="21" t="str">
        <f>IF(AND($A3&lt;&gt;"",$B3&lt;&gt;""),G2-F3,"")</f>
        <v/>
      </c>
      <c r="H3" s="21" t="str">
        <f t="shared" ref="H3:H18" si="2">IF(AND($A3&lt;&gt;"",$B3&lt;&gt;""),$K$7-G3,"")</f>
        <v/>
      </c>
      <c r="J3" s="4" t="s">
        <v>10</v>
      </c>
      <c r="K3" s="26" t="s">
        <v>21</v>
      </c>
    </row>
    <row r="4" spans="1:11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10000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2.9228540769137404E-2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1000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12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1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11000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9292.2854076913736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707.71459230862638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46193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46312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189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2026-06-27T06:32:27Z</dcterms:modified>
</cp:coreProperties>
</file>