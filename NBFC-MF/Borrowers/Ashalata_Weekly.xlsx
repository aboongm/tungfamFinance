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20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<sst xmlns="http://schemas.openxmlformats.org/spreadsheetml/2006/main" count="25" uniqueCount="24">
  <si>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</si>
  <si>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</si>
  <si>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</si>
  <si>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</si>
  <si>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</si>
  <si>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</si>
  <si>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</si>
  <si>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</si>
  <si>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</si>
  <si>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</si>
  <si>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</si>
  <si>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</si>
  <si>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</si>
  <si>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</si>
  <si>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</si>
  <si>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</si>
  <si>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</si>
  <si>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</si>
  <si>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</si>
  <si>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</si>
  <si>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</si>
  <si>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</si>
  <si>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</si>
  <si>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Ashalata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</si>
</sst>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7" sqref="A7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46276</v>
      </c>
      <c r="B2" s="22">
        <f>IF(A2&lt;&gt;"",1,"")</f>
        <v>1</v>
      </c>
      <c r="C2" s="3"/>
      <c r="D2" s="1">
        <f t="shared" ref="D2:D18" si="0">IF(AND($A2&lt;&gt;"",$B2&lt;&gt;""),$K$9,"")</f>
        <v>350</v>
      </c>
      <c r="E2" s="1">
        <f>IF(AND($A2&lt;&gt;"",$B2&lt;&gt;""),$K$7*$K$8,"")</f>
        <v>100.25781039723266</v>
      </c>
      <c r="F2" s="1">
        <f>IF(AND($A2&lt;&gt;"",$B2&lt;&gt;""),D2-E2,"")</f>
        <v>249.74218960276733</v>
      </c>
      <c r="G2" s="1">
        <f>IF(AND($A2&lt;&gt;"",$B2&lt;&gt;""),$K$7-F2,"")</f>
        <v>4750.2578103972328</v>
      </c>
      <c r="H2" s="1">
        <f>IF(AND($A2&lt;&gt;"",$B2&lt;&gt;""),$K$7-G2,"")</f>
        <v>249.74218960276721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L5000W17-Ashalata-N220</v>
      </c>
    </row>
    <row r="3" spans="1:11" x14ac:dyDescent="0.3">
      <c r="A3" s="19">
        <v>46276</v>
      </c>
      <c r="B3" s="23">
        <f>IF(A3&lt;&gt;"",B2+1,"")</f>
        <v>2</v>
      </c>
      <c r="C3" s="20"/>
      <c r="D3" s="21">
        <f t="shared" si="0"/>
        <v>350</v>
      </c>
      <c r="E3" s="21">
        <f t="shared" ref="E3:E18" si="1">IF(AND($A3&lt;&gt;"",$B3&lt;&gt;""),G2*$K$8,"")</f>
        <v>95.250089378555856</v>
      </c>
      <c r="F3" s="21">
        <f>IF(AND($A3&lt;&gt;"",$B3&lt;&gt;""),D3-E3,"")</f>
        <v>254.74991062144414</v>
      </c>
      <c r="G3" s="21">
        <f>IF(AND($A3&lt;&gt;"",$B3&lt;&gt;""),G2-F3,"")</f>
        <v>4495.5078997757882</v>
      </c>
      <c r="H3" s="21">
        <f t="shared" ref="H3:H18" si="2">IF(AND($A3&lt;&gt;"",$B3&lt;&gt;""),$K$7-G3,"")</f>
        <v>504.49210022421175</v>
      </c>
      <c r="J3" s="4" t="s">
        <v>10</v>
      </c>
      <c r="K3" s="26" t="s">
        <v>23</v>
      </c>
    </row>
    <row r="4" spans="1:11" x14ac:dyDescent="0.3">
      <c r="A4" s="2">
        <v>46290</v>
      </c>
      <c r="B4" s="22">
        <f t="shared" ref="B4:B18" si="3">IF(A4&lt;&gt;"",B3+1,"")</f>
        <v>3</v>
      </c>
      <c r="C4" s="3"/>
      <c r="D4" s="1">
        <f t="shared" si="0"/>
        <v>350</v>
      </c>
      <c r="E4" s="1">
        <f t="shared" si="1"/>
        <v>90.141955730996514</v>
      </c>
      <c r="F4" s="1">
        <f t="shared" ref="F4:F18" si="4">IF(AND($A4&lt;&gt;"",$B4&lt;&gt;""),D4-E4,"")</f>
        <v>259.85804426900347</v>
      </c>
      <c r="G4" s="1">
        <f t="shared" ref="G4:G18" si="5">IF(AND($A4&lt;&gt;"",$B4&lt;&gt;""),G3-F4,"")</f>
        <v>4235.6498555067847</v>
      </c>
      <c r="H4" s="1">
        <f t="shared" si="2"/>
        <v>764.35014449321534</v>
      </c>
      <c r="J4" s="4" t="s">
        <v>11</v>
      </c>
      <c r="K4" s="26"/>
    </row>
    <row r="5" spans="1:11" x14ac:dyDescent="0.3">
      <c r="A5" s="19">
        <v>46297</v>
      </c>
      <c r="B5" s="23">
        <f t="shared" si="3"/>
        <v>4</v>
      </c>
      <c r="C5" s="20"/>
      <c r="D5" s="21">
        <f t="shared" si="0"/>
        <v>350</v>
      </c>
      <c r="E5" s="21">
        <f t="shared" si="1"/>
        <v>84.931396024493026</v>
      </c>
      <c r="F5" s="21">
        <f t="shared" si="4"/>
        <v>265.06860397550696</v>
      </c>
      <c r="G5" s="21">
        <f t="shared" si="5"/>
        <v>3970.5812515312778</v>
      </c>
      <c r="H5" s="21">
        <f t="shared" si="2"/>
        <v>1029.4187484687222</v>
      </c>
      <c r="J5" s="4" t="s">
        <v>12</v>
      </c>
      <c r="K5" s="26"/>
    </row>
    <row r="6" spans="1:11" x14ac:dyDescent="0.3">
      <c r="A6" s="2">
        <v>46304</v>
      </c>
      <c r="B6" s="22">
        <f t="shared" si="3"/>
        <v>5</v>
      </c>
      <c r="C6" s="3"/>
      <c r="D6" s="1">
        <f t="shared" si="0"/>
        <v>350</v>
      </c>
      <c r="E6" s="1">
        <f t="shared" si="1"/>
        <v>79.616356456565924</v>
      </c>
      <c r="F6" s="1">
        <f t="shared" si="4"/>
        <v>270.38364354343406</v>
      </c>
      <c r="G6" s="1">
        <f t="shared" si="5"/>
        <v>3700.1976079878436</v>
      </c>
      <c r="H6" s="1">
        <f t="shared" si="2"/>
        <v>1299.8023920121564</v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5000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2.0051562079446531E-2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350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5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4200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3700.1976079878436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1299.8023920121564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46276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46395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2026-10-13T06:25:05Z</dcterms:modified>
</cp:coreProperties>
</file>