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<sst xmlns="http://schemas.openxmlformats.org/spreadsheetml/2006/main" count="25" uniqueCount="24">
  <si>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</si>
  <si>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</si>
  <si>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</si>
  <si>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</si>
  <si>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</si>
  <si>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</si>
  <si>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</si>
  <si>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</si>
  <si>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</si>
  <si>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</si>
  <si>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</si>
  <si>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</si>
  <si>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</si>
  <si>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</si>
  <si>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</si>
  <si>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</si>
  <si>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</si>
  <si>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</si>
  <si>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Reena_devi</t>
  </si>
  <si>
    <t>Start Date</t>
  </si>
  <si>
    <t>End Date</t>
  </si>
  <si>
    <t>Reference Id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</si>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</sst>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K10" sqref="K10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21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46174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L10000W17-Reena_devi-NLoan1</v>
      </c>
    </row>
    <row r="3" spans="1:11" x14ac:dyDescent="0.3">
      <c r="A3" s="19">
        <v>46174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18</v>
      </c>
    </row>
    <row r="4" spans="1:11" x14ac:dyDescent="0.3">
      <c r="A4" s="2">
        <v>46174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46174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46174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46174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46174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>
        <v>46174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</row>
    <row r="10" spans="1:11" x14ac:dyDescent="0.3">
      <c r="A10" s="2">
        <v>46174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1" ht="17.25" thickBot="1" x14ac:dyDescent="0.35">
      <c r="A11" s="19">
        <v>46174</v>
      </c>
      <c r="B11" s="23">
        <f t="shared" si="3"/>
        <v>10</v>
      </c>
      <c r="C11" s="20"/>
      <c r="D11" s="21">
        <f t="shared" si="0"/>
        <v>700</v>
      </c>
      <c r="E11" s="21">
        <f t="shared" si="1"/>
        <v>102.79829632693014</v>
      </c>
      <c r="F11" s="21">
        <f t="shared" si="4"/>
        <v>597.20170367306991</v>
      </c>
      <c r="G11" s="21">
        <f t="shared" si="5"/>
        <v>4529.4959530796459</v>
      </c>
      <c r="H11" s="21">
        <f t="shared" si="2"/>
        <v>5470.5040469203541</v>
      </c>
      <c r="J11" s="14"/>
    </row>
    <row r="12" spans="1:11" x14ac:dyDescent="0.3">
      <c r="A12" s="2">
        <v>46174</v>
      </c>
      <c r="B12" s="22">
        <f t="shared" si="3"/>
        <v>11</v>
      </c>
      <c r="C12" s="3"/>
      <c r="D12" s="1">
        <f t="shared" si="0"/>
        <v>700</v>
      </c>
      <c r="E12" s="1">
        <f t="shared" si="1"/>
        <v>90.823469291778352</v>
      </c>
      <c r="F12" s="1">
        <f t="shared" si="4"/>
        <v>609.17653070822166</v>
      </c>
      <c r="G12" s="1">
        <f t="shared" si="5"/>
        <v>3920.3194223714245</v>
      </c>
      <c r="H12" s="1">
        <f t="shared" si="2"/>
        <v>6079.6805776285755</v>
      </c>
      <c r="J12" s="8" t="s">
        <v>16</v>
      </c>
      <c r="K12" s="9">
        <f>IFERROR(MAX($B:$B),"")</f>
        <v>17</v>
      </c>
    </row>
    <row r="13" spans="1:11" x14ac:dyDescent="0.3">
      <c r="A13" s="19">
        <v>46174</v>
      </c>
      <c r="B13" s="23">
        <f t="shared" si="3"/>
        <v>12</v>
      </c>
      <c r="C13" s="20"/>
      <c r="D13" s="21">
        <f t="shared" si="0"/>
        <v>700</v>
      </c>
      <c r="E13" s="21">
        <f t="shared" si="1"/>
        <v>78.608528268940589</v>
      </c>
      <c r="F13" s="21">
        <f t="shared" si="4"/>
        <v>621.39147173105937</v>
      </c>
      <c r="G13" s="21">
        <f t="shared" si="5"/>
        <v>3298.927950640365</v>
      </c>
      <c r="H13" s="21">
        <f t="shared" si="2"/>
        <v>6701.0720493596345</v>
      </c>
      <c r="J13" s="24" t="s">
        <v>22</v>
      </c>
      <c r="K13" s="11">
        <f>(K10*K9)-K9*K12</f>
        <v>0</v>
      </c>
    </row>
    <row r="14" spans="1:11" x14ac:dyDescent="0.3">
      <c r="A14" s="2">
        <v>46174</v>
      </c>
      <c r="B14" s="22">
        <f t="shared" si="3"/>
        <v>13</v>
      </c>
      <c r="C14" s="3"/>
      <c r="D14" s="1">
        <f t="shared" si="0"/>
        <v>700</v>
      </c>
      <c r="E14" s="1">
        <f t="shared" si="1"/>
        <v>66.148658597886595</v>
      </c>
      <c r="F14" s="1">
        <f t="shared" si="4"/>
        <v>633.85134140211335</v>
      </c>
      <c r="G14" s="1">
        <f t="shared" si="5"/>
        <v>2665.0766092382519</v>
      </c>
      <c r="H14" s="1">
        <f t="shared" si="2"/>
        <v>7334.9233907617481</v>
      </c>
      <c r="J14" s="10" t="s">
        <v>23</v>
      </c>
      <c r="K14" s="11">
        <f>IF(A2="", K9*K10, IFERROR(INDEX($G:$G, MATCH($K$12, $B:$B, 0)), 0))</f>
        <v>4.5668002712773159E-10</v>
      </c>
    </row>
    <row r="15" spans="1:11" ht="17.25" thickBot="1" x14ac:dyDescent="0.35">
      <c r="A15" s="19">
        <v>46174</v>
      </c>
      <c r="B15" s="23">
        <f t="shared" si="3"/>
        <v>14</v>
      </c>
      <c r="C15" s="20"/>
      <c r="D15" s="21">
        <f t="shared" si="0"/>
        <v>700</v>
      </c>
      <c r="E15" s="21">
        <f t="shared" si="1"/>
        <v>53.438949076621675</v>
      </c>
      <c r="F15" s="21">
        <f t="shared" si="4"/>
        <v>646.56105092337828</v>
      </c>
      <c r="G15" s="21">
        <f t="shared" si="5"/>
        <v>2018.5155583148735</v>
      </c>
      <c r="H15" s="21">
        <f t="shared" si="2"/>
        <v>7981.4844416851265</v>
      </c>
      <c r="J15" s="12" t="s">
        <v>5</v>
      </c>
      <c r="K15" s="13">
        <f>IFERROR(INDEX($H:$H, MATCH($K$12, $B:$B, 0)), 0)</f>
        <v>9999.9999999995434</v>
      </c>
    </row>
    <row r="16" spans="1:11" x14ac:dyDescent="0.3">
      <c r="A16" s="2">
        <v>46174</v>
      </c>
      <c r="B16" s="22">
        <f t="shared" si="3"/>
        <v>15</v>
      </c>
      <c r="C16" s="3"/>
      <c r="D16" s="1">
        <f t="shared" si="0"/>
        <v>700</v>
      </c>
      <c r="E16" s="1">
        <f t="shared" si="1"/>
        <v>40.474390025879359</v>
      </c>
      <c r="F16" s="1">
        <f t="shared" si="4"/>
        <v>659.5256099741207</v>
      </c>
      <c r="G16" s="1">
        <f t="shared" si="5"/>
        <v>1358.9899483407528</v>
      </c>
      <c r="H16" s="1">
        <f t="shared" si="2"/>
        <v>8641.0100516592465</v>
      </c>
      <c r="J16" s="15" t="s">
        <v>19</v>
      </c>
      <c r="K16" s="16">
        <f>IF(A2,A2, "")</f>
        <v>46174</v>
      </c>
    </row>
    <row r="17" spans="1:11" x14ac:dyDescent="0.3">
      <c r="A17" s="19">
        <v>46174</v>
      </c>
      <c r="B17" s="23">
        <f t="shared" si="3"/>
        <v>16</v>
      </c>
      <c r="C17" s="20"/>
      <c r="D17" s="21">
        <f t="shared" si="0"/>
        <v>700</v>
      </c>
      <c r="E17" s="21">
        <f t="shared" si="1"/>
        <v>27.249871314498439</v>
      </c>
      <c r="F17" s="21">
        <f t="shared" si="4"/>
        <v>672.75012868550152</v>
      </c>
      <c r="G17" s="21">
        <f t="shared" si="5"/>
        <v>686.23981965525127</v>
      </c>
      <c r="H17" s="21">
        <f t="shared" si="2"/>
        <v>9313.7601803447487</v>
      </c>
      <c r="J17" s="17" t="s">
        <v>20</v>
      </c>
      <c r="K17" s="18">
        <f xml:space="preserve"> IF(A2,(K16 + (17*7)),"")</f>
        <v>46293</v>
      </c>
    </row>
    <row r="18" spans="1:11" x14ac:dyDescent="0.3">
      <c r="A18" s="2">
        <v>46174</v>
      </c>
      <c r="B18" s="22">
        <f t="shared" si="3"/>
        <v>17</v>
      </c>
      <c r="C18" s="3"/>
      <c r="D18" s="1">
        <f t="shared" si="0"/>
        <v>700</v>
      </c>
      <c r="E18" s="1">
        <f t="shared" si="1"/>
        <v>13.760180345205463</v>
      </c>
      <c r="F18" s="1">
        <f t="shared" si="4"/>
        <v>686.23981965479459</v>
      </c>
      <c r="G18" s="1">
        <f t="shared" si="5"/>
        <v>4.5668002712773159E-10</v>
      </c>
      <c r="H18" s="1">
        <f t="shared" si="2"/>
        <v>9999.9999999995434</v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2026-09-12T07:21:27Z</dcterms:modified>
</cp:coreProperties>
</file>