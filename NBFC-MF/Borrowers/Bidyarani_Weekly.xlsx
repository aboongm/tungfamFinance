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  <sheet name="190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6" l="1"/>
  <c r="H18" i="6" s="1"/>
  <c r="B17" i="6"/>
  <c r="G17" i="6" s="1"/>
  <c r="K16" i="6"/>
  <c r="K17" i="6" s="1"/>
  <c r="B16" i="6"/>
  <c r="H16" i="6" s="1"/>
  <c r="B15" i="6"/>
  <c r="G15" i="6" s="1"/>
  <c r="B14" i="6"/>
  <c r="H14" i="6" s="1"/>
  <c r="B13" i="6"/>
  <c r="G13" i="6" s="1"/>
  <c r="B12" i="6"/>
  <c r="H12" i="6" s="1"/>
  <c r="B11" i="6"/>
  <c r="H11" i="6" s="1"/>
  <c r="B10" i="6"/>
  <c r="H10" i="6" s="1"/>
  <c r="B9" i="6"/>
  <c r="H9" i="6" s="1"/>
  <c r="K8" i="6"/>
  <c r="K2" i="6"/>
  <c r="B2" i="6"/>
  <c r="F15" i="6" l="1"/>
  <c r="E16" i="6"/>
  <c r="F17" i="6"/>
  <c r="F13" i="6"/>
  <c r="F16" i="6"/>
  <c r="E15" i="6"/>
  <c r="E10" i="6"/>
  <c r="E12" i="6"/>
  <c r="F10" i="6"/>
  <c r="F12" i="6"/>
  <c r="H15" i="6"/>
  <c r="D15" i="6"/>
  <c r="E9" i="6"/>
  <c r="G10" i="6"/>
  <c r="E11" i="6"/>
  <c r="G12" i="6"/>
  <c r="D13" i="6"/>
  <c r="H13" i="6"/>
  <c r="E14" i="6"/>
  <c r="G16" i="6"/>
  <c r="D17" i="6"/>
  <c r="H17" i="6"/>
  <c r="E18" i="6"/>
  <c r="B3" i="6"/>
  <c r="F9" i="6"/>
  <c r="D10" i="6"/>
  <c r="F11" i="6"/>
  <c r="D12" i="6"/>
  <c r="E13" i="6"/>
  <c r="F14" i="6"/>
  <c r="D16" i="6"/>
  <c r="E17" i="6"/>
  <c r="F18" i="6"/>
  <c r="G11" i="6"/>
  <c r="G18" i="6"/>
  <c r="E2" i="6"/>
  <c r="F2" i="6" s="1"/>
  <c r="G2" i="6" s="1"/>
  <c r="H2" i="6" s="1"/>
  <c r="G9" i="6"/>
  <c r="G14" i="6"/>
  <c r="D2" i="6"/>
  <c r="D9" i="6"/>
  <c r="D11" i="6"/>
  <c r="D14" i="6"/>
  <c r="D18" i="6"/>
  <c r="B18" i="5"/>
  <c r="B17" i="5"/>
  <c r="B16" i="5"/>
  <c r="B15" i="5"/>
  <c r="B14" i="5"/>
  <c r="B13" i="5"/>
  <c r="B12" i="5"/>
  <c r="B11" i="5"/>
  <c r="B10" i="5"/>
  <c r="B9" i="5"/>
  <c r="B8" i="5"/>
  <c r="B7" i="5"/>
  <c r="B2" i="5"/>
  <c r="B3" i="5" s="1"/>
  <c r="B4" i="5" s="1"/>
  <c r="B5" i="5" s="1"/>
  <c r="B6" i="5" s="1"/>
  <c r="B4" i="6" l="1"/>
  <c r="E3" i="6"/>
  <c r="D3" i="6"/>
  <c r="F3" i="6" s="1"/>
  <c r="G3" i="6" s="1"/>
  <c r="H3" i="6" s="1"/>
  <c r="K16" i="5"/>
  <c r="K2" i="5"/>
  <c r="B5" i="6" l="1"/>
  <c r="E4" i="6"/>
  <c r="D4" i="6"/>
  <c r="F4" i="6" s="1"/>
  <c r="G4" i="6" s="1"/>
  <c r="H4" i="6" s="1"/>
  <c r="K17" i="5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B6" i="6" l="1"/>
  <c r="E5" i="6"/>
  <c r="D5" i="6"/>
  <c r="F5" i="6" s="1"/>
  <c r="G5" i="6" s="1"/>
  <c r="H5" i="6" s="1"/>
  <c r="K13" i="5"/>
  <c r="K8" i="5"/>
  <c r="E2" i="5" s="1"/>
  <c r="F2" i="5" s="1"/>
  <c r="G2" i="5" s="1"/>
  <c r="H2" i="5" s="1"/>
  <c r="B7" i="6" l="1"/>
  <c r="E6" i="6"/>
  <c r="D6" i="6"/>
  <c r="F6" i="6" s="1"/>
  <c r="G6" i="6" s="1"/>
  <c r="H6" i="6" s="1"/>
  <c r="E3" i="5"/>
  <c r="F3" i="5" s="1"/>
  <c r="G3" i="5" s="1"/>
  <c r="E4" i="5" s="1"/>
  <c r="F4" i="5" s="1"/>
  <c r="G4" i="5" s="1"/>
  <c r="H4" i="5" s="1"/>
  <c r="B8" i="6" l="1"/>
  <c r="E7" i="6"/>
  <c r="D7" i="6"/>
  <c r="F7" i="6"/>
  <c r="G7" i="6" s="1"/>
  <c r="H7" i="6" s="1"/>
  <c r="H3" i="5"/>
  <c r="E5" i="5"/>
  <c r="F5" i="5" s="1"/>
  <c r="G5" i="5" s="1"/>
  <c r="F8" i="6" l="1"/>
  <c r="G8" i="6" s="1"/>
  <c r="H8" i="6" s="1"/>
  <c r="E8" i="6"/>
  <c r="D8" i="6"/>
  <c r="K12" i="6"/>
  <c r="H5" i="5"/>
  <c r="E6" i="5"/>
  <c r="F6" i="5" s="1"/>
  <c r="G6" i="5" s="1"/>
  <c r="H6" i="5" s="1"/>
  <c r="K15" i="6" l="1"/>
  <c r="K13" i="6"/>
  <c r="K14" i="6"/>
  <c r="E7" i="5"/>
  <c r="F7" i="5" s="1"/>
  <c r="G7" i="5" s="1"/>
  <c r="H7" i="5" l="1"/>
  <c r="E8" i="5"/>
  <c r="F8" i="5" s="1"/>
  <c r="G8" i="5" s="1"/>
  <c r="H8" i="5" s="1"/>
  <c r="E9" i="5" l="1"/>
  <c r="F9" i="5" s="1"/>
  <c r="G9" i="5" s="1"/>
  <c r="H9" i="5" l="1"/>
  <c r="E10" i="5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K15" i="5" s="1"/>
  <c r="K14" i="5" l="1"/>
  <c r="E14" i="5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<sst xmlns="http://schemas.openxmlformats.org/spreadsheetml/2006/main" count="50" uniqueCount="24">
  <si>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</si>
  <si>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</si>
  <si>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</si>
  <si>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</si>
  <si>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</si>
  <si>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</si>
  <si>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</si>
  <si>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</si>
  <si>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</si>
  <si>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</si>
  <si>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</si>
  <si>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</si>
  <si>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</si>
  <si>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</si>
  <si>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</si>
  <si>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</si>
  <si>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</si>
  <si>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</si>
  <si>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</si>
  <si>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</si>
  <si>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</si>
  <si>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Bidyarani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</si>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</sst>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13" sqref="A13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46150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L20000W17-Bidyarani-NLoan1</v>
      </c>
    </row>
    <row r="3" spans="1:11" x14ac:dyDescent="0.3">
      <c r="A3" s="19">
        <v>46157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46165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46171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46178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46184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46192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46195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46204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46204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46204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12</v>
      </c>
    </row>
    <row r="13" spans="1:11" x14ac:dyDescent="0.3">
      <c r="A13" s="19">
        <v>46204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22</v>
      </c>
      <c r="K13" s="11">
        <f>(K10*K9)-K9*K12</f>
        <v>7000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6597.85590128073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13402.144098719269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46150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46269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LKcdt/HgvzDg4p6Upcy/UBi5J7iH+7F+2VJW2mXXUZolIRpXTAMycCB2XFdZPfG7TeiasEK4QzDr0sZDH66ccQ==" saltValue="aE2GgpC0AMC82aZMBUw93A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workbookViewId="0">
      <selection activeCell="A5" sqref="A5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46194</v>
      </c>
      <c r="B2" s="22">
        <f>IF(A2&lt;&gt;"",1,"")</f>
        <v>1</v>
      </c>
      <c r="C2" s="3"/>
      <c r="D2" s="1">
        <f t="shared" ref="D2:D18" si="0">IF(AND($A2&lt;&gt;"",$B2&lt;&gt;""),$K$9,"")</f>
        <v>700</v>
      </c>
      <c r="E2" s="1">
        <f>IF(AND($A2&lt;&gt;"",$B2&lt;&gt;""),$K$7*$K$8,"")</f>
        <v>200.51562079446532</v>
      </c>
      <c r="F2" s="1">
        <f>IF(AND($A2&lt;&gt;"",$B2&lt;&gt;""),D2-E2,"")</f>
        <v>499.48437920553465</v>
      </c>
      <c r="G2" s="1">
        <f>IF(AND($A2&lt;&gt;"",$B2&lt;&gt;""),$K$7-F2,"")</f>
        <v>9500.5156207944656</v>
      </c>
      <c r="H2" s="1">
        <f>IF(AND($A2&lt;&gt;"",$B2&lt;&gt;""),$K$7-G2,"")</f>
        <v>499.48437920553442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L10000W17-Bidyarani-N190</v>
      </c>
    </row>
    <row r="3" spans="1:11" x14ac:dyDescent="0.3">
      <c r="A3" s="19">
        <v>46199</v>
      </c>
      <c r="B3" s="23">
        <f>IF(A3&lt;&gt;"",B2+1,"")</f>
        <v>2</v>
      </c>
      <c r="C3" s="20"/>
      <c r="D3" s="21">
        <f t="shared" si="0"/>
        <v>700</v>
      </c>
      <c r="E3" s="21">
        <f t="shared" ref="E3:E18" si="1">IF(AND($A3&lt;&gt;"",$B3&lt;&gt;""),G2*$K$8,"")</f>
        <v>190.50017875711171</v>
      </c>
      <c r="F3" s="21">
        <f>IF(AND($A3&lt;&gt;"",$B3&lt;&gt;""),D3-E3,"")</f>
        <v>509.49982124288829</v>
      </c>
      <c r="G3" s="21">
        <f>IF(AND($A3&lt;&gt;"",$B3&lt;&gt;""),G2-F3,"")</f>
        <v>8991.0157995515765</v>
      </c>
      <c r="H3" s="21">
        <f t="shared" ref="H3:H18" si="2">IF(AND($A3&lt;&gt;"",$B3&lt;&gt;""),$K$7-G3,"")</f>
        <v>1008.9842004484235</v>
      </c>
      <c r="J3" s="4" t="s">
        <v>10</v>
      </c>
      <c r="K3" s="26" t="s">
        <v>21</v>
      </c>
    </row>
    <row r="4" spans="1:11" x14ac:dyDescent="0.3">
      <c r="A4" s="2">
        <v>46201</v>
      </c>
      <c r="B4" s="22">
        <f t="shared" ref="B4:B18" si="3">IF(A4&lt;&gt;"",B3+1,"")</f>
        <v>3</v>
      </c>
      <c r="C4" s="3"/>
      <c r="D4" s="1">
        <f t="shared" si="0"/>
        <v>700</v>
      </c>
      <c r="E4" s="1">
        <f t="shared" si="1"/>
        <v>180.28391146199303</v>
      </c>
      <c r="F4" s="1">
        <f t="shared" ref="F4:F18" si="4">IF(AND($A4&lt;&gt;"",$B4&lt;&gt;""),D4-E4,"")</f>
        <v>519.71608853800694</v>
      </c>
      <c r="G4" s="1">
        <f t="shared" ref="G4:G18" si="5">IF(AND($A4&lt;&gt;"",$B4&lt;&gt;""),G3-F4,"")</f>
        <v>8471.2997110135693</v>
      </c>
      <c r="H4" s="1">
        <f t="shared" si="2"/>
        <v>1528.7002889864307</v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10000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700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3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9800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8471.2997110135693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1528.7002889864307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46194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46313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190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2026-07-02T06:01:25Z</dcterms:modified>
</cp:coreProperties>
</file>