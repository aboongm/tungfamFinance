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190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6" l="1"/>
  <c r="H18" i="6" s="1"/>
  <c r="B17" i="6"/>
  <c r="G17" i="6" s="1"/>
  <c r="K16" i="6"/>
  <c r="K17" i="6" s="1"/>
  <c r="B16" i="6"/>
  <c r="H16" i="6" s="1"/>
  <c r="B15" i="6"/>
  <c r="G15" i="6" s="1"/>
  <c r="B14" i="6"/>
  <c r="H14" i="6" s="1"/>
  <c r="B13" i="6"/>
  <c r="G13" i="6" s="1"/>
  <c r="B12" i="6"/>
  <c r="H12" i="6" s="1"/>
  <c r="B11" i="6"/>
  <c r="H11" i="6" s="1"/>
  <c r="B10" i="6"/>
  <c r="B9" i="6"/>
  <c r="K8" i="6"/>
  <c r="K2" i="6"/>
  <c r="B2" i="6"/>
  <c r="F15" i="6" l="1"/>
  <c r="E16" i="6"/>
  <c r="F17" i="6"/>
  <c r="F13" i="6"/>
  <c r="F16" i="6"/>
  <c r="E15" i="6"/>
  <c r="E10" i="6"/>
  <c r="E12" i="6"/>
  <c r="F12" i="6"/>
  <c r="H15" i="6"/>
  <c r="D15" i="6"/>
  <c r="E9" i="6"/>
  <c r="E11" i="6"/>
  <c r="G12" i="6"/>
  <c r="D13" i="6"/>
  <c r="H13" i="6"/>
  <c r="E14" i="6"/>
  <c r="G16" i="6"/>
  <c r="D17" i="6"/>
  <c r="H17" i="6"/>
  <c r="E18" i="6"/>
  <c r="B3" i="6"/>
  <c r="D10" i="6"/>
  <c r="F10" i="6" s="1"/>
  <c r="G10" i="6" s="1"/>
  <c r="H10" i="6" s="1"/>
  <c r="F11" i="6"/>
  <c r="D12" i="6"/>
  <c r="E13" i="6"/>
  <c r="F14" i="6"/>
  <c r="D16" i="6"/>
  <c r="E17" i="6"/>
  <c r="F18" i="6"/>
  <c r="G11" i="6"/>
  <c r="G18" i="6"/>
  <c r="E2" i="6"/>
  <c r="F2" i="6" s="1"/>
  <c r="G2" i="6" s="1"/>
  <c r="H2" i="6" s="1"/>
  <c r="G14" i="6"/>
  <c r="D2" i="6"/>
  <c r="D9" i="6"/>
  <c r="F9" i="6" s="1"/>
  <c r="G9" i="6" s="1"/>
  <c r="H9" i="6" s="1"/>
  <c r="D11" i="6"/>
  <c r="D14" i="6"/>
  <c r="D18" i="6"/>
  <c r="B18" i="5"/>
  <c r="B17" i="5"/>
  <c r="B16" i="5"/>
  <c r="B15" i="5"/>
  <c r="B14" i="5"/>
  <c r="B11" i="5"/>
  <c r="B12" i="5" s="1"/>
  <c r="B13" i="5" s="1"/>
  <c r="B10" i="5"/>
  <c r="B9" i="5"/>
  <c r="B8" i="5"/>
  <c r="B7" i="5"/>
  <c r="B2" i="5"/>
  <c r="B3" i="5" s="1"/>
  <c r="B4" i="5" s="1"/>
  <c r="B5" i="5" s="1"/>
  <c r="B6" i="5" s="1"/>
  <c r="B4" i="6" l="1"/>
  <c r="E3" i="6"/>
  <c r="D3" i="6"/>
  <c r="F3" i="6" s="1"/>
  <c r="G3" i="6" s="1"/>
  <c r="H3" i="6" s="1"/>
  <c r="K16" i="5"/>
  <c r="K2" i="5"/>
  <c r="B5" i="6" l="1"/>
  <c r="E4" i="6"/>
  <c r="D4" i="6"/>
  <c r="K17" i="5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F4" i="6" l="1"/>
  <c r="G4" i="6" s="1"/>
  <c r="H4" i="6" s="1"/>
  <c r="B6" i="6"/>
  <c r="E5" i="6"/>
  <c r="D5" i="6"/>
  <c r="F5" i="6" s="1"/>
  <c r="G5" i="6" s="1"/>
  <c r="H5" i="6" s="1"/>
  <c r="K13" i="5"/>
  <c r="K8" i="5"/>
  <c r="E2" i="5" s="1"/>
  <c r="F2" i="5" s="1"/>
  <c r="G2" i="5" s="1"/>
  <c r="H2" i="5" s="1"/>
  <c r="B7" i="6" l="1"/>
  <c r="E6" i="6"/>
  <c r="D6" i="6"/>
  <c r="F6" i="6" s="1"/>
  <c r="G6" i="6" s="1"/>
  <c r="H6" i="6" s="1"/>
  <c r="E3" i="5"/>
  <c r="F3" i="5" s="1"/>
  <c r="G3" i="5" s="1"/>
  <c r="E4" i="5" s="1"/>
  <c r="F4" i="5" s="1"/>
  <c r="G4" i="5" s="1"/>
  <c r="H4" i="5" s="1"/>
  <c r="B8" i="6" l="1"/>
  <c r="E7" i="6"/>
  <c r="F7" i="6" s="1"/>
  <c r="G7" i="6" s="1"/>
  <c r="H7" i="6" s="1"/>
  <c r="D7" i="6"/>
  <c r="H3" i="5"/>
  <c r="E5" i="5"/>
  <c r="F5" i="5" s="1"/>
  <c r="G5" i="5" s="1"/>
  <c r="E8" i="6" l="1"/>
  <c r="D8" i="6"/>
  <c r="F8" i="6" s="1"/>
  <c r="G8" i="6" s="1"/>
  <c r="H8" i="6" s="1"/>
  <c r="K12" i="6"/>
  <c r="H5" i="5"/>
  <c r="E6" i="5"/>
  <c r="F6" i="5" s="1"/>
  <c r="G6" i="5" s="1"/>
  <c r="H6" i="5" s="1"/>
  <c r="K15" i="6" l="1"/>
  <c r="K13" i="6"/>
  <c r="K14" i="6"/>
  <c r="E7" i="5"/>
  <c r="F7" i="5" s="1"/>
  <c r="G7" i="5" s="1"/>
  <c r="H7" i="5" l="1"/>
  <c r="E8" i="5"/>
  <c r="F8" i="5" s="1"/>
  <c r="G8" i="5" s="1"/>
  <c r="H8" i="5" s="1"/>
  <c r="E9" i="5" l="1"/>
  <c r="F9" i="5" s="1"/>
  <c r="G9" i="5" s="1"/>
  <c r="H9" i="5" l="1"/>
  <c r="E10" i="5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  <c r="K15" i="5" l="1"/>
  <c r="K14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<sst xmlns="http://schemas.openxmlformats.org/spreadsheetml/2006/main" count="50" uniqueCount="24">
  <si>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</si>
  <si>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</si>
  <si>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</si>
  <si>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</si>
  <si>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</si>
  <si>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</si>
  <si>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</si>
  <si>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</si>
  <si>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</si>
  <si>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</si>
  <si>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</si>
  <si>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</si>
  <si>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</si>
  <si>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</si>
  <si>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</si>
  <si>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</si>
  <si>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</si>
  <si>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</si>
  <si>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</si>
  <si>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</si>
  <si>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</si>
  <si>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Bidyarani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</si>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</sst>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5" activePane="bottomLeft" state="frozen"/>
      <selection pane="bottomLeft" activeCell="B18" sqref="B18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46150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L20000W17-Bidyarani-NLoan1</v>
      </c>
    </row>
    <row r="3" spans="1:11" x14ac:dyDescent="0.3">
      <c r="A3" s="19">
        <v>46157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46165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46171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46178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46184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46192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46195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46204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46204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46204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46204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0</v>
      </c>
    </row>
    <row r="14" spans="1:11" x14ac:dyDescent="0.3">
      <c r="A14" s="2">
        <v>46206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46213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46220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46150</v>
      </c>
    </row>
    <row r="17" spans="1:11" x14ac:dyDescent="0.3">
      <c r="A17" s="19">
        <v>46227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46269</v>
      </c>
    </row>
    <row r="18" spans="1:11" x14ac:dyDescent="0.3">
      <c r="A18" s="2">
        <v>46234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sheetProtection algorithmName="SHA-512" hashValue="LKcdt/HgvzDg4p6Upcy/UBi5J7iH+7F+2VJW2mXXUZolIRpXTAMycCB2XFdZPfG7TeiasEK4QzDr0sZDH66ccQ==" saltValue="aE2GgpC0AMC82aZMBUw93A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11" sqref="A11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46194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L10000W17-Bidyarani-N190</v>
      </c>
    </row>
    <row r="3" spans="1:11" x14ac:dyDescent="0.3">
      <c r="A3" s="19">
        <v>46199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21</v>
      </c>
    </row>
    <row r="4" spans="1:11" x14ac:dyDescent="0.3">
      <c r="A4" s="2">
        <v>46201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1" x14ac:dyDescent="0.3">
      <c r="A5" s="19">
        <v>46242</v>
      </c>
      <c r="B5" s="23">
        <f t="shared" si="3"/>
        <v>4</v>
      </c>
      <c r="C5" s="20"/>
      <c r="D5" s="21">
        <f t="shared" si="0"/>
        <v>700</v>
      </c>
      <c r="E5" s="21">
        <f t="shared" si="1"/>
        <v>169.86279204898605</v>
      </c>
      <c r="F5" s="21">
        <f t="shared" si="4"/>
        <v>530.13720795101392</v>
      </c>
      <c r="G5" s="21">
        <f t="shared" si="5"/>
        <v>7941.1625030625555</v>
      </c>
      <c r="H5" s="21">
        <f t="shared" si="2"/>
        <v>2058.8374969374445</v>
      </c>
      <c r="J5" s="4" t="s">
        <v>12</v>
      </c>
      <c r="K5" s="26"/>
    </row>
    <row r="6" spans="1:11" x14ac:dyDescent="0.3">
      <c r="A6" s="2">
        <v>46242</v>
      </c>
      <c r="B6" s="22">
        <f t="shared" si="3"/>
        <v>5</v>
      </c>
      <c r="C6" s="3"/>
      <c r="D6" s="1">
        <f t="shared" si="0"/>
        <v>700</v>
      </c>
      <c r="E6" s="1">
        <f t="shared" si="1"/>
        <v>159.23271291313185</v>
      </c>
      <c r="F6" s="1">
        <f t="shared" si="4"/>
        <v>540.76728708686812</v>
      </c>
      <c r="G6" s="1">
        <f t="shared" si="5"/>
        <v>7400.3952159756873</v>
      </c>
      <c r="H6" s="1">
        <f t="shared" si="2"/>
        <v>2599.6047840243127</v>
      </c>
      <c r="J6" s="4" t="s">
        <v>13</v>
      </c>
      <c r="K6" s="26"/>
    </row>
    <row r="7" spans="1:11" x14ac:dyDescent="0.3">
      <c r="A7" s="19">
        <v>46248</v>
      </c>
      <c r="B7" s="23">
        <f t="shared" si="3"/>
        <v>6</v>
      </c>
      <c r="C7" s="20"/>
      <c r="D7" s="21">
        <f t="shared" si="0"/>
        <v>700</v>
      </c>
      <c r="E7" s="21">
        <f t="shared" si="1"/>
        <v>148.38948408557562</v>
      </c>
      <c r="F7" s="21">
        <f t="shared" si="4"/>
        <v>551.61051591442435</v>
      </c>
      <c r="G7" s="21">
        <f t="shared" si="5"/>
        <v>6848.7847000612628</v>
      </c>
      <c r="H7" s="21">
        <f t="shared" si="2"/>
        <v>3151.2152999387372</v>
      </c>
      <c r="J7" s="4" t="s">
        <v>6</v>
      </c>
      <c r="K7" s="27">
        <v>10000</v>
      </c>
    </row>
    <row r="8" spans="1:11" x14ac:dyDescent="0.3">
      <c r="A8" s="2">
        <v>46248</v>
      </c>
      <c r="B8" s="22">
        <f t="shared" si="3"/>
        <v>7</v>
      </c>
      <c r="C8" s="3"/>
      <c r="D8" s="1">
        <f t="shared" si="0"/>
        <v>700</v>
      </c>
      <c r="E8" s="1">
        <f t="shared" si="1"/>
        <v>137.328831582042</v>
      </c>
      <c r="F8" s="1">
        <f t="shared" si="4"/>
        <v>562.67116841795803</v>
      </c>
      <c r="G8" s="1">
        <f t="shared" si="5"/>
        <v>6286.1135316433047</v>
      </c>
      <c r="H8" s="1">
        <f t="shared" si="2"/>
        <v>3713.8864683566953</v>
      </c>
      <c r="J8" s="4" t="s">
        <v>14</v>
      </c>
      <c r="K8" s="6">
        <f>RATE(K10,-K9,K7)</f>
        <v>2.0051562079446531E-2</v>
      </c>
    </row>
    <row r="9" spans="1:11" x14ac:dyDescent="0.3">
      <c r="A9" s="19">
        <v>46255</v>
      </c>
      <c r="B9" s="23">
        <f t="shared" si="3"/>
        <v>8</v>
      </c>
      <c r="C9" s="20"/>
      <c r="D9" s="21">
        <f t="shared" si="0"/>
        <v>700</v>
      </c>
      <c r="E9" s="21">
        <f t="shared" si="1"/>
        <v>126.0463957181946</v>
      </c>
      <c r="F9" s="21">
        <f t="shared" si="4"/>
        <v>573.95360428180538</v>
      </c>
      <c r="G9" s="21">
        <f t="shared" si="5"/>
        <v>5712.1599273614993</v>
      </c>
      <c r="H9" s="21">
        <f t="shared" si="2"/>
        <v>4287.8400726385007</v>
      </c>
      <c r="J9" s="4" t="s">
        <v>7</v>
      </c>
      <c r="K9" s="28">
        <v>700</v>
      </c>
    </row>
    <row r="10" spans="1:11" x14ac:dyDescent="0.3">
      <c r="A10" s="2">
        <v>46255</v>
      </c>
      <c r="B10" s="22">
        <f t="shared" si="3"/>
        <v>9</v>
      </c>
      <c r="C10" s="3"/>
      <c r="D10" s="1">
        <f t="shared" si="0"/>
        <v>700</v>
      </c>
      <c r="E10" s="1">
        <f t="shared" si="1"/>
        <v>114.53772939121589</v>
      </c>
      <c r="F10" s="1">
        <f t="shared" si="4"/>
        <v>585.46227060878414</v>
      </c>
      <c r="G10" s="1">
        <f t="shared" si="5"/>
        <v>5126.6976567527154</v>
      </c>
      <c r="H10" s="1">
        <f t="shared" si="2"/>
        <v>4873.3023432472846</v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9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5600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5126.6976567527154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4873.3023432472846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46194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46313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2026-08-22T09:51:27Z</dcterms:modified>
</cp:coreProperties>
</file>