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30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2" i="5"/>
  <c r="K17" i="5" l="1"/>
  <c r="K2" i="5"/>
  <c r="K18" i="5" l="1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K13" i="5" l="1"/>
  <c r="K8" i="5" l="1"/>
  <c r="E2" i="5" s="1"/>
  <c r="F2" i="5" s="1"/>
  <c r="G2" i="5" s="1"/>
  <c r="H2" i="5" s="1"/>
  <c r="E3" i="5" l="1"/>
  <c r="F3" i="5" s="1"/>
  <c r="G3" i="5" s="1"/>
  <c r="E4" i="5" s="1"/>
  <c r="F4" i="5" s="1"/>
  <c r="G4" i="5" s="1"/>
  <c r="H4" i="5" s="1"/>
  <c r="H3" i="5" l="1"/>
  <c r="E5" i="5"/>
  <c r="F5" i="5" s="1"/>
  <c r="G5" i="5" s="1"/>
  <c r="H5" i="5" l="1"/>
  <c r="E6" i="5"/>
  <c r="F6" i="5" s="1"/>
  <c r="G6" i="5" s="1"/>
  <c r="H6" i="5" s="1"/>
  <c r="E7" i="5" l="1"/>
  <c r="F7" i="5" s="1"/>
  <c r="G7" i="5" s="1"/>
  <c r="H7" i="5" s="1"/>
  <c r="E8" i="5" l="1"/>
  <c r="F8" i="5" s="1"/>
  <c r="G8" i="5" s="1"/>
  <c r="H8" i="5" s="1"/>
  <c r="E9" i="5" l="1"/>
  <c r="F9" i="5" s="1"/>
  <c r="G9" i="5" s="1"/>
  <c r="H9" i="5" s="1"/>
  <c r="E10" i="5" l="1"/>
  <c r="F10" i="5" s="1"/>
  <c r="G10" i="5" s="1"/>
  <c r="H10" i="5" s="1"/>
  <c r="E11" i="5" l="1"/>
  <c r="F11" i="5" s="1"/>
  <c r="G11" i="5" s="1"/>
  <c r="H11" i="5" s="1"/>
  <c r="E12" i="5" l="1"/>
  <c r="F12" i="5" s="1"/>
  <c r="G12" i="5" s="1"/>
  <c r="H12" i="5" s="1"/>
  <c r="E13" i="5" l="1"/>
  <c r="F13" i="5" s="1"/>
  <c r="G13" i="5" s="1"/>
  <c r="H13" i="5" s="1"/>
  <c r="E14" i="5" l="1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l="1"/>
  <c r="K14" i="5"/>
  <c r="K15" i="5"/>
</calcChain>
</file>

<file path=xl/sharedStrings.xml><?xml version="1.0" encoding="utf-8"?>
<sst xmlns="http://schemas.openxmlformats.org/spreadsheetml/2006/main" count="27" uniqueCount="26">
  <si>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</si>
  <si>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</si>
  <si>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</si>
  <si>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</si>
  <si>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</si>
  <si>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</si>
  <si>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</si>
  <si>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</si>
  <si>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</si>
  <si>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</si>
  <si>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</si>
  <si>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</si>
  <si>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</si>
  <si>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</si>
  <si>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</si>
  <si>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</si>
  <si>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</si>
  <si>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</si>
  <si>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</si>
  <si>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</si>
  <si>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</si>
  <si>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Out(Int + Principal)</t>
  </si>
  <si>
    <t>Principal Outstanding</t>
  </si>
  <si>
    <t>Payment Day</t>
  </si>
  <si>
    <t>Moirangkhom_Group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</si>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</sst>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1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  <xf numFmtId="164" fontId="4" fillId="4" borderId="8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46305</v>
      </c>
      <c r="B2" s="22">
        <f>IF(A2&lt;&gt;"",1,"")</f>
        <v>1</v>
      </c>
      <c r="C2" s="3"/>
      <c r="D2" s="1">
        <f t="shared" ref="D2:D18" si="0">IF(AND($A2&lt;&gt;"",$B2&lt;&gt;""),$K$9,"")</f>
        <v>4200</v>
      </c>
      <c r="E2" s="1">
        <f>IF(AND($A2&lt;&gt;"",$B2&lt;&gt;""),$K$7*$K$8,"")</f>
        <v>1203.0937247667748</v>
      </c>
      <c r="F2" s="1">
        <f>IF(AND($A2&lt;&gt;"",$B2&lt;&gt;""),D2-E2,"")</f>
        <v>2996.9062752332252</v>
      </c>
      <c r="G2" s="1">
        <f>IF(AND($A2&lt;&gt;"",$B2&lt;&gt;""),$K$7-F2,"")</f>
        <v>57003.093724766775</v>
      </c>
      <c r="H2" s="1">
        <f>IF(AND($A2&lt;&gt;"",$B2&lt;&gt;""),$K$7-G2,"")</f>
        <v>2996.9062752332247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L60000W17-Moirangkhom_Group-N230</v>
      </c>
    </row>
    <row r="3" spans="1:11" x14ac:dyDescent="0.3">
      <c r="A3" s="19"/>
      <c r="B3" s="23" t="str">
        <f>IF(A3&lt;&gt;"",B2+1,"")</f>
        <v/>
      </c>
      <c r="C3" s="20"/>
      <c r="D3" s="21" t="str">
        <f t="shared" si="0"/>
        <v/>
      </c>
      <c r="E3" s="21" t="str">
        <f t="shared" ref="E3:E18" si="1">IF(AND($A3&lt;&gt;"",$B3&lt;&gt;""),G2*$K$8,"")</f>
        <v/>
      </c>
      <c r="F3" s="21" t="str">
        <f>IF(AND($A3&lt;&gt;"",$B3&lt;&gt;""),D3-E3,"")</f>
        <v/>
      </c>
      <c r="G3" s="21" t="str">
        <f>IF(AND($A3&lt;&gt;"",$B3&lt;&gt;""),G2-F3,"")</f>
        <v/>
      </c>
      <c r="H3" s="21" t="str">
        <f t="shared" ref="H3:H18" si="2">IF(AND($A3&lt;&gt;"",$B3&lt;&gt;""),$K$7-G3,"")</f>
        <v/>
      </c>
      <c r="J3" s="4" t="s">
        <v>10</v>
      </c>
      <c r="K3" s="26" t="s">
        <v>24</v>
      </c>
    </row>
    <row r="4" spans="1:11" x14ac:dyDescent="0.3">
      <c r="A4" s="2"/>
      <c r="B4" s="22" t="str">
        <f t="shared" ref="B4:B18" si="3">IF(A4&lt;&gt;"",B3+1,"")</f>
        <v/>
      </c>
      <c r="C4" s="3"/>
      <c r="D4" s="1" t="str">
        <f t="shared" si="0"/>
        <v/>
      </c>
      <c r="E4" s="1" t="str">
        <f t="shared" si="1"/>
        <v/>
      </c>
      <c r="F4" s="1" t="str">
        <f t="shared" ref="F4:F18" si="4">IF(AND($A4&lt;&gt;"",$B4&lt;&gt;""),D4-E4,"")</f>
        <v/>
      </c>
      <c r="G4" s="1" t="str">
        <f t="shared" ref="G4:G18" si="5">IF(AND($A4&lt;&gt;"",$B4&lt;&gt;""),G3-F4,"")</f>
        <v/>
      </c>
      <c r="H4" s="1" t="str">
        <f t="shared" si="2"/>
        <v/>
      </c>
      <c r="J4" s="4" t="s">
        <v>11</v>
      </c>
      <c r="K4" s="26"/>
    </row>
    <row r="5" spans="1:11" x14ac:dyDescent="0.3">
      <c r="A5" s="19"/>
      <c r="B5" s="23" t="str">
        <f t="shared" si="3"/>
        <v/>
      </c>
      <c r="C5" s="20"/>
      <c r="D5" s="21" t="str">
        <f t="shared" si="0"/>
        <v/>
      </c>
      <c r="E5" s="21" t="str">
        <f t="shared" si="1"/>
        <v/>
      </c>
      <c r="F5" s="21" t="str">
        <f t="shared" si="4"/>
        <v/>
      </c>
      <c r="G5" s="21" t="str">
        <f t="shared" si="5"/>
        <v/>
      </c>
      <c r="H5" s="21" t="str">
        <f t="shared" si="2"/>
        <v/>
      </c>
      <c r="J5" s="4" t="s">
        <v>12</v>
      </c>
      <c r="K5" s="26"/>
    </row>
    <row r="6" spans="1:11" x14ac:dyDescent="0.3">
      <c r="A6" s="2"/>
      <c r="B6" s="22" t="str">
        <f t="shared" si="3"/>
        <v/>
      </c>
      <c r="C6" s="3"/>
      <c r="D6" s="1" t="str">
        <f t="shared" si="0"/>
        <v/>
      </c>
      <c r="E6" s="1" t="str">
        <f t="shared" si="1"/>
        <v/>
      </c>
      <c r="F6" s="1" t="str">
        <f t="shared" si="4"/>
        <v/>
      </c>
      <c r="G6" s="1" t="str">
        <f t="shared" si="5"/>
        <v/>
      </c>
      <c r="H6" s="1" t="str">
        <f t="shared" si="2"/>
        <v/>
      </c>
      <c r="J6" s="4" t="s">
        <v>13</v>
      </c>
      <c r="K6" s="26"/>
    </row>
    <row r="7" spans="1:11" x14ac:dyDescent="0.3">
      <c r="A7" s="19"/>
      <c r="B7" s="23" t="str">
        <f t="shared" si="3"/>
        <v/>
      </c>
      <c r="C7" s="20"/>
      <c r="D7" s="21" t="str">
        <f t="shared" si="0"/>
        <v/>
      </c>
      <c r="E7" s="21" t="str">
        <f t="shared" si="1"/>
        <v/>
      </c>
      <c r="F7" s="21" t="str">
        <f t="shared" si="4"/>
        <v/>
      </c>
      <c r="G7" s="21" t="str">
        <f t="shared" si="5"/>
        <v/>
      </c>
      <c r="H7" s="21" t="str">
        <f t="shared" si="2"/>
        <v/>
      </c>
      <c r="J7" s="4" t="s">
        <v>6</v>
      </c>
      <c r="K7" s="27">
        <v>60000</v>
      </c>
    </row>
    <row r="8" spans="1:11" x14ac:dyDescent="0.3">
      <c r="A8" s="2"/>
      <c r="B8" s="22" t="str">
        <f t="shared" si="3"/>
        <v/>
      </c>
      <c r="C8" s="3"/>
      <c r="D8" s="1" t="str">
        <f t="shared" si="0"/>
        <v/>
      </c>
      <c r="E8" s="1" t="str">
        <f t="shared" si="1"/>
        <v/>
      </c>
      <c r="F8" s="1" t="str">
        <f t="shared" si="4"/>
        <v/>
      </c>
      <c r="G8" s="1" t="str">
        <f t="shared" si="5"/>
        <v/>
      </c>
      <c r="H8" s="1" t="str">
        <f t="shared" si="2"/>
        <v/>
      </c>
      <c r="J8" s="4" t="s">
        <v>14</v>
      </c>
      <c r="K8" s="6">
        <f>RATE(K10,-K9,K7)</f>
        <v>2.0051562079446247E-2</v>
      </c>
    </row>
    <row r="9" spans="1:11" x14ac:dyDescent="0.3">
      <c r="A9" s="19"/>
      <c r="B9" s="23" t="str">
        <f t="shared" si="3"/>
        <v/>
      </c>
      <c r="C9" s="20"/>
      <c r="D9" s="21" t="str">
        <f t="shared" si="0"/>
        <v/>
      </c>
      <c r="E9" s="21" t="str">
        <f t="shared" si="1"/>
        <v/>
      </c>
      <c r="F9" s="21" t="str">
        <f t="shared" si="4"/>
        <v/>
      </c>
      <c r="G9" s="21" t="str">
        <f t="shared" si="5"/>
        <v/>
      </c>
      <c r="H9" s="21" t="str">
        <f t="shared" si="2"/>
        <v/>
      </c>
      <c r="J9" s="4" t="s">
        <v>7</v>
      </c>
      <c r="K9" s="28">
        <v>4200</v>
      </c>
    </row>
    <row r="10" spans="1:11" x14ac:dyDescent="0.3">
      <c r="A10" s="2"/>
      <c r="B10" s="22" t="str">
        <f t="shared" si="3"/>
        <v/>
      </c>
      <c r="C10" s="3"/>
      <c r="D10" s="1" t="str">
        <f t="shared" si="0"/>
        <v/>
      </c>
      <c r="E10" s="1" t="str">
        <f t="shared" si="1"/>
        <v/>
      </c>
      <c r="F10" s="1" t="str">
        <f t="shared" si="4"/>
        <v/>
      </c>
      <c r="G10" s="1" t="str">
        <f t="shared" si="5"/>
        <v/>
      </c>
      <c r="H10" s="1" t="str">
        <f t="shared" si="2"/>
        <v/>
      </c>
      <c r="J10" s="4" t="s">
        <v>8</v>
      </c>
      <c r="K10" s="29">
        <v>17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1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21</v>
      </c>
      <c r="K13" s="11">
        <f>(K10*K9)-K9*K12</f>
        <v>67200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22</v>
      </c>
      <c r="K14" s="11">
        <f>IF(A2="", K9*K10, IFERROR(INDEX($G:$G, MATCH($K$12, $B:$B, 0)), 0))</f>
        <v>57003.093724766775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2996.9062752332247</v>
      </c>
    </row>
    <row r="16" spans="1:11" ht="17.25" thickBot="1" x14ac:dyDescent="0.35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23</v>
      </c>
      <c r="K16" s="30" t="s">
        <v>25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5" t="s">
        <v>18</v>
      </c>
      <c r="K17" s="16">
        <f>IF(A2,A2, "")</f>
        <v>46305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  <c r="J18" s="17" t="s">
        <v>19</v>
      </c>
      <c r="K18" s="18">
        <f xml:space="preserve"> IF(A2,(K17 + (17*7)),"")</f>
        <v>46424</v>
      </c>
    </row>
  </sheetData>
  <sheetProtection algorithmName="SHA-512" hashValue="fo2FK/OGc9mhEwmwYJgN4ko2hBr/ptI1SfQMiNu1sM3tkayvRhUpVkZ5lsJOIWAvWpWeYNFuWS6X3x49SQWuCQ==" saltValue="C9NhUIZE+m9H7Y+CLL0OU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2026-10-13T06:46:55Z</dcterms:modified>
</cp:coreProperties>
</file>