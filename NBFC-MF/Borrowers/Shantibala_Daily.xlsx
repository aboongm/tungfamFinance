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7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E82" i="4" l="1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E10" i="4" l="1"/>
  <c r="F10" i="4" s="1"/>
  <c r="G10" i="4" s="1"/>
  <c r="H9" i="4"/>
  <c r="H10" i="4" l="1"/>
  <c r="E11" i="4"/>
  <c r="F11" i="4" s="1"/>
  <c r="G11" i="4" s="1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E23" i="4" l="1"/>
  <c r="F23" i="4" s="1"/>
  <c r="G23" i="4" s="1"/>
  <c r="H22" i="4"/>
  <c r="H23" i="4" l="1"/>
  <c r="E24" i="4"/>
  <c r="F24" i="4" s="1"/>
  <c r="G24" i="4" s="1"/>
  <c r="H24" i="4" l="1"/>
  <c r="E25" i="4"/>
  <c r="F25" i="4" s="1"/>
  <c r="G25" i="4" s="1"/>
  <c r="E26" i="4" l="1"/>
  <c r="F26" i="4" s="1"/>
  <c r="G26" i="4" s="1"/>
  <c r="H25" i="4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E33" i="4" l="1"/>
  <c r="F33" i="4" s="1"/>
  <c r="G33" i="4" s="1"/>
  <c r="H32" i="4"/>
  <c r="H33" i="4" l="1"/>
  <c r="E34" i="4"/>
  <c r="F34" i="4" s="1"/>
  <c r="G34" i="4" s="1"/>
  <c r="E35" i="4" l="1"/>
  <c r="F35" i="4" s="1"/>
  <c r="H34" i="4"/>
  <c r="G35" i="4"/>
  <c r="E36" i="4" l="1"/>
  <c r="F36" i="4" s="1"/>
  <c r="G36" i="4" s="1"/>
  <c r="H35" i="4"/>
  <c r="E37" i="4" l="1"/>
  <c r="F37" i="4" s="1"/>
  <c r="G37" i="4" s="1"/>
  <c r="H36" i="4"/>
  <c r="E38" i="4" l="1"/>
  <c r="F38" i="4" s="1"/>
  <c r="G38" i="4" s="1"/>
  <c r="H37" i="4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H42" i="4"/>
  <c r="G43" i="4"/>
  <c r="H43" i="4" l="1"/>
  <c r="E44" i="4"/>
  <c r="F44" i="4" s="1"/>
  <c r="G44" i="4" s="1"/>
  <c r="G45" i="4" l="1"/>
  <c r="E45" i="4"/>
  <c r="F45" i="4" s="1"/>
  <c r="H44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E52" i="4" l="1"/>
  <c r="F52" i="4" s="1"/>
  <c r="G52" i="4" s="1"/>
  <c r="H51" i="4"/>
  <c r="H52" i="4" l="1"/>
  <c r="E53" i="4"/>
  <c r="F53" i="4" s="1"/>
  <c r="G53" i="4" s="1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H58" i="4" l="1"/>
  <c r="E59" i="4"/>
  <c r="F59" i="4" s="1"/>
  <c r="G59" i="4" s="1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E73" i="4" l="1"/>
  <c r="F73" i="4" s="1"/>
  <c r="G73" i="4" s="1"/>
  <c r="H72" i="4"/>
  <c r="E74" i="4" l="1"/>
  <c r="F74" i="4" s="1"/>
  <c r="G74" i="4" s="1"/>
  <c r="H73" i="4"/>
  <c r="H74" i="4" l="1"/>
  <c r="E75" i="4"/>
  <c r="F75" i="4" s="1"/>
  <c r="G75" i="4" s="1"/>
  <c r="H75" i="4" l="1"/>
  <c r="E76" i="4"/>
  <c r="F76" i="4" s="1"/>
  <c r="G76" i="4"/>
  <c r="E77" i="4" l="1"/>
  <c r="F77" i="4" s="1"/>
  <c r="G77" i="4" s="1"/>
  <c r="H76" i="4"/>
  <c r="H77" i="4" l="1"/>
  <c r="E78" i="4"/>
  <c r="F78" i="4" s="1"/>
  <c r="G78" i="4" s="1"/>
  <c r="E79" i="4" l="1"/>
  <c r="F79" i="4" s="1"/>
  <c r="G79" i="4" s="1"/>
  <c r="H78" i="4"/>
  <c r="H79" i="4" l="1"/>
  <c r="E80" i="4"/>
  <c r="F80" i="4" s="1"/>
  <c r="G80" i="4" s="1"/>
  <c r="H80" i="4" l="1"/>
  <c r="E81" i="4"/>
  <c r="F81" i="4" s="1"/>
  <c r="G81" i="4" s="1"/>
  <c r="K14" i="4" l="1"/>
  <c r="H81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<sst xmlns="http://schemas.openxmlformats.org/spreadsheetml/2006/main" count="25" uniqueCount="24">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</sst>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3" activePane="bottomLeft" state="frozen"/>
      <selection pane="bottomLeft" activeCell="A35" sqref="A3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46242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L20000D80-Shantibala-N207</v>
      </c>
    </row>
    <row r="3" spans="1:12" x14ac:dyDescent="0.3">
      <c r="A3" s="19">
        <v>46243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46244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46245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46246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46248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46250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46251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46254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46255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>
        <v>46256</v>
      </c>
      <c r="B12" s="23">
        <f t="shared" si="3"/>
        <v>11</v>
      </c>
      <c r="C12" s="3"/>
      <c r="D12" s="4">
        <f t="shared" si="0"/>
        <v>300</v>
      </c>
      <c r="E12" s="4">
        <f t="shared" si="1"/>
        <v>83.2524262580569</v>
      </c>
      <c r="F12" s="4">
        <f t="shared" si="5"/>
        <v>216.74757374194309</v>
      </c>
      <c r="G12" s="4">
        <f t="shared" si="4"/>
        <v>17670.244242673471</v>
      </c>
      <c r="H12" s="4">
        <f t="shared" si="2"/>
        <v>2329.7557573265294</v>
      </c>
      <c r="J12" s="9" t="s">
        <v>16</v>
      </c>
      <c r="K12" s="10">
        <f>IFERROR(MAX($B:$B),"")</f>
        <v>33</v>
      </c>
    </row>
    <row r="13" spans="1:12" x14ac:dyDescent="0.3">
      <c r="A13" s="19">
        <v>46258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82.243605904988712</v>
      </c>
      <c r="F13" s="21">
        <f t="shared" si="5"/>
        <v>217.75639409501127</v>
      </c>
      <c r="G13" s="21">
        <f t="shared" si="4"/>
        <v>17452.487848578457</v>
      </c>
      <c r="H13" s="21">
        <f t="shared" si="2"/>
        <v>2547.5121514215425</v>
      </c>
      <c r="J13" s="25" t="s">
        <v>21</v>
      </c>
      <c r="K13" s="12">
        <f>(K10*K9)-K9*K12</f>
        <v>14100</v>
      </c>
    </row>
    <row r="14" spans="1:12" x14ac:dyDescent="0.3">
      <c r="A14" s="2">
        <v>46259</v>
      </c>
      <c r="B14" s="23">
        <f t="shared" si="3"/>
        <v>13</v>
      </c>
      <c r="C14" s="3"/>
      <c r="D14" s="4">
        <f t="shared" si="0"/>
        <v>300</v>
      </c>
      <c r="E14" s="4">
        <f t="shared" si="1"/>
        <v>81.230090142937655</v>
      </c>
      <c r="F14" s="4">
        <f t="shared" si="5"/>
        <v>218.76990985706234</v>
      </c>
      <c r="G14" s="4">
        <f t="shared" si="4"/>
        <v>17233.717938721395</v>
      </c>
      <c r="H14" s="4">
        <f t="shared" si="2"/>
        <v>2766.2820612786054</v>
      </c>
      <c r="J14" s="11" t="s">
        <v>22</v>
      </c>
      <c r="K14" s="12">
        <f>IF(A2="", K9*K10, IFERROR(INDEX($G:$G, MATCH($K$12, $B:$B, 0)), 0))</f>
        <v>12638.053512615395</v>
      </c>
    </row>
    <row r="15" spans="1:12" ht="17.25" thickBot="1" x14ac:dyDescent="0.35">
      <c r="A15" s="19">
        <v>46260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80.211857117799113</v>
      </c>
      <c r="F15" s="21">
        <f t="shared" si="5"/>
        <v>219.78814288220087</v>
      </c>
      <c r="G15" s="21">
        <f t="shared" si="4"/>
        <v>17013.929795839194</v>
      </c>
      <c r="H15" s="21">
        <f t="shared" si="2"/>
        <v>2986.0702041608056</v>
      </c>
      <c r="J15" s="13" t="s">
        <v>6</v>
      </c>
      <c r="K15" s="14">
        <f>IFERROR(INDEX($H:$H, MATCH($K$12, $B:$B, 0)), 0)</f>
        <v>7361.9464873846046</v>
      </c>
    </row>
    <row r="16" spans="1:12" x14ac:dyDescent="0.3">
      <c r="A16" s="2">
        <v>46262</v>
      </c>
      <c r="B16" s="23">
        <f t="shared" si="3"/>
        <v>15</v>
      </c>
      <c r="C16" s="3"/>
      <c r="D16" s="4">
        <f t="shared" si="0"/>
        <v>300</v>
      </c>
      <c r="E16" s="4">
        <f t="shared" si="1"/>
        <v>79.188884873751732</v>
      </c>
      <c r="F16" s="4">
        <f t="shared" si="5"/>
        <v>220.81111512624827</v>
      </c>
      <c r="G16" s="4">
        <f t="shared" si="4"/>
        <v>16793.118680712945</v>
      </c>
      <c r="H16" s="4">
        <f t="shared" si="2"/>
        <v>3206.8813192870548</v>
      </c>
      <c r="J16" s="15" t="s">
        <v>18</v>
      </c>
      <c r="K16" s="16">
        <f>IF(A2,A2, "")</f>
        <v>46242</v>
      </c>
    </row>
    <row r="17" spans="1:11" x14ac:dyDescent="0.3">
      <c r="A17" s="19">
        <v>46264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78.161151352783904</v>
      </c>
      <c r="F17" s="21">
        <f t="shared" si="5"/>
        <v>221.83884864721608</v>
      </c>
      <c r="G17" s="21">
        <f t="shared" si="4"/>
        <v>16571.279832065728</v>
      </c>
      <c r="H17" s="21">
        <f t="shared" si="2"/>
        <v>3428.7201679342725</v>
      </c>
      <c r="J17" s="17" t="s">
        <v>19</v>
      </c>
      <c r="K17" s="18">
        <f xml:space="preserve"> IF(A2,(K16 + 120),"")</f>
        <v>46362</v>
      </c>
    </row>
    <row r="18" spans="1:11" x14ac:dyDescent="0.3">
      <c r="A18" s="2">
        <v>46267</v>
      </c>
      <c r="B18" s="23">
        <f t="shared" si="3"/>
        <v>17</v>
      </c>
      <c r="C18" s="3"/>
      <c r="D18" s="4">
        <f t="shared" si="0"/>
        <v>300</v>
      </c>
      <c r="E18" s="4">
        <f t="shared" si="1"/>
        <v>77.12863439421821</v>
      </c>
      <c r="F18" s="4">
        <f t="shared" si="5"/>
        <v>222.87136560578179</v>
      </c>
      <c r="G18" s="4">
        <f t="shared" si="4"/>
        <v>16348.408466459945</v>
      </c>
      <c r="H18" s="4">
        <f t="shared" si="2"/>
        <v>3651.591533540055</v>
      </c>
    </row>
    <row r="19" spans="1:11" x14ac:dyDescent="0.3">
      <c r="A19" s="19">
        <v>46267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76.091311734233543</v>
      </c>
      <c r="F19" s="21">
        <f t="shared" si="5"/>
        <v>223.90868826576644</v>
      </c>
      <c r="G19" s="21">
        <f t="shared" si="4"/>
        <v>16124.499778194178</v>
      </c>
      <c r="H19" s="21">
        <f t="shared" si="2"/>
        <v>3875.5002218058216</v>
      </c>
    </row>
    <row r="20" spans="1:11" x14ac:dyDescent="0.3">
      <c r="A20" s="2">
        <v>46269</v>
      </c>
      <c r="B20" s="23">
        <f t="shared" si="3"/>
        <v>19</v>
      </c>
      <c r="C20" s="3"/>
      <c r="D20" s="4">
        <f t="shared" si="0"/>
        <v>300</v>
      </c>
      <c r="E20" s="4">
        <f t="shared" si="1"/>
        <v>75.049161005385074</v>
      </c>
      <c r="F20" s="4">
        <f t="shared" si="5"/>
        <v>224.95083899461491</v>
      </c>
      <c r="G20" s="4">
        <f t="shared" si="4"/>
        <v>15899.548939199563</v>
      </c>
      <c r="H20" s="4">
        <f t="shared" si="2"/>
        <v>4100.4510608004366</v>
      </c>
      <c r="J20" s="22"/>
      <c r="K20" s="22"/>
    </row>
    <row r="21" spans="1:11" x14ac:dyDescent="0.3">
      <c r="A21" s="19">
        <v>46269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74.002159736121882</v>
      </c>
      <c r="F21" s="21">
        <f t="shared" si="5"/>
        <v>225.99784026387812</v>
      </c>
      <c r="G21" s="21">
        <f t="shared" si="4"/>
        <v>15673.551098935684</v>
      </c>
      <c r="H21" s="21">
        <f t="shared" si="2"/>
        <v>4326.4489010643156</v>
      </c>
    </row>
    <row r="22" spans="1:11" x14ac:dyDescent="0.3">
      <c r="A22" s="2">
        <v>46270</v>
      </c>
      <c r="B22" s="23">
        <f t="shared" si="3"/>
        <v>21</v>
      </c>
      <c r="C22" s="3"/>
      <c r="D22" s="4">
        <f t="shared" si="0"/>
        <v>300</v>
      </c>
      <c r="E22" s="4">
        <f t="shared" si="1"/>
        <v>72.95028535030248</v>
      </c>
      <c r="F22" s="4">
        <f t="shared" si="5"/>
        <v>227.04971464969753</v>
      </c>
      <c r="G22" s="4">
        <f t="shared" si="4"/>
        <v>15446.501384285986</v>
      </c>
      <c r="H22" s="4">
        <f t="shared" si="2"/>
        <v>4553.4986157140138</v>
      </c>
    </row>
    <row r="23" spans="1:11" x14ac:dyDescent="0.3">
      <c r="A23" s="19">
        <v>46272</v>
      </c>
      <c r="B23" s="24">
        <f t="shared" si="3"/>
        <v>22</v>
      </c>
      <c r="C23" s="20"/>
      <c r="D23" s="21">
        <f t="shared" si="0"/>
        <v>300</v>
      </c>
      <c r="E23" s="21">
        <f t="shared" si="1"/>
        <v>71.893515166707971</v>
      </c>
      <c r="F23" s="21">
        <f t="shared" si="5"/>
        <v>228.10648483329203</v>
      </c>
      <c r="G23" s="21">
        <f t="shared" si="4"/>
        <v>15218.394899452695</v>
      </c>
      <c r="H23" s="21">
        <f t="shared" si="2"/>
        <v>4781.6051005473055</v>
      </c>
    </row>
    <row r="24" spans="1:11" x14ac:dyDescent="0.3">
      <c r="A24" s="2">
        <v>46272</v>
      </c>
      <c r="B24" s="23">
        <f t="shared" si="3"/>
        <v>23</v>
      </c>
      <c r="C24" s="3"/>
      <c r="D24" s="4">
        <f t="shared" si="0"/>
        <v>300</v>
      </c>
      <c r="E24" s="4">
        <f t="shared" si="1"/>
        <v>70.831826398552991</v>
      </c>
      <c r="F24" s="4">
        <f t="shared" si="5"/>
        <v>229.16817360144699</v>
      </c>
      <c r="G24" s="4">
        <f t="shared" si="4"/>
        <v>14989.226725851247</v>
      </c>
      <c r="H24" s="4">
        <f t="shared" si="2"/>
        <v>5010.7732741487525</v>
      </c>
    </row>
    <row r="25" spans="1:11" x14ac:dyDescent="0.3">
      <c r="A25" s="19">
        <v>46273</v>
      </c>
      <c r="B25" s="24">
        <f t="shared" si="3"/>
        <v>24</v>
      </c>
      <c r="C25" s="20"/>
      <c r="D25" s="21">
        <f t="shared" si="0"/>
        <v>300</v>
      </c>
      <c r="E25" s="21">
        <f t="shared" si="1"/>
        <v>69.765196152994378</v>
      </c>
      <c r="F25" s="21">
        <f t="shared" si="5"/>
        <v>230.23480384700562</v>
      </c>
      <c r="G25" s="21">
        <f t="shared" si="4"/>
        <v>14758.991922004241</v>
      </c>
      <c r="H25" s="21">
        <f t="shared" si="2"/>
        <v>5241.0080779957589</v>
      </c>
    </row>
    <row r="26" spans="1:11" x14ac:dyDescent="0.3">
      <c r="A26" s="2">
        <v>46274</v>
      </c>
      <c r="B26" s="23">
        <f t="shared" si="3"/>
        <v>25</v>
      </c>
      <c r="C26" s="3"/>
      <c r="D26" s="4">
        <f t="shared" si="0"/>
        <v>300</v>
      </c>
      <c r="E26" s="4">
        <f t="shared" si="1"/>
        <v>68.693601430637528</v>
      </c>
      <c r="F26" s="4">
        <f t="shared" si="5"/>
        <v>231.30639856936247</v>
      </c>
      <c r="G26" s="4">
        <f t="shared" si="4"/>
        <v>14527.685523434879</v>
      </c>
      <c r="H26" s="4">
        <f t="shared" si="2"/>
        <v>5472.3144765651214</v>
      </c>
    </row>
    <row r="27" spans="1:11" x14ac:dyDescent="0.3">
      <c r="A27" s="19">
        <v>46275</v>
      </c>
      <c r="B27" s="24">
        <f t="shared" si="3"/>
        <v>26</v>
      </c>
      <c r="C27" s="20"/>
      <c r="D27" s="21">
        <f t="shared" si="0"/>
        <v>300</v>
      </c>
      <c r="E27" s="21">
        <f t="shared" si="1"/>
        <v>67.617019125040443</v>
      </c>
      <c r="F27" s="21">
        <f t="shared" si="5"/>
        <v>232.38298087495957</v>
      </c>
      <c r="G27" s="21">
        <f t="shared" si="4"/>
        <v>14295.302542559919</v>
      </c>
      <c r="H27" s="21">
        <f t="shared" si="2"/>
        <v>5704.6974574400811</v>
      </c>
    </row>
    <row r="28" spans="1:11" x14ac:dyDescent="0.3">
      <c r="A28" s="2">
        <v>46282</v>
      </c>
      <c r="B28" s="23">
        <f t="shared" si="3"/>
        <v>27</v>
      </c>
      <c r="C28" s="3"/>
      <c r="D28" s="4">
        <f t="shared" si="0"/>
        <v>300</v>
      </c>
      <c r="E28" s="4">
        <f t="shared" si="1"/>
        <v>66.53542602221556</v>
      </c>
      <c r="F28" s="4">
        <f t="shared" si="5"/>
        <v>233.46457397778443</v>
      </c>
      <c r="G28" s="4">
        <f t="shared" si="4"/>
        <v>14061.837968582135</v>
      </c>
      <c r="H28" s="4">
        <f t="shared" si="2"/>
        <v>5938.1620314178654</v>
      </c>
    </row>
    <row r="29" spans="1:11" x14ac:dyDescent="0.3">
      <c r="A29" s="19">
        <v>46282</v>
      </c>
      <c r="B29" s="24">
        <f t="shared" si="3"/>
        <v>28</v>
      </c>
      <c r="C29" s="20"/>
      <c r="D29" s="21">
        <f t="shared" si="0"/>
        <v>300</v>
      </c>
      <c r="E29" s="21">
        <f t="shared" si="1"/>
        <v>65.44879880012914</v>
      </c>
      <c r="F29" s="21">
        <f t="shared" si="5"/>
        <v>234.55120119987086</v>
      </c>
      <c r="G29" s="21">
        <f t="shared" si="4"/>
        <v>13827.286767382264</v>
      </c>
      <c r="H29" s="21">
        <f t="shared" si="2"/>
        <v>6172.7132326177361</v>
      </c>
    </row>
    <row r="30" spans="1:11" x14ac:dyDescent="0.3">
      <c r="A30" s="2">
        <v>46282</v>
      </c>
      <c r="B30" s="23">
        <f t="shared" si="3"/>
        <v>29</v>
      </c>
      <c r="C30" s="3"/>
      <c r="D30" s="4">
        <f t="shared" si="0"/>
        <v>300</v>
      </c>
      <c r="E30" s="4">
        <f t="shared" si="1"/>
        <v>64.357114028198367</v>
      </c>
      <c r="F30" s="4">
        <f t="shared" si="5"/>
        <v>235.64288597180163</v>
      </c>
      <c r="G30" s="4">
        <f t="shared" si="4"/>
        <v>13591.643881410462</v>
      </c>
      <c r="H30" s="4">
        <f t="shared" si="2"/>
        <v>6408.3561185895378</v>
      </c>
    </row>
    <row r="31" spans="1:11" x14ac:dyDescent="0.3">
      <c r="A31" s="19">
        <v>46282</v>
      </c>
      <c r="B31" s="24">
        <f t="shared" si="3"/>
        <v>30</v>
      </c>
      <c r="C31" s="20"/>
      <c r="D31" s="21">
        <f t="shared" si="0"/>
        <v>300</v>
      </c>
      <c r="E31" s="21">
        <f t="shared" si="1"/>
        <v>63.260348166786208</v>
      </c>
      <c r="F31" s="21">
        <f t="shared" si="5"/>
        <v>236.7396518332138</v>
      </c>
      <c r="G31" s="21">
        <f t="shared" si="4"/>
        <v>13354.904229577249</v>
      </c>
      <c r="H31" s="21">
        <f t="shared" si="2"/>
        <v>6645.0957704227512</v>
      </c>
    </row>
    <row r="32" spans="1:11" x14ac:dyDescent="0.3">
      <c r="A32" s="2">
        <v>46282</v>
      </c>
      <c r="B32" s="23">
        <f t="shared" si="3"/>
        <v>31</v>
      </c>
      <c r="C32" s="3"/>
      <c r="D32" s="4">
        <f t="shared" si="0"/>
        <v>300</v>
      </c>
      <c r="E32" s="4">
        <f t="shared" si="1"/>
        <v>62.15847756669374</v>
      </c>
      <c r="F32" s="4">
        <f t="shared" si="5"/>
        <v>237.84152243330627</v>
      </c>
      <c r="G32" s="4">
        <f t="shared" si="4"/>
        <v>13117.062707143943</v>
      </c>
      <c r="H32" s="4">
        <f t="shared" si="2"/>
        <v>6882.937292856057</v>
      </c>
    </row>
    <row r="33" spans="1:8" x14ac:dyDescent="0.3">
      <c r="A33" s="19">
        <v>46288</v>
      </c>
      <c r="B33" s="24">
        <f t="shared" si="3"/>
        <v>32</v>
      </c>
      <c r="C33" s="20"/>
      <c r="D33" s="21">
        <f t="shared" si="0"/>
        <v>300</v>
      </c>
      <c r="E33" s="21">
        <f t="shared" si="1"/>
        <v>61.051478468650274</v>
      </c>
      <c r="F33" s="21">
        <f t="shared" si="5"/>
        <v>238.94852153134974</v>
      </c>
      <c r="G33" s="21">
        <f t="shared" si="4"/>
        <v>12878.114185612594</v>
      </c>
      <c r="H33" s="21">
        <f t="shared" si="2"/>
        <v>7121.8858143874058</v>
      </c>
    </row>
    <row r="34" spans="1:8" x14ac:dyDescent="0.3">
      <c r="A34" s="2">
        <v>46289</v>
      </c>
      <c r="B34" s="23">
        <f t="shared" si="3"/>
        <v>33</v>
      </c>
      <c r="C34" s="3"/>
      <c r="D34" s="4">
        <f t="shared" ref="D34:D65" si="6">IF(AND($A34&lt;&gt;"",$B34&lt;&gt;""),$K$9,"")</f>
        <v>300</v>
      </c>
      <c r="E34" s="4">
        <f t="shared" si="1"/>
        <v>59.939327002801001</v>
      </c>
      <c r="F34" s="4">
        <f t="shared" si="5"/>
        <v>240.06067299719899</v>
      </c>
      <c r="G34" s="4">
        <f t="shared" si="4"/>
        <v>12638.053512615395</v>
      </c>
      <c r="H34" s="4">
        <f t="shared" si="2"/>
        <v>7361.9464873846046</v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2026-09-30T06:32:51Z</dcterms:modified>
</cp:coreProperties>
</file>