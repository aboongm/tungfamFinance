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2"/>
  </bookViews>
  <sheets>
    <sheet name="Loan1" sheetId="5" r:id="rId1"/>
    <sheet name="198" sheetId="6" r:id="rId2"/>
    <sheet name="226" sheetId="7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6" i="7" l="1"/>
  <c r="K17" i="7" s="1"/>
  <c r="K8" i="7"/>
  <c r="K2" i="7"/>
  <c r="B2" i="7"/>
  <c r="D2" i="7" l="1"/>
  <c r="F2" i="7" s="1"/>
  <c r="G2" i="7" s="1"/>
  <c r="H2" i="7" s="1"/>
  <c r="E2" i="7"/>
  <c r="B3" i="7"/>
  <c r="K16" i="6"/>
  <c r="K17" i="6" s="1"/>
  <c r="K8" i="6"/>
  <c r="K2" i="6"/>
  <c r="E2" i="6"/>
  <c r="B2" i="6"/>
  <c r="D2" i="6" s="1"/>
  <c r="D3" i="7" l="1"/>
  <c r="B4" i="7"/>
  <c r="E3" i="7"/>
  <c r="F3" i="7" s="1"/>
  <c r="G3" i="7" s="1"/>
  <c r="H3" i="7" s="1"/>
  <c r="F2" i="6"/>
  <c r="B3" i="6"/>
  <c r="G2" i="6"/>
  <c r="H2" i="6" s="1"/>
  <c r="B14" i="5"/>
  <c r="B15" i="5" s="1"/>
  <c r="B16" i="5" s="1"/>
  <c r="B17" i="5" s="1"/>
  <c r="B18" i="5" s="1"/>
  <c r="B13" i="5"/>
  <c r="B12" i="5"/>
  <c r="B11" i="5"/>
  <c r="B10" i="5"/>
  <c r="B9" i="5"/>
  <c r="B2" i="5"/>
  <c r="B3" i="5" s="1"/>
  <c r="B4" i="5" s="1"/>
  <c r="B5" i="5" s="1"/>
  <c r="B6" i="5" s="1"/>
  <c r="B7" i="5" s="1"/>
  <c r="B8" i="5" s="1"/>
  <c r="B5" i="7" l="1"/>
  <c r="E4" i="7"/>
  <c r="D4" i="7"/>
  <c r="F4" i="7" s="1"/>
  <c r="G4" i="7" s="1"/>
  <c r="H4" i="7" s="1"/>
  <c r="B4" i="6"/>
  <c r="D3" i="6"/>
  <c r="E3" i="6"/>
  <c r="K16" i="5"/>
  <c r="K2" i="5"/>
  <c r="D5" i="7" l="1"/>
  <c r="B6" i="7"/>
  <c r="E5" i="7"/>
  <c r="F3" i="6"/>
  <c r="G3" i="6" s="1"/>
  <c r="H3" i="6" s="1"/>
  <c r="B5" i="6"/>
  <c r="E4" i="6"/>
  <c r="D4" i="6"/>
  <c r="K17" i="5"/>
  <c r="K12" i="5"/>
  <c r="K13" i="5" s="1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2" i="5"/>
  <c r="F5" i="7" l="1"/>
  <c r="G5" i="7" s="1"/>
  <c r="H5" i="7" s="1"/>
  <c r="B7" i="7"/>
  <c r="D6" i="7"/>
  <c r="F4" i="6"/>
  <c r="G4" i="6" s="1"/>
  <c r="H4" i="6" s="1"/>
  <c r="B6" i="6"/>
  <c r="D5" i="6"/>
  <c r="E5" i="6"/>
  <c r="H2" i="5"/>
  <c r="E3" i="5"/>
  <c r="F3" i="5" s="1"/>
  <c r="G3" i="5" s="1"/>
  <c r="E4" i="5" s="1"/>
  <c r="F4" i="5" s="1"/>
  <c r="G4" i="5" s="1"/>
  <c r="H4" i="5" s="1"/>
  <c r="K8" i="5"/>
  <c r="E2" i="5" s="1"/>
  <c r="F2" i="5" s="1"/>
  <c r="G2" i="5" s="1"/>
  <c r="F6" i="7" l="1"/>
  <c r="G6" i="7" s="1"/>
  <c r="H6" i="7" s="1"/>
  <c r="E6" i="7"/>
  <c r="B8" i="7"/>
  <c r="D7" i="7"/>
  <c r="F5" i="6"/>
  <c r="G5" i="6" s="1"/>
  <c r="H5" i="6" s="1"/>
  <c r="B7" i="6"/>
  <c r="E6" i="6"/>
  <c r="D6" i="6"/>
  <c r="H3" i="5"/>
  <c r="E7" i="7" l="1"/>
  <c r="F7" i="7" s="1"/>
  <c r="G7" i="7" s="1"/>
  <c r="H7" i="7" s="1"/>
  <c r="B9" i="7"/>
  <c r="D8" i="7"/>
  <c r="F6" i="6"/>
  <c r="G6" i="6" s="1"/>
  <c r="H6" i="6" s="1"/>
  <c r="E7" i="6"/>
  <c r="D7" i="6"/>
  <c r="F7" i="6" s="1"/>
  <c r="G7" i="6" s="1"/>
  <c r="H7" i="6" s="1"/>
  <c r="B8" i="6"/>
  <c r="E5" i="5"/>
  <c r="F5" i="5" s="1"/>
  <c r="G5" i="5" s="1"/>
  <c r="E8" i="7" l="1"/>
  <c r="F8" i="7" s="1"/>
  <c r="G8" i="7" s="1"/>
  <c r="H8" i="7" s="1"/>
  <c r="D9" i="7"/>
  <c r="B10" i="7"/>
  <c r="B9" i="6"/>
  <c r="E8" i="6"/>
  <c r="D8" i="6"/>
  <c r="H5" i="5"/>
  <c r="E6" i="5"/>
  <c r="F6" i="5" s="1"/>
  <c r="G6" i="5" s="1"/>
  <c r="H6" i="5" s="1"/>
  <c r="E9" i="7" l="1"/>
  <c r="F9" i="7"/>
  <c r="G9" i="7" s="1"/>
  <c r="H9" i="7" s="1"/>
  <c r="B11" i="7"/>
  <c r="D10" i="7"/>
  <c r="F8" i="6"/>
  <c r="G8" i="6" s="1"/>
  <c r="H8" i="6" s="1"/>
  <c r="D9" i="6"/>
  <c r="B10" i="6"/>
  <c r="E9" i="6"/>
  <c r="F9" i="6" s="1"/>
  <c r="G9" i="6" s="1"/>
  <c r="H9" i="6" s="1"/>
  <c r="E7" i="5"/>
  <c r="F7" i="5" s="1"/>
  <c r="G7" i="5" s="1"/>
  <c r="H7" i="5" s="1"/>
  <c r="E10" i="7" l="1"/>
  <c r="F10" i="7"/>
  <c r="G10" i="7" s="1"/>
  <c r="H10" i="7" s="1"/>
  <c r="D11" i="7"/>
  <c r="B12" i="7"/>
  <c r="B11" i="6"/>
  <c r="E10" i="6"/>
  <c r="D10" i="6"/>
  <c r="F10" i="6" s="1"/>
  <c r="G10" i="6" s="1"/>
  <c r="H10" i="6" s="1"/>
  <c r="E8" i="5"/>
  <c r="F8" i="5" s="1"/>
  <c r="G8" i="5" s="1"/>
  <c r="E11" i="7" l="1"/>
  <c r="F11" i="7" s="1"/>
  <c r="G11" i="7" s="1"/>
  <c r="D12" i="7"/>
  <c r="B13" i="7"/>
  <c r="D11" i="6"/>
  <c r="B12" i="6"/>
  <c r="E11" i="6"/>
  <c r="F11" i="6" s="1"/>
  <c r="G11" i="6" s="1"/>
  <c r="H11" i="6" s="1"/>
  <c r="H8" i="5"/>
  <c r="E9" i="5"/>
  <c r="F9" i="5" s="1"/>
  <c r="G9" i="5" s="1"/>
  <c r="H9" i="5" s="1"/>
  <c r="H11" i="7" l="1"/>
  <c r="E12" i="7"/>
  <c r="F12" i="7" s="1"/>
  <c r="G12" i="7" s="1"/>
  <c r="H12" i="7" s="1"/>
  <c r="B14" i="7"/>
  <c r="E13" i="7"/>
  <c r="D13" i="7"/>
  <c r="F13" i="7" s="1"/>
  <c r="G13" i="7" s="1"/>
  <c r="H13" i="7" s="1"/>
  <c r="B13" i="6"/>
  <c r="E12" i="6"/>
  <c r="D12" i="6"/>
  <c r="E10" i="5"/>
  <c r="F10" i="5" s="1"/>
  <c r="G10" i="5" s="1"/>
  <c r="H10" i="5" s="1"/>
  <c r="B15" i="7" l="1"/>
  <c r="D14" i="7"/>
  <c r="E14" i="7"/>
  <c r="F12" i="6"/>
  <c r="G12" i="6" s="1"/>
  <c r="H12" i="6" s="1"/>
  <c r="B14" i="6"/>
  <c r="E13" i="6"/>
  <c r="F13" i="6" s="1"/>
  <c r="G13" i="6" s="1"/>
  <c r="H13" i="6" s="1"/>
  <c r="D13" i="6"/>
  <c r="E11" i="5"/>
  <c r="F11" i="5" s="1"/>
  <c r="G11" i="5" s="1"/>
  <c r="F14" i="7" l="1"/>
  <c r="G14" i="7" s="1"/>
  <c r="H14" i="7" s="1"/>
  <c r="E15" i="7"/>
  <c r="D15" i="7"/>
  <c r="F15" i="7" s="1"/>
  <c r="G15" i="7" s="1"/>
  <c r="H15" i="7" s="1"/>
  <c r="B16" i="7"/>
  <c r="D14" i="6"/>
  <c r="B15" i="6"/>
  <c r="E14" i="6"/>
  <c r="H11" i="5"/>
  <c r="E12" i="5"/>
  <c r="F12" i="5" s="1"/>
  <c r="G12" i="5" s="1"/>
  <c r="H12" i="5" s="1"/>
  <c r="D16" i="7" l="1"/>
  <c r="B17" i="7"/>
  <c r="E16" i="7"/>
  <c r="F14" i="6"/>
  <c r="G14" i="6" s="1"/>
  <c r="H14" i="6" s="1"/>
  <c r="E15" i="6"/>
  <c r="D15" i="6"/>
  <c r="B16" i="6"/>
  <c r="F15" i="6"/>
  <c r="G15" i="6" s="1"/>
  <c r="H15" i="6" s="1"/>
  <c r="E13" i="5"/>
  <c r="F13" i="5" s="1"/>
  <c r="G13" i="5" s="1"/>
  <c r="H13" i="5" s="1"/>
  <c r="F16" i="7" l="1"/>
  <c r="G16" i="7" s="1"/>
  <c r="H16" i="7" s="1"/>
  <c r="B18" i="7"/>
  <c r="D17" i="7"/>
  <c r="B17" i="6"/>
  <c r="E16" i="6"/>
  <c r="D16" i="6"/>
  <c r="E14" i="5"/>
  <c r="F14" i="5" s="1"/>
  <c r="G14" i="5" s="1"/>
  <c r="H14" i="5" s="1"/>
  <c r="E17" i="7" l="1"/>
  <c r="F17" i="7"/>
  <c r="G17" i="7" s="1"/>
  <c r="H17" i="7" s="1"/>
  <c r="D18" i="7"/>
  <c r="E18" i="7"/>
  <c r="K12" i="7"/>
  <c r="F16" i="6"/>
  <c r="G16" i="6" s="1"/>
  <c r="H16" i="6" s="1"/>
  <c r="B18" i="6"/>
  <c r="E17" i="6"/>
  <c r="D17" i="6"/>
  <c r="F17" i="6" s="1"/>
  <c r="G17" i="6" s="1"/>
  <c r="H17" i="6" s="1"/>
  <c r="E15" i="5"/>
  <c r="F15" i="5" s="1"/>
  <c r="G15" i="5" s="1"/>
  <c r="H15" i="5" s="1"/>
  <c r="F18" i="7" l="1"/>
  <c r="G18" i="7" s="1"/>
  <c r="H18" i="7" s="1"/>
  <c r="K13" i="7"/>
  <c r="K15" i="7"/>
  <c r="K14" i="7"/>
  <c r="D18" i="6"/>
  <c r="E18" i="6"/>
  <c r="F18" i="6" s="1"/>
  <c r="G18" i="6" s="1"/>
  <c r="H18" i="6" s="1"/>
  <c r="K12" i="6"/>
  <c r="E16" i="5"/>
  <c r="F16" i="5" s="1"/>
  <c r="G16" i="5" s="1"/>
  <c r="H16" i="5" s="1"/>
  <c r="K15" i="6" l="1"/>
  <c r="K13" i="6"/>
  <c r="K14" i="6"/>
  <c r="E17" i="5"/>
  <c r="F17" i="5" s="1"/>
  <c r="G17" i="5" s="1"/>
  <c r="H17" i="5" l="1"/>
  <c r="E18" i="5"/>
  <c r="F18" i="5" s="1"/>
  <c r="G18" i="5" s="1"/>
  <c r="H18" i="5" s="1"/>
  <c r="K14" i="5" l="1"/>
  <c r="K15" i="5"/>
</calcChain>
</file>

<file path=xl/sharedStrings.xml><?xml version="1.0" encoding="utf-8"?>
<sst xmlns="http://schemas.openxmlformats.org/spreadsheetml/2006/main" count="75" uniqueCount="24">
  <si>
    <t>Date</t>
  </si>
  <si>
    <t>EMI Paid (₹)</t>
  </si>
  <si>
    <t>Interest Portion (₹)</t>
  </si>
  <si>
    <t>Principal Portion (₹)</t>
  </si>
  <si>
    <t>Outstanding Principal (₹)</t>
  </si>
  <si>
    <t>Repaid Principal</t>
  </si>
  <si>
    <t>Loan Principal</t>
  </si>
  <si>
    <t>EMI</t>
  </si>
  <si>
    <t>Weeks</t>
  </si>
  <si>
    <t>Profile Details</t>
  </si>
  <si>
    <t>Name:</t>
  </si>
  <si>
    <t>Aadhar:</t>
  </si>
  <si>
    <t>Address:</t>
  </si>
  <si>
    <t>Mobile:</t>
  </si>
  <si>
    <t>Weekly Rate</t>
  </si>
  <si>
    <t>Week</t>
  </si>
  <si>
    <t>LatestWeek</t>
  </si>
  <si>
    <t>Code</t>
  </si>
  <si>
    <t>Start Date</t>
  </si>
  <si>
    <t>End Date</t>
  </si>
  <si>
    <t>Reference Id</t>
  </si>
  <si>
    <t>Mutum_Sandhyarani</t>
  </si>
  <si>
    <t>Out(Int + Principal)</t>
  </si>
  <si>
    <t>Principal Outstanding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</si>
</sst>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d\-mmm\-yyyy;@"/>
    <numFmt numFmtId="165" formatCode="_ [$₹-4009]\ * #,##0.00_ ;_ [$₹-4009]\ * \-#,##0.00_ ;_ [$₹-4009]\ * &quot;-&quot;??_ ;_ @_ "/>
    <numFmt numFmtId="166" formatCode="0.0000"/>
  </numFmts>
  <fonts count="8" x14ac:knownFonts="1">
    <font>
      <sz val="11"/>
      <color theme="1"/>
      <name val="Calibri"/>
      <family val="2"/>
      <scheme val="minor"/>
    </font>
    <font>
      <sz val="11"/>
      <color theme="0" tint="-4.9989318521683403E-2"/>
      <name val="Segoe UI"/>
      <family val="2"/>
    </font>
    <font>
      <sz val="11"/>
      <name val="Segoe UI"/>
      <family val="2"/>
    </font>
    <font>
      <sz val="11"/>
      <color theme="0" tint="-0.14999847407452621"/>
      <name val="Segoe UI"/>
      <family val="2"/>
    </font>
    <font>
      <b/>
      <sz val="11"/>
      <color theme="0" tint="-0.14999847407452621"/>
      <name val="Segoe UI"/>
      <family val="2"/>
    </font>
    <font>
      <sz val="9"/>
      <color theme="0" tint="-0.14999847407452621"/>
      <name val="Segoe UI"/>
      <family val="2"/>
    </font>
    <font>
      <sz val="11"/>
      <color theme="0"/>
      <name val="Segoe UI"/>
      <family val="2"/>
    </font>
    <font>
      <b/>
      <sz val="11"/>
      <color theme="0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  <border>
      <left style="thin">
        <color theme="4" tint="0.59996337778862885"/>
      </left>
      <right style="thin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/>
      <bottom style="thin">
        <color theme="4" tint="0.59996337778862885"/>
      </bottom>
      <diagonal/>
    </border>
  </borders>
  <cellStyleXfs count="1">
    <xf numFmtId="0" fontId="0" fillId="0" borderId="0"/>
  </cellStyleXfs>
  <cellXfs count="30">
    <xf numFmtId="0" fontId="0" fillId="0" borderId="0" xfId="0"/>
    <xf numFmtId="165" fontId="2" fillId="3" borderId="1" xfId="0" applyNumberFormat="1" applyFont="1" applyFill="1" applyBorder="1" applyAlignment="1" applyProtection="1">
      <alignment horizontal="center" vertical="center"/>
    </xf>
    <xf numFmtId="164" fontId="2" fillId="3" borderId="1" xfId="0" applyNumberFormat="1" applyFont="1" applyFill="1" applyBorder="1" applyAlignment="1" applyProtection="1">
      <alignment horizontal="center" vertical="center"/>
      <protection locked="0"/>
    </xf>
    <xf numFmtId="1" fontId="2" fillId="3" borderId="1" xfId="0" applyNumberFormat="1" applyFont="1" applyFill="1" applyBorder="1" applyAlignment="1" applyProtection="1">
      <alignment horizontal="center" vertical="center"/>
      <protection locked="0"/>
    </xf>
    <xf numFmtId="165" fontId="3" fillId="4" borderId="1" xfId="0" applyNumberFormat="1" applyFont="1" applyFill="1" applyBorder="1" applyAlignment="1" applyProtection="1">
      <alignment horizontal="left" vertical="center"/>
    </xf>
    <xf numFmtId="0" fontId="3" fillId="4" borderId="0" xfId="0" applyFont="1" applyFill="1" applyProtection="1">
      <protection locked="0"/>
    </xf>
    <xf numFmtId="166" fontId="3" fillId="4" borderId="1" xfId="0" applyNumberFormat="1" applyFont="1" applyFill="1" applyBorder="1" applyAlignment="1" applyProtection="1">
      <alignment horizontal="right" vertical="center"/>
    </xf>
    <xf numFmtId="0" fontId="1" fillId="2" borderId="0" xfId="0" applyFont="1" applyFill="1" applyAlignment="1" applyProtection="1">
      <alignment horizontal="center" vertical="center" wrapText="1"/>
    </xf>
    <xf numFmtId="165" fontId="4" fillId="5" borderId="2" xfId="0" applyNumberFormat="1" applyFont="1" applyFill="1" applyBorder="1" applyAlignment="1" applyProtection="1">
      <alignment horizontal="left" vertical="center"/>
    </xf>
    <xf numFmtId="1" fontId="4" fillId="5" borderId="3" xfId="0" applyNumberFormat="1" applyFont="1" applyFill="1" applyBorder="1" applyAlignment="1" applyProtection="1">
      <alignment horizontal="right" vertical="center"/>
    </xf>
    <xf numFmtId="165" fontId="4" fillId="5" borderId="4" xfId="0" applyNumberFormat="1" applyFont="1" applyFill="1" applyBorder="1" applyAlignment="1" applyProtection="1">
      <alignment horizontal="left" vertical="center"/>
    </xf>
    <xf numFmtId="165" fontId="4" fillId="5" borderId="5" xfId="0" applyNumberFormat="1" applyFont="1" applyFill="1" applyBorder="1" applyAlignment="1" applyProtection="1">
      <alignment horizontal="center" vertical="center"/>
    </xf>
    <xf numFmtId="165" fontId="4" fillId="5" borderId="6" xfId="0" applyNumberFormat="1" applyFont="1" applyFill="1" applyBorder="1" applyAlignment="1" applyProtection="1">
      <alignment horizontal="left" vertical="center"/>
    </xf>
    <xf numFmtId="165" fontId="4" fillId="5" borderId="7" xfId="0" applyNumberFormat="1" applyFont="1" applyFill="1" applyBorder="1" applyAlignment="1" applyProtection="1">
      <alignment horizontal="center" vertical="center"/>
    </xf>
    <xf numFmtId="0" fontId="3" fillId="4" borderId="0" xfId="0" applyFont="1" applyFill="1" applyProtection="1"/>
    <xf numFmtId="0" fontId="3" fillId="4" borderId="8" xfId="0" applyFont="1" applyFill="1" applyBorder="1" applyProtection="1"/>
    <xf numFmtId="164" fontId="4" fillId="4" borderId="8" xfId="0" applyNumberFormat="1" applyFont="1" applyFill="1" applyBorder="1" applyProtection="1"/>
    <xf numFmtId="0" fontId="3" fillId="4" borderId="1" xfId="0" applyFont="1" applyFill="1" applyBorder="1" applyProtection="1"/>
    <xf numFmtId="164" fontId="4" fillId="4" borderId="1" xfId="0" applyNumberFormat="1" applyFont="1" applyFill="1" applyBorder="1" applyProtection="1"/>
    <xf numFmtId="164" fontId="2" fillId="6" borderId="1" xfId="0" applyNumberFormat="1" applyFont="1" applyFill="1" applyBorder="1" applyAlignment="1" applyProtection="1">
      <alignment horizontal="center" vertical="center"/>
      <protection locked="0"/>
    </xf>
    <xf numFmtId="1" fontId="2" fillId="6" borderId="1" xfId="0" applyNumberFormat="1" applyFont="1" applyFill="1" applyBorder="1" applyAlignment="1" applyProtection="1">
      <alignment horizontal="center" vertical="center"/>
      <protection locked="0"/>
    </xf>
    <xf numFmtId="165" fontId="2" fillId="6" borderId="1" xfId="0" applyNumberFormat="1" applyFont="1" applyFill="1" applyBorder="1" applyAlignment="1" applyProtection="1">
      <alignment horizontal="center" vertical="center"/>
    </xf>
    <xf numFmtId="1" fontId="2" fillId="3" borderId="1" xfId="0" applyNumberFormat="1" applyFont="1" applyFill="1" applyBorder="1" applyAlignment="1" applyProtection="1">
      <alignment horizontal="center" vertical="center"/>
    </xf>
    <xf numFmtId="1" fontId="2" fillId="6" borderId="1" xfId="0" applyNumberFormat="1" applyFont="1" applyFill="1" applyBorder="1" applyAlignment="1" applyProtection="1">
      <alignment horizontal="center" vertical="center"/>
    </xf>
    <xf numFmtId="165" fontId="4" fillId="5" borderId="9" xfId="0" applyNumberFormat="1" applyFont="1" applyFill="1" applyBorder="1" applyAlignment="1" applyProtection="1">
      <alignment horizontal="left" vertical="center"/>
    </xf>
    <xf numFmtId="165" fontId="5" fillId="4" borderId="1" xfId="0" applyNumberFormat="1" applyFont="1" applyFill="1" applyBorder="1" applyAlignment="1" applyProtection="1">
      <alignment horizontal="left" vertical="center"/>
    </xf>
    <xf numFmtId="1" fontId="6" fillId="2" borderId="1" xfId="0" applyNumberFormat="1" applyFont="1" applyFill="1" applyBorder="1" applyAlignment="1" applyProtection="1">
      <alignment horizontal="center" vertical="center"/>
      <protection locked="0"/>
    </xf>
    <xf numFmtId="165" fontId="7" fillId="2" borderId="1" xfId="0" applyNumberFormat="1" applyFont="1" applyFill="1" applyBorder="1" applyAlignment="1" applyProtection="1">
      <alignment horizontal="center" vertical="center"/>
      <protection locked="0"/>
    </xf>
    <xf numFmtId="165" fontId="6" fillId="2" borderId="1" xfId="0" applyNumberFormat="1" applyFont="1" applyFill="1" applyBorder="1" applyAlignment="1" applyProtection="1">
      <alignment horizontal="center" vertical="center"/>
      <protection locked="0"/>
    </xf>
    <xf numFmtId="1" fontId="7" fillId="2" borderId="1" xfId="0" applyNumberFormat="1" applyFont="1" applyFill="1" applyBorder="1" applyAlignment="1" applyProtection="1">
      <alignment horizontal="righ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zoomScaleNormal="100" workbookViewId="0">
      <pane ySplit="1" topLeftCell="A2" activePane="bottomLeft" state="frozen"/>
      <selection pane="bottomLeft" activeCell="A14" sqref="A14:A18"/>
    </sheetView>
  </sheetViews>
  <sheetFormatPr defaultRowHeight="16.5" x14ac:dyDescent="0.3"/>
  <cols>
    <col min="1" max="1" width="15.85546875" style="5" customWidth="1"/>
    <col min="2" max="2" width="8.5703125" style="5" customWidth="1"/>
    <col min="3" max="3" width="12.42578125" style="5" customWidth="1"/>
    <col min="4" max="7" width="14.7109375" style="5" customWidth="1"/>
    <col min="8" max="8" width="13" style="5" customWidth="1"/>
    <col min="9" max="9" width="1.28515625" style="5" customWidth="1"/>
    <col min="10" max="10" width="21.7109375" style="5" customWidth="1"/>
    <col min="11" max="11" width="23.140625" style="5" customWidth="1"/>
    <col min="12" max="16384" width="9.140625" style="5"/>
  </cols>
  <sheetData>
    <row r="1" spans="1:11" ht="33" x14ac:dyDescent="0.3">
      <c r="A1" s="7" t="s">
        <v>0</v>
      </c>
      <c r="B1" s="7" t="s">
        <v>15</v>
      </c>
      <c r="C1" s="7" t="s">
        <v>20</v>
      </c>
      <c r="D1" s="7" t="s">
        <v>1</v>
      </c>
      <c r="E1" s="7" t="s">
        <v>2</v>
      </c>
      <c r="F1" s="7" t="s">
        <v>3</v>
      </c>
      <c r="G1" s="7" t="s">
        <v>4</v>
      </c>
      <c r="H1" s="7" t="s">
        <v>5</v>
      </c>
      <c r="J1" s="7" t="s">
        <v>9</v>
      </c>
      <c r="K1" s="7"/>
    </row>
    <row r="2" spans="1:11" x14ac:dyDescent="0.3">
      <c r="A2" s="2">
        <v>46129</v>
      </c>
      <c r="B2" s="22">
        <f>IF(A2&lt;&gt;"",1,"")</f>
        <v>1</v>
      </c>
      <c r="C2" s="3"/>
      <c r="D2" s="1">
        <f t="shared" ref="D2:D18" si="0">IF(AND($A2&lt;&gt;"",$B2&lt;&gt;""),$K$9,"")</f>
        <v>700</v>
      </c>
      <c r="E2" s="1">
        <f>IF(AND($A2&lt;&gt;"",$B2&lt;&gt;""),$K$7*$K$8,"")</f>
        <v>200.51562079446532</v>
      </c>
      <c r="F2" s="1">
        <f>IF(AND($A2&lt;&gt;"",$B2&lt;&gt;""),D2-E2,"")</f>
        <v>499.48437920553465</v>
      </c>
      <c r="G2" s="1">
        <f>IF(AND($A2&lt;&gt;"",$B2&lt;&gt;""),$K$7-F2,"")</f>
        <v>9500.5156207944656</v>
      </c>
      <c r="H2" s="1">
        <f>IF(AND($A2&lt;&gt;"",$B2&lt;&gt;""),$K$7-G2,"")</f>
        <v>499.48437920553442</v>
      </c>
      <c r="J2" s="4" t="s">
        <v>17</v>
      </c>
      <c r="K2" s="25" t="str">
        <f ca="1">IF(K3&lt;&gt;"",
   "L" &amp; TEXT(K7,"0") &amp;
   IF(J10="Weeks","W","D") &amp; K10 &amp;
   "-" &amp; K3 &amp;
   "-N" &amp; RIGHT(CELL("filename",A1),LEN(CELL("filename",A1))-FIND("]",CELL("filename",A1))),
   "")</f>
        <v>L10000W17-Mutum_Sandhyarani-NLoan1</v>
      </c>
    </row>
    <row r="3" spans="1:11" x14ac:dyDescent="0.3">
      <c r="A3" s="19">
        <v>46136</v>
      </c>
      <c r="B3" s="23">
        <f>IF(A3&lt;&gt;"",B2+1,"")</f>
        <v>2</v>
      </c>
      <c r="C3" s="20"/>
      <c r="D3" s="21">
        <f t="shared" si="0"/>
        <v>700</v>
      </c>
      <c r="E3" s="21">
        <f t="shared" ref="E3:E18" si="1">IF(AND($A3&lt;&gt;"",$B3&lt;&gt;""),G2*$K$8,"")</f>
        <v>190.50017875711171</v>
      </c>
      <c r="F3" s="21">
        <f>IF(AND($A3&lt;&gt;"",$B3&lt;&gt;""),D3-E3,"")</f>
        <v>509.49982124288829</v>
      </c>
      <c r="G3" s="21">
        <f>IF(AND($A3&lt;&gt;"",$B3&lt;&gt;""),G2-F3,"")</f>
        <v>8991.0157995515765</v>
      </c>
      <c r="H3" s="21">
        <f t="shared" ref="H3:H18" si="2">IF(AND($A3&lt;&gt;"",$B3&lt;&gt;""),$K$7-G3,"")</f>
        <v>1008.9842004484235</v>
      </c>
      <c r="J3" s="4" t="s">
        <v>10</v>
      </c>
      <c r="K3" s="26" t="s">
        <v>21</v>
      </c>
    </row>
    <row r="4" spans="1:11" x14ac:dyDescent="0.3">
      <c r="A4" s="2">
        <v>46145</v>
      </c>
      <c r="B4" s="22">
        <f t="shared" ref="B4:B18" si="3">IF(A4&lt;&gt;"",B3+1,"")</f>
        <v>3</v>
      </c>
      <c r="C4" s="3"/>
      <c r="D4" s="1">
        <f t="shared" si="0"/>
        <v>700</v>
      </c>
      <c r="E4" s="1">
        <f t="shared" si="1"/>
        <v>180.28391146199303</v>
      </c>
      <c r="F4" s="1">
        <f t="shared" ref="F4:F18" si="4">IF(AND($A4&lt;&gt;"",$B4&lt;&gt;""),D4-E4,"")</f>
        <v>519.71608853800694</v>
      </c>
      <c r="G4" s="1">
        <f t="shared" ref="G4:G18" si="5">IF(AND($A4&lt;&gt;"",$B4&lt;&gt;""),G3-F4,"")</f>
        <v>8471.2997110135693</v>
      </c>
      <c r="H4" s="1">
        <f t="shared" si="2"/>
        <v>1528.7002889864307</v>
      </c>
      <c r="J4" s="4" t="s">
        <v>11</v>
      </c>
      <c r="K4" s="26"/>
    </row>
    <row r="5" spans="1:11" x14ac:dyDescent="0.3">
      <c r="A5" s="19">
        <v>46148</v>
      </c>
      <c r="B5" s="23">
        <f t="shared" si="3"/>
        <v>4</v>
      </c>
      <c r="C5" s="20"/>
      <c r="D5" s="21">
        <f t="shared" si="0"/>
        <v>700</v>
      </c>
      <c r="E5" s="21">
        <f t="shared" si="1"/>
        <v>169.86279204898605</v>
      </c>
      <c r="F5" s="21">
        <f t="shared" si="4"/>
        <v>530.13720795101392</v>
      </c>
      <c r="G5" s="21">
        <f t="shared" si="5"/>
        <v>7941.1625030625555</v>
      </c>
      <c r="H5" s="21">
        <f t="shared" si="2"/>
        <v>2058.8374969374445</v>
      </c>
      <c r="J5" s="4" t="s">
        <v>12</v>
      </c>
      <c r="K5" s="26"/>
    </row>
    <row r="6" spans="1:11" x14ac:dyDescent="0.3">
      <c r="A6" s="2">
        <v>46157</v>
      </c>
      <c r="B6" s="22">
        <f t="shared" si="3"/>
        <v>5</v>
      </c>
      <c r="C6" s="3"/>
      <c r="D6" s="1">
        <f t="shared" si="0"/>
        <v>700</v>
      </c>
      <c r="E6" s="1">
        <f t="shared" si="1"/>
        <v>159.23271291313185</v>
      </c>
      <c r="F6" s="1">
        <f t="shared" si="4"/>
        <v>540.76728708686812</v>
      </c>
      <c r="G6" s="1">
        <f t="shared" si="5"/>
        <v>7400.3952159756873</v>
      </c>
      <c r="H6" s="1">
        <f t="shared" si="2"/>
        <v>2599.6047840243127</v>
      </c>
      <c r="J6" s="4" t="s">
        <v>13</v>
      </c>
      <c r="K6" s="26"/>
    </row>
    <row r="7" spans="1:11" x14ac:dyDescent="0.3">
      <c r="A7" s="19">
        <v>46171</v>
      </c>
      <c r="B7" s="23">
        <f t="shared" si="3"/>
        <v>6</v>
      </c>
      <c r="C7" s="20"/>
      <c r="D7" s="21">
        <f t="shared" si="0"/>
        <v>700</v>
      </c>
      <c r="E7" s="21">
        <f t="shared" si="1"/>
        <v>148.38948408557562</v>
      </c>
      <c r="F7" s="21">
        <f t="shared" si="4"/>
        <v>551.61051591442435</v>
      </c>
      <c r="G7" s="21">
        <f t="shared" si="5"/>
        <v>6848.7847000612628</v>
      </c>
      <c r="H7" s="21">
        <f t="shared" si="2"/>
        <v>3151.2152999387372</v>
      </c>
      <c r="J7" s="4" t="s">
        <v>6</v>
      </c>
      <c r="K7" s="27">
        <v>10000</v>
      </c>
    </row>
    <row r="8" spans="1:11" x14ac:dyDescent="0.3">
      <c r="A8" s="2">
        <v>46171</v>
      </c>
      <c r="B8" s="22">
        <f t="shared" si="3"/>
        <v>7</v>
      </c>
      <c r="C8" s="3"/>
      <c r="D8" s="1">
        <f t="shared" si="0"/>
        <v>700</v>
      </c>
      <c r="E8" s="1">
        <f t="shared" si="1"/>
        <v>137.328831582042</v>
      </c>
      <c r="F8" s="1">
        <f t="shared" si="4"/>
        <v>562.67116841795803</v>
      </c>
      <c r="G8" s="1">
        <f t="shared" si="5"/>
        <v>6286.1135316433047</v>
      </c>
      <c r="H8" s="1">
        <f t="shared" si="2"/>
        <v>3713.8864683566953</v>
      </c>
      <c r="J8" s="4" t="s">
        <v>14</v>
      </c>
      <c r="K8" s="6">
        <f>RATE(K10,-K9,K7)</f>
        <v>2.0051562079446531E-2</v>
      </c>
    </row>
    <row r="9" spans="1:11" x14ac:dyDescent="0.3">
      <c r="A9" s="19">
        <v>46184</v>
      </c>
      <c r="B9" s="23">
        <f t="shared" si="3"/>
        <v>8</v>
      </c>
      <c r="C9" s="20"/>
      <c r="D9" s="21">
        <f t="shared" si="0"/>
        <v>700</v>
      </c>
      <c r="E9" s="21">
        <f t="shared" si="1"/>
        <v>126.0463957181946</v>
      </c>
      <c r="F9" s="21">
        <f t="shared" si="4"/>
        <v>573.95360428180538</v>
      </c>
      <c r="G9" s="21">
        <f t="shared" si="5"/>
        <v>5712.1599273614993</v>
      </c>
      <c r="H9" s="21">
        <f t="shared" si="2"/>
        <v>4287.8400726385007</v>
      </c>
      <c r="J9" s="4" t="s">
        <v>7</v>
      </c>
      <c r="K9" s="28">
        <v>700</v>
      </c>
    </row>
    <row r="10" spans="1:11" x14ac:dyDescent="0.3">
      <c r="A10" s="2">
        <v>46184</v>
      </c>
      <c r="B10" s="22">
        <f t="shared" si="3"/>
        <v>9</v>
      </c>
      <c r="C10" s="3"/>
      <c r="D10" s="1">
        <f t="shared" si="0"/>
        <v>700</v>
      </c>
      <c r="E10" s="1">
        <f t="shared" si="1"/>
        <v>114.53772939121589</v>
      </c>
      <c r="F10" s="1">
        <f t="shared" si="4"/>
        <v>585.46227060878414</v>
      </c>
      <c r="G10" s="1">
        <f t="shared" si="5"/>
        <v>5126.6976567527154</v>
      </c>
      <c r="H10" s="1">
        <f t="shared" si="2"/>
        <v>4873.3023432472846</v>
      </c>
      <c r="J10" s="4" t="s">
        <v>8</v>
      </c>
      <c r="K10" s="29">
        <v>17</v>
      </c>
    </row>
    <row r="11" spans="1:11" ht="17.25" thickBot="1" x14ac:dyDescent="0.35">
      <c r="A11" s="19">
        <v>46190</v>
      </c>
      <c r="B11" s="23">
        <f t="shared" si="3"/>
        <v>10</v>
      </c>
      <c r="C11" s="20"/>
      <c r="D11" s="21">
        <f t="shared" si="0"/>
        <v>700</v>
      </c>
      <c r="E11" s="21">
        <f t="shared" si="1"/>
        <v>102.79829632693014</v>
      </c>
      <c r="F11" s="21">
        <f t="shared" si="4"/>
        <v>597.20170367306991</v>
      </c>
      <c r="G11" s="21">
        <f t="shared" si="5"/>
        <v>4529.4959530796459</v>
      </c>
      <c r="H11" s="21">
        <f t="shared" si="2"/>
        <v>5470.5040469203541</v>
      </c>
      <c r="J11" s="14"/>
    </row>
    <row r="12" spans="1:11" x14ac:dyDescent="0.3">
      <c r="A12" s="2">
        <v>46196</v>
      </c>
      <c r="B12" s="22">
        <f t="shared" si="3"/>
        <v>11</v>
      </c>
      <c r="C12" s="3"/>
      <c r="D12" s="1">
        <f t="shared" si="0"/>
        <v>700</v>
      </c>
      <c r="E12" s="1">
        <f t="shared" si="1"/>
        <v>90.823469291778352</v>
      </c>
      <c r="F12" s="1">
        <f t="shared" si="4"/>
        <v>609.17653070822166</v>
      </c>
      <c r="G12" s="1">
        <f t="shared" si="5"/>
        <v>3920.3194223714245</v>
      </c>
      <c r="H12" s="1">
        <f t="shared" si="2"/>
        <v>6079.6805776285755</v>
      </c>
      <c r="J12" s="8" t="s">
        <v>16</v>
      </c>
      <c r="K12" s="9">
        <f>IFERROR(MAX($B:$B),"")</f>
        <v>17</v>
      </c>
    </row>
    <row r="13" spans="1:11" x14ac:dyDescent="0.3">
      <c r="A13" s="19">
        <v>46201</v>
      </c>
      <c r="B13" s="23">
        <f t="shared" si="3"/>
        <v>12</v>
      </c>
      <c r="C13" s="20"/>
      <c r="D13" s="21">
        <f t="shared" si="0"/>
        <v>700</v>
      </c>
      <c r="E13" s="21">
        <f t="shared" si="1"/>
        <v>78.608528268940589</v>
      </c>
      <c r="F13" s="21">
        <f t="shared" si="4"/>
        <v>621.39147173105937</v>
      </c>
      <c r="G13" s="21">
        <f t="shared" si="5"/>
        <v>3298.927950640365</v>
      </c>
      <c r="H13" s="21">
        <f t="shared" si="2"/>
        <v>6701.0720493596345</v>
      </c>
      <c r="J13" s="24" t="s">
        <v>22</v>
      </c>
      <c r="K13" s="11">
        <f>(K10*K9)-K9*K12</f>
        <v>0</v>
      </c>
    </row>
    <row r="14" spans="1:11" x14ac:dyDescent="0.3">
      <c r="A14" s="2">
        <v>46204</v>
      </c>
      <c r="B14" s="22">
        <f t="shared" si="3"/>
        <v>13</v>
      </c>
      <c r="C14" s="3"/>
      <c r="D14" s="1">
        <f t="shared" si="0"/>
        <v>700</v>
      </c>
      <c r="E14" s="1">
        <f t="shared" si="1"/>
        <v>66.148658597886595</v>
      </c>
      <c r="F14" s="1">
        <f t="shared" si="4"/>
        <v>633.85134140211335</v>
      </c>
      <c r="G14" s="1">
        <f t="shared" si="5"/>
        <v>2665.0766092382519</v>
      </c>
      <c r="H14" s="1">
        <f t="shared" si="2"/>
        <v>7334.9233907617481</v>
      </c>
      <c r="J14" s="10" t="s">
        <v>23</v>
      </c>
      <c r="K14" s="11">
        <f>IF(A2="", K9*K10, IFERROR(INDEX($G:$G, MATCH($K$12, $B:$B, 0)), 0))</f>
        <v>4.5668002712773159E-10</v>
      </c>
    </row>
    <row r="15" spans="1:11" ht="17.25" thickBot="1" x14ac:dyDescent="0.35">
      <c r="A15" s="19">
        <v>46204</v>
      </c>
      <c r="B15" s="23">
        <f t="shared" si="3"/>
        <v>14</v>
      </c>
      <c r="C15" s="20"/>
      <c r="D15" s="21">
        <f t="shared" si="0"/>
        <v>700</v>
      </c>
      <c r="E15" s="21">
        <f t="shared" si="1"/>
        <v>53.438949076621675</v>
      </c>
      <c r="F15" s="21">
        <f t="shared" si="4"/>
        <v>646.56105092337828</v>
      </c>
      <c r="G15" s="21">
        <f t="shared" si="5"/>
        <v>2018.5155583148735</v>
      </c>
      <c r="H15" s="21">
        <f t="shared" si="2"/>
        <v>7981.4844416851265</v>
      </c>
      <c r="J15" s="12" t="s">
        <v>5</v>
      </c>
      <c r="K15" s="13">
        <f>IFERROR(INDEX($H:$H, MATCH($K$12, $B:$B, 0)), 0)</f>
        <v>9999.9999999995434</v>
      </c>
    </row>
    <row r="16" spans="1:11" x14ac:dyDescent="0.3">
      <c r="A16" s="2">
        <v>46204</v>
      </c>
      <c r="B16" s="22">
        <f t="shared" si="3"/>
        <v>15</v>
      </c>
      <c r="C16" s="3"/>
      <c r="D16" s="1">
        <f t="shared" si="0"/>
        <v>700</v>
      </c>
      <c r="E16" s="1">
        <f t="shared" si="1"/>
        <v>40.474390025879359</v>
      </c>
      <c r="F16" s="1">
        <f t="shared" si="4"/>
        <v>659.5256099741207</v>
      </c>
      <c r="G16" s="1">
        <f t="shared" si="5"/>
        <v>1358.9899483407528</v>
      </c>
      <c r="H16" s="1">
        <f t="shared" si="2"/>
        <v>8641.0100516592465</v>
      </c>
      <c r="J16" s="15" t="s">
        <v>18</v>
      </c>
      <c r="K16" s="16">
        <f>IF(A2,A2, "")</f>
        <v>46129</v>
      </c>
    </row>
    <row r="17" spans="1:11" x14ac:dyDescent="0.3">
      <c r="A17" s="19">
        <v>46204</v>
      </c>
      <c r="B17" s="23">
        <f t="shared" si="3"/>
        <v>16</v>
      </c>
      <c r="C17" s="20"/>
      <c r="D17" s="21">
        <f t="shared" si="0"/>
        <v>700</v>
      </c>
      <c r="E17" s="21">
        <f t="shared" si="1"/>
        <v>27.249871314498439</v>
      </c>
      <c r="F17" s="21">
        <f t="shared" si="4"/>
        <v>672.75012868550152</v>
      </c>
      <c r="G17" s="21">
        <f t="shared" si="5"/>
        <v>686.23981965525127</v>
      </c>
      <c r="H17" s="21">
        <f t="shared" si="2"/>
        <v>9313.7601803447487</v>
      </c>
      <c r="J17" s="17" t="s">
        <v>19</v>
      </c>
      <c r="K17" s="18">
        <f xml:space="preserve"> IF(A2,(K16 + (17*7)),"")</f>
        <v>46248</v>
      </c>
    </row>
    <row r="18" spans="1:11" x14ac:dyDescent="0.3">
      <c r="A18" s="2">
        <v>46204</v>
      </c>
      <c r="B18" s="22">
        <f t="shared" si="3"/>
        <v>17</v>
      </c>
      <c r="C18" s="3"/>
      <c r="D18" s="1">
        <f t="shared" si="0"/>
        <v>700</v>
      </c>
      <c r="E18" s="1">
        <f t="shared" si="1"/>
        <v>13.760180345205463</v>
      </c>
      <c r="F18" s="1">
        <f t="shared" si="4"/>
        <v>686.23981965479459</v>
      </c>
      <c r="G18" s="1">
        <f t="shared" si="5"/>
        <v>4.5668002712773159E-10</v>
      </c>
      <c r="H18" s="1">
        <f t="shared" si="2"/>
        <v>9999.9999999995434</v>
      </c>
    </row>
  </sheetData>
  <sheetProtection algorithmName="SHA-512" hashValue="pVumqcwix9QKsZlXL9wqVvvmoHiIVRYLQVRFfVoyJKvsxcBQeG82A5kg10012fUByV2gLrfjaHvEz375qkrs+A==" saltValue="Ifl/VbbPdwFb4/VmhVMJ+g==" spinCount="100000" sheet="1" objects="1" scenarios="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topLeftCell="A8" workbookViewId="0">
      <selection activeCell="A15" sqref="A1:XFD1048576"/>
    </sheetView>
  </sheetViews>
  <sheetFormatPr defaultRowHeight="16.5" x14ac:dyDescent="0.3"/>
  <cols>
    <col min="1" max="1" width="15.85546875" style="5" customWidth="1"/>
    <col min="2" max="2" width="8.5703125" style="5" customWidth="1"/>
    <col min="3" max="3" width="12.42578125" style="5" customWidth="1"/>
    <col min="4" max="7" width="14.7109375" style="5" customWidth="1"/>
    <col min="8" max="8" width="13" style="5" customWidth="1"/>
    <col min="9" max="9" width="1.28515625" style="5" customWidth="1"/>
    <col min="10" max="10" width="21.7109375" style="5" customWidth="1"/>
    <col min="11" max="11" width="23.140625" style="5" customWidth="1"/>
    <col min="12" max="16384" width="9.140625" style="5"/>
  </cols>
  <sheetData>
    <row r="1" spans="1:11" ht="33" x14ac:dyDescent="0.3">
      <c r="A1" s="7" t="s">
        <v>0</v>
      </c>
      <c r="B1" s="7" t="s">
        <v>15</v>
      </c>
      <c r="C1" s="7" t="s">
        <v>20</v>
      </c>
      <c r="D1" s="7" t="s">
        <v>1</v>
      </c>
      <c r="E1" s="7" t="s">
        <v>2</v>
      </c>
      <c r="F1" s="7" t="s">
        <v>3</v>
      </c>
      <c r="G1" s="7" t="s">
        <v>4</v>
      </c>
      <c r="H1" s="7" t="s">
        <v>5</v>
      </c>
      <c r="J1" s="7" t="s">
        <v>9</v>
      </c>
      <c r="K1" s="7"/>
    </row>
    <row r="2" spans="1:11" x14ac:dyDescent="0.3">
      <c r="A2" s="2">
        <v>46205</v>
      </c>
      <c r="B2" s="22">
        <f>IF(A2&lt;&gt;"",1,"")</f>
        <v>1</v>
      </c>
      <c r="C2" s="3"/>
      <c r="D2" s="1">
        <f t="shared" ref="D2:D18" si="0">IF(AND($A2&lt;&gt;"",$B2&lt;&gt;""),$K$9,"")</f>
        <v>1400</v>
      </c>
      <c r="E2" s="1">
        <f>IF(AND($A2&lt;&gt;"",$B2&lt;&gt;""),$K$7*$K$8,"")</f>
        <v>401.03124158893064</v>
      </c>
      <c r="F2" s="1">
        <f>IF(AND($A2&lt;&gt;"",$B2&lt;&gt;""),D2-E2,"")</f>
        <v>998.9687584110693</v>
      </c>
      <c r="G2" s="1">
        <f>IF(AND($A2&lt;&gt;"",$B2&lt;&gt;""),$K$7-F2,"")</f>
        <v>19001.031241588931</v>
      </c>
      <c r="H2" s="1">
        <f>IF(AND($A2&lt;&gt;"",$B2&lt;&gt;""),$K$7-G2,"")</f>
        <v>998.96875841106885</v>
      </c>
      <c r="J2" s="4" t="s">
        <v>17</v>
      </c>
      <c r="K2" s="25" t="str">
        <f ca="1">IF(K3&lt;&gt;"",
   "L" &amp; TEXT(K7,"0") &amp;
   IF(J10="Weeks","W","D") &amp; K10 &amp;
   "-" &amp; K3 &amp;
   "-N" &amp; RIGHT(CELL("filename",A1),LEN(CELL("filename",A1))-FIND("]",CELL("filename",A1))),
   "")</f>
        <v>L20000W17-Mutum_Sandhyarani-N198</v>
      </c>
    </row>
    <row r="3" spans="1:11" x14ac:dyDescent="0.3">
      <c r="A3" s="19">
        <v>46218</v>
      </c>
      <c r="B3" s="23">
        <f>IF(A3&lt;&gt;"",B2+1,"")</f>
        <v>2</v>
      </c>
      <c r="C3" s="20"/>
      <c r="D3" s="21">
        <f t="shared" si="0"/>
        <v>1400</v>
      </c>
      <c r="E3" s="21">
        <f t="shared" ref="E3:E18" si="1">IF(AND($A3&lt;&gt;"",$B3&lt;&gt;""),G2*$K$8,"")</f>
        <v>381.00035751422342</v>
      </c>
      <c r="F3" s="21">
        <f>IF(AND($A3&lt;&gt;"",$B3&lt;&gt;""),D3-E3,"")</f>
        <v>1018.9996424857766</v>
      </c>
      <c r="G3" s="21">
        <f>IF(AND($A3&lt;&gt;"",$B3&lt;&gt;""),G2-F3,"")</f>
        <v>17982.031599103153</v>
      </c>
      <c r="H3" s="21">
        <f t="shared" ref="H3:H18" si="2">IF(AND($A3&lt;&gt;"",$B3&lt;&gt;""),$K$7-G3,"")</f>
        <v>2017.968400896847</v>
      </c>
      <c r="J3" s="4" t="s">
        <v>10</v>
      </c>
      <c r="K3" s="26" t="s">
        <v>21</v>
      </c>
    </row>
    <row r="4" spans="1:11" x14ac:dyDescent="0.3">
      <c r="A4" s="2">
        <v>46220</v>
      </c>
      <c r="B4" s="22">
        <f t="shared" ref="B4:B18" si="3">IF(A4&lt;&gt;"",B3+1,"")</f>
        <v>3</v>
      </c>
      <c r="C4" s="3"/>
      <c r="D4" s="1">
        <f t="shared" si="0"/>
        <v>1400</v>
      </c>
      <c r="E4" s="1">
        <f t="shared" si="1"/>
        <v>360.56782292398606</v>
      </c>
      <c r="F4" s="1">
        <f t="shared" ref="F4:F18" si="4">IF(AND($A4&lt;&gt;"",$B4&lt;&gt;""),D4-E4,"")</f>
        <v>1039.4321770760139</v>
      </c>
      <c r="G4" s="1">
        <f t="shared" ref="G4:G18" si="5">IF(AND($A4&lt;&gt;"",$B4&lt;&gt;""),G3-F4,"")</f>
        <v>16942.599422027139</v>
      </c>
      <c r="H4" s="1">
        <f t="shared" si="2"/>
        <v>3057.4005779728614</v>
      </c>
      <c r="J4" s="4" t="s">
        <v>11</v>
      </c>
      <c r="K4" s="26"/>
    </row>
    <row r="5" spans="1:11" x14ac:dyDescent="0.3">
      <c r="A5" s="19">
        <v>46227</v>
      </c>
      <c r="B5" s="23">
        <f t="shared" si="3"/>
        <v>4</v>
      </c>
      <c r="C5" s="20"/>
      <c r="D5" s="21">
        <f t="shared" si="0"/>
        <v>1400</v>
      </c>
      <c r="E5" s="21">
        <f t="shared" si="1"/>
        <v>339.7255840979721</v>
      </c>
      <c r="F5" s="21">
        <f t="shared" si="4"/>
        <v>1060.2744159020278</v>
      </c>
      <c r="G5" s="21">
        <f t="shared" si="5"/>
        <v>15882.325006125111</v>
      </c>
      <c r="H5" s="21">
        <f t="shared" si="2"/>
        <v>4117.674993874889</v>
      </c>
      <c r="J5" s="4" t="s">
        <v>12</v>
      </c>
      <c r="K5" s="26"/>
    </row>
    <row r="6" spans="1:11" x14ac:dyDescent="0.3">
      <c r="A6" s="2">
        <v>46235</v>
      </c>
      <c r="B6" s="22">
        <f t="shared" si="3"/>
        <v>5</v>
      </c>
      <c r="C6" s="3"/>
      <c r="D6" s="1">
        <f t="shared" si="0"/>
        <v>1400</v>
      </c>
      <c r="E6" s="1">
        <f t="shared" si="1"/>
        <v>318.4654258262637</v>
      </c>
      <c r="F6" s="1">
        <f t="shared" si="4"/>
        <v>1081.5345741737362</v>
      </c>
      <c r="G6" s="1">
        <f t="shared" si="5"/>
        <v>14800.790431951375</v>
      </c>
      <c r="H6" s="1">
        <f t="shared" si="2"/>
        <v>5199.2095680486254</v>
      </c>
      <c r="J6" s="4" t="s">
        <v>13</v>
      </c>
      <c r="K6" s="26"/>
    </row>
    <row r="7" spans="1:11" x14ac:dyDescent="0.3">
      <c r="A7" s="19">
        <v>46241</v>
      </c>
      <c r="B7" s="23">
        <f t="shared" si="3"/>
        <v>6</v>
      </c>
      <c r="C7" s="20"/>
      <c r="D7" s="21">
        <f t="shared" si="0"/>
        <v>1400</v>
      </c>
      <c r="E7" s="21">
        <f t="shared" si="1"/>
        <v>296.77896817115123</v>
      </c>
      <c r="F7" s="21">
        <f t="shared" si="4"/>
        <v>1103.2210318288487</v>
      </c>
      <c r="G7" s="21">
        <f t="shared" si="5"/>
        <v>13697.569400122526</v>
      </c>
      <c r="H7" s="21">
        <f t="shared" si="2"/>
        <v>6302.4305998774744</v>
      </c>
      <c r="J7" s="4" t="s">
        <v>6</v>
      </c>
      <c r="K7" s="27">
        <v>20000</v>
      </c>
    </row>
    <row r="8" spans="1:11" x14ac:dyDescent="0.3">
      <c r="A8" s="2">
        <v>46248</v>
      </c>
      <c r="B8" s="22">
        <f t="shared" si="3"/>
        <v>7</v>
      </c>
      <c r="C8" s="3"/>
      <c r="D8" s="1">
        <f t="shared" si="0"/>
        <v>1400</v>
      </c>
      <c r="E8" s="1">
        <f t="shared" si="1"/>
        <v>274.657663164084</v>
      </c>
      <c r="F8" s="1">
        <f t="shared" si="4"/>
        <v>1125.3423368359161</v>
      </c>
      <c r="G8" s="1">
        <f t="shared" si="5"/>
        <v>12572.227063286609</v>
      </c>
      <c r="H8" s="1">
        <f t="shared" si="2"/>
        <v>7427.7729367133907</v>
      </c>
      <c r="J8" s="4" t="s">
        <v>14</v>
      </c>
      <c r="K8" s="6">
        <f>RATE(K10,-K9,K7)</f>
        <v>2.0051562079446531E-2</v>
      </c>
    </row>
    <row r="9" spans="1:11" x14ac:dyDescent="0.3">
      <c r="A9" s="19">
        <v>46255</v>
      </c>
      <c r="B9" s="23">
        <f t="shared" si="3"/>
        <v>8</v>
      </c>
      <c r="C9" s="20"/>
      <c r="D9" s="21">
        <f t="shared" si="0"/>
        <v>1400</v>
      </c>
      <c r="E9" s="21">
        <f t="shared" si="1"/>
        <v>252.09279143638921</v>
      </c>
      <c r="F9" s="21">
        <f t="shared" si="4"/>
        <v>1147.9072085636108</v>
      </c>
      <c r="G9" s="21">
        <f t="shared" si="5"/>
        <v>11424.319854722999</v>
      </c>
      <c r="H9" s="21">
        <f t="shared" si="2"/>
        <v>8575.6801452770014</v>
      </c>
      <c r="J9" s="4" t="s">
        <v>7</v>
      </c>
      <c r="K9" s="28">
        <v>1400</v>
      </c>
    </row>
    <row r="10" spans="1:11" x14ac:dyDescent="0.3">
      <c r="A10" s="2">
        <v>46262</v>
      </c>
      <c r="B10" s="22">
        <f t="shared" si="3"/>
        <v>9</v>
      </c>
      <c r="C10" s="3"/>
      <c r="D10" s="1">
        <f t="shared" si="0"/>
        <v>1400</v>
      </c>
      <c r="E10" s="1">
        <f t="shared" si="1"/>
        <v>229.07545878243178</v>
      </c>
      <c r="F10" s="1">
        <f t="shared" si="4"/>
        <v>1170.9245412175683</v>
      </c>
      <c r="G10" s="1">
        <f t="shared" si="5"/>
        <v>10253.395313505431</v>
      </c>
      <c r="H10" s="1">
        <f t="shared" si="2"/>
        <v>9746.6046864945693</v>
      </c>
      <c r="J10" s="4" t="s">
        <v>8</v>
      </c>
      <c r="K10" s="29">
        <v>17</v>
      </c>
    </row>
    <row r="11" spans="1:11" ht="17.25" thickBot="1" x14ac:dyDescent="0.35">
      <c r="A11" s="19">
        <v>46269</v>
      </c>
      <c r="B11" s="23">
        <f t="shared" si="3"/>
        <v>10</v>
      </c>
      <c r="C11" s="20"/>
      <c r="D11" s="21">
        <f t="shared" si="0"/>
        <v>1400</v>
      </c>
      <c r="E11" s="21">
        <f t="shared" si="1"/>
        <v>205.59659265386028</v>
      </c>
      <c r="F11" s="21">
        <f t="shared" si="4"/>
        <v>1194.4034073461398</v>
      </c>
      <c r="G11" s="21">
        <f t="shared" si="5"/>
        <v>9058.9919061592918</v>
      </c>
      <c r="H11" s="21">
        <f t="shared" si="2"/>
        <v>10941.008093840708</v>
      </c>
      <c r="J11" s="14"/>
    </row>
    <row r="12" spans="1:11" x14ac:dyDescent="0.3">
      <c r="A12" s="2">
        <v>46276</v>
      </c>
      <c r="B12" s="22">
        <f t="shared" si="3"/>
        <v>11</v>
      </c>
      <c r="C12" s="3"/>
      <c r="D12" s="1">
        <f t="shared" si="0"/>
        <v>1400</v>
      </c>
      <c r="E12" s="1">
        <f t="shared" si="1"/>
        <v>181.6469385835567</v>
      </c>
      <c r="F12" s="1">
        <f t="shared" si="4"/>
        <v>1218.3530614164433</v>
      </c>
      <c r="G12" s="1">
        <f t="shared" si="5"/>
        <v>7840.638844742849</v>
      </c>
      <c r="H12" s="1">
        <f t="shared" si="2"/>
        <v>12159.361155257151</v>
      </c>
      <c r="J12" s="8" t="s">
        <v>16</v>
      </c>
      <c r="K12" s="9">
        <f>IFERROR(MAX($B:$B),"")</f>
        <v>17</v>
      </c>
    </row>
    <row r="13" spans="1:11" x14ac:dyDescent="0.3">
      <c r="A13" s="19">
        <v>46283</v>
      </c>
      <c r="B13" s="23">
        <f t="shared" si="3"/>
        <v>12</v>
      </c>
      <c r="C13" s="20"/>
      <c r="D13" s="21">
        <f t="shared" si="0"/>
        <v>1400</v>
      </c>
      <c r="E13" s="21">
        <f t="shared" si="1"/>
        <v>157.21705653788118</v>
      </c>
      <c r="F13" s="21">
        <f t="shared" si="4"/>
        <v>1242.7829434621187</v>
      </c>
      <c r="G13" s="21">
        <f t="shared" si="5"/>
        <v>6597.85590128073</v>
      </c>
      <c r="H13" s="21">
        <f t="shared" si="2"/>
        <v>13402.144098719269</v>
      </c>
      <c r="J13" s="24" t="s">
        <v>22</v>
      </c>
      <c r="K13" s="11">
        <f>(K10*K9)-K9*K12</f>
        <v>0</v>
      </c>
    </row>
    <row r="14" spans="1:11" x14ac:dyDescent="0.3">
      <c r="A14" s="2">
        <v>46286</v>
      </c>
      <c r="B14" s="22">
        <f t="shared" si="3"/>
        <v>13</v>
      </c>
      <c r="C14" s="3"/>
      <c r="D14" s="1">
        <f t="shared" si="0"/>
        <v>1400</v>
      </c>
      <c r="E14" s="1">
        <f t="shared" si="1"/>
        <v>132.29731719577319</v>
      </c>
      <c r="F14" s="1">
        <f t="shared" si="4"/>
        <v>1267.7026828042267</v>
      </c>
      <c r="G14" s="1">
        <f t="shared" si="5"/>
        <v>5330.1532184765038</v>
      </c>
      <c r="H14" s="1">
        <f t="shared" si="2"/>
        <v>14669.846781523496</v>
      </c>
      <c r="J14" s="10" t="s">
        <v>23</v>
      </c>
      <c r="K14" s="11">
        <f>IF(A2="", K9*K10, IFERROR(INDEX($G:$G, MATCH($K$12, $B:$B, 0)), 0))</f>
        <v>9.1336005425546318E-10</v>
      </c>
    </row>
    <row r="15" spans="1:11" ht="17.25" thickBot="1" x14ac:dyDescent="0.35">
      <c r="A15" s="19">
        <v>46286</v>
      </c>
      <c r="B15" s="23">
        <f t="shared" si="3"/>
        <v>14</v>
      </c>
      <c r="C15" s="20"/>
      <c r="D15" s="21">
        <f t="shared" si="0"/>
        <v>1400</v>
      </c>
      <c r="E15" s="21">
        <f t="shared" si="1"/>
        <v>106.87789815324335</v>
      </c>
      <c r="F15" s="21">
        <f t="shared" si="4"/>
        <v>1293.1221018467566</v>
      </c>
      <c r="G15" s="21">
        <f t="shared" si="5"/>
        <v>4037.031116629747</v>
      </c>
      <c r="H15" s="21">
        <f t="shared" si="2"/>
        <v>15962.968883370253</v>
      </c>
      <c r="J15" s="12" t="s">
        <v>5</v>
      </c>
      <c r="K15" s="13">
        <f>IFERROR(INDEX($H:$H, MATCH($K$12, $B:$B, 0)), 0)</f>
        <v>19999.999999999087</v>
      </c>
    </row>
    <row r="16" spans="1:11" x14ac:dyDescent="0.3">
      <c r="A16" s="2">
        <v>46286</v>
      </c>
      <c r="B16" s="22">
        <f t="shared" si="3"/>
        <v>15</v>
      </c>
      <c r="C16" s="3"/>
      <c r="D16" s="1">
        <f t="shared" si="0"/>
        <v>1400</v>
      </c>
      <c r="E16" s="1">
        <f t="shared" si="1"/>
        <v>80.948780051758717</v>
      </c>
      <c r="F16" s="1">
        <f t="shared" si="4"/>
        <v>1319.0512199482414</v>
      </c>
      <c r="G16" s="1">
        <f t="shared" si="5"/>
        <v>2717.9798966815056</v>
      </c>
      <c r="H16" s="1">
        <f t="shared" si="2"/>
        <v>17282.020103318493</v>
      </c>
      <c r="J16" s="15" t="s">
        <v>18</v>
      </c>
      <c r="K16" s="16">
        <f>IF(A2,A2, "")</f>
        <v>46205</v>
      </c>
    </row>
    <row r="17" spans="1:11" x14ac:dyDescent="0.3">
      <c r="A17" s="19">
        <v>46286</v>
      </c>
      <c r="B17" s="23">
        <f t="shared" si="3"/>
        <v>16</v>
      </c>
      <c r="C17" s="20"/>
      <c r="D17" s="21">
        <f t="shared" si="0"/>
        <v>1400</v>
      </c>
      <c r="E17" s="21">
        <f t="shared" si="1"/>
        <v>54.499742628996877</v>
      </c>
      <c r="F17" s="21">
        <f t="shared" si="4"/>
        <v>1345.500257371003</v>
      </c>
      <c r="G17" s="21">
        <f t="shared" si="5"/>
        <v>1372.4796393105025</v>
      </c>
      <c r="H17" s="21">
        <f t="shared" si="2"/>
        <v>18627.520360689497</v>
      </c>
      <c r="J17" s="17" t="s">
        <v>19</v>
      </c>
      <c r="K17" s="18">
        <f xml:space="preserve"> IF(A2,(K16 + (17*7)),"")</f>
        <v>46324</v>
      </c>
    </row>
    <row r="18" spans="1:11" x14ac:dyDescent="0.3">
      <c r="A18" s="2">
        <v>46286</v>
      </c>
      <c r="B18" s="22">
        <f t="shared" si="3"/>
        <v>17</v>
      </c>
      <c r="C18" s="3"/>
      <c r="D18" s="1">
        <f t="shared" si="0"/>
        <v>1400</v>
      </c>
      <c r="E18" s="1">
        <f t="shared" si="1"/>
        <v>27.520360690410925</v>
      </c>
      <c r="F18" s="1">
        <f t="shared" si="4"/>
        <v>1372.4796393095892</v>
      </c>
      <c r="G18" s="1">
        <f t="shared" si="5"/>
        <v>9.1336005425546318E-10</v>
      </c>
      <c r="H18" s="1">
        <f t="shared" si="2"/>
        <v>19999.999999999087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tabSelected="1" workbookViewId="0">
      <selection activeCell="A5" sqref="A5"/>
    </sheetView>
  </sheetViews>
  <sheetFormatPr defaultRowHeight="16.5" x14ac:dyDescent="0.3"/>
  <cols>
    <col min="1" max="1" width="15.85546875" style="5" customWidth="1"/>
    <col min="2" max="2" width="8.5703125" style="5" customWidth="1"/>
    <col min="3" max="3" width="12.42578125" style="5" customWidth="1"/>
    <col min="4" max="7" width="14.7109375" style="5" customWidth="1"/>
    <col min="8" max="8" width="13" style="5" customWidth="1"/>
    <col min="9" max="9" width="1.28515625" style="5" customWidth="1"/>
    <col min="10" max="10" width="21.7109375" style="5" customWidth="1"/>
    <col min="11" max="11" width="23.140625" style="5" customWidth="1"/>
    <col min="12" max="16384" width="9.140625" style="5"/>
  </cols>
  <sheetData>
    <row r="1" spans="1:11" ht="33" x14ac:dyDescent="0.3">
      <c r="A1" s="7" t="s">
        <v>0</v>
      </c>
      <c r="B1" s="7" t="s">
        <v>15</v>
      </c>
      <c r="C1" s="7" t="s">
        <v>20</v>
      </c>
      <c r="D1" s="7" t="s">
        <v>1</v>
      </c>
      <c r="E1" s="7" t="s">
        <v>2</v>
      </c>
      <c r="F1" s="7" t="s">
        <v>3</v>
      </c>
      <c r="G1" s="7" t="s">
        <v>4</v>
      </c>
      <c r="H1" s="7" t="s">
        <v>5</v>
      </c>
      <c r="J1" s="7" t="s">
        <v>9</v>
      </c>
      <c r="K1" s="7"/>
    </row>
    <row r="2" spans="1:11" x14ac:dyDescent="0.3">
      <c r="A2" s="2">
        <v>46287</v>
      </c>
      <c r="B2" s="22">
        <f>IF(A2&lt;&gt;"",1,"")</f>
        <v>1</v>
      </c>
      <c r="C2" s="3"/>
      <c r="D2" s="1">
        <f t="shared" ref="D2:D18" si="0">IF(AND($A2&lt;&gt;"",$B2&lt;&gt;""),$K$9,"")</f>
        <v>1750</v>
      </c>
      <c r="E2" s="1">
        <f>IF(AND($A2&lt;&gt;"",$B2&lt;&gt;""),$K$7*$K$8,"")</f>
        <v>501.28905198614973</v>
      </c>
      <c r="F2" s="1">
        <f>IF(AND($A2&lt;&gt;"",$B2&lt;&gt;""),D2-E2,"")</f>
        <v>1248.7109480138502</v>
      </c>
      <c r="G2" s="1">
        <f>IF(AND($A2&lt;&gt;"",$B2&lt;&gt;""),$K$7-F2,"")</f>
        <v>23751.28905198615</v>
      </c>
      <c r="H2" s="1">
        <f>IF(AND($A2&lt;&gt;"",$B2&lt;&gt;""),$K$7-G2,"")</f>
        <v>1248.7109480138497</v>
      </c>
      <c r="J2" s="4" t="s">
        <v>17</v>
      </c>
      <c r="K2" s="25" t="str">
        <f ca="1">IF(K3&lt;&gt;"",
   "L" &amp; TEXT(K7,"0") &amp;
   IF(J10="Weeks","W","D") &amp; K10 &amp;
   "-" &amp; K3 &amp;
   "-N" &amp; RIGHT(CELL("filename",A1),LEN(CELL("filename",A1))-FIND("]",CELL("filename",A1))),
   "")</f>
        <v>L25000W17-Mutum_Sandhyarani-N226</v>
      </c>
    </row>
    <row r="3" spans="1:11" x14ac:dyDescent="0.3">
      <c r="A3" s="19">
        <v>46297</v>
      </c>
      <c r="B3" s="23">
        <f>IF(A3&lt;&gt;"",B2+1,"")</f>
        <v>2</v>
      </c>
      <c r="C3" s="20"/>
      <c r="D3" s="21">
        <f t="shared" si="0"/>
        <v>1750</v>
      </c>
      <c r="E3" s="21">
        <f t="shared" ref="E3:E18" si="1">IF(AND($A3&lt;&gt;"",$B3&lt;&gt;""),G2*$K$8,"")</f>
        <v>476.25044689276621</v>
      </c>
      <c r="F3" s="21">
        <f>IF(AND($A3&lt;&gt;"",$B3&lt;&gt;""),D3-E3,"")</f>
        <v>1273.7495531072339</v>
      </c>
      <c r="G3" s="21">
        <f>IF(AND($A3&lt;&gt;"",$B3&lt;&gt;""),G2-F3,"")</f>
        <v>22477.539498878916</v>
      </c>
      <c r="H3" s="21">
        <f t="shared" ref="H3:H18" si="2">IF(AND($A3&lt;&gt;"",$B3&lt;&gt;""),$K$7-G3,"")</f>
        <v>2522.4605011210842</v>
      </c>
      <c r="J3" s="4" t="s">
        <v>10</v>
      </c>
      <c r="K3" s="26" t="s">
        <v>21</v>
      </c>
    </row>
    <row r="4" spans="1:11" x14ac:dyDescent="0.3">
      <c r="A4" s="2">
        <v>46304</v>
      </c>
      <c r="B4" s="22">
        <f t="shared" ref="B4:B18" si="3">IF(A4&lt;&gt;"",B3+1,"")</f>
        <v>3</v>
      </c>
      <c r="C4" s="3"/>
      <c r="D4" s="1">
        <f t="shared" si="0"/>
        <v>1750</v>
      </c>
      <c r="E4" s="1">
        <f t="shared" si="1"/>
        <v>450.70977865496991</v>
      </c>
      <c r="F4" s="1">
        <f t="shared" ref="F4:F18" si="4">IF(AND($A4&lt;&gt;"",$B4&lt;&gt;""),D4-E4,"")</f>
        <v>1299.2902213450302</v>
      </c>
      <c r="G4" s="1">
        <f t="shared" ref="G4:G18" si="5">IF(AND($A4&lt;&gt;"",$B4&lt;&gt;""),G3-F4,"")</f>
        <v>21178.249277533887</v>
      </c>
      <c r="H4" s="1">
        <f t="shared" si="2"/>
        <v>3821.7507224661131</v>
      </c>
      <c r="J4" s="4" t="s">
        <v>11</v>
      </c>
      <c r="K4" s="26"/>
    </row>
    <row r="5" spans="1:11" x14ac:dyDescent="0.3">
      <c r="A5" s="19"/>
      <c r="B5" s="23" t="str">
        <f t="shared" si="3"/>
        <v/>
      </c>
      <c r="C5" s="20"/>
      <c r="D5" s="21" t="str">
        <f t="shared" si="0"/>
        <v/>
      </c>
      <c r="E5" s="21" t="str">
        <f t="shared" si="1"/>
        <v/>
      </c>
      <c r="F5" s="21" t="str">
        <f t="shared" si="4"/>
        <v/>
      </c>
      <c r="G5" s="21" t="str">
        <f t="shared" si="5"/>
        <v/>
      </c>
      <c r="H5" s="21" t="str">
        <f t="shared" si="2"/>
        <v/>
      </c>
      <c r="J5" s="4" t="s">
        <v>12</v>
      </c>
      <c r="K5" s="26"/>
    </row>
    <row r="6" spans="1:11" x14ac:dyDescent="0.3">
      <c r="A6" s="2"/>
      <c r="B6" s="22" t="str">
        <f t="shared" si="3"/>
        <v/>
      </c>
      <c r="C6" s="3"/>
      <c r="D6" s="1" t="str">
        <f t="shared" si="0"/>
        <v/>
      </c>
      <c r="E6" s="1" t="str">
        <f t="shared" si="1"/>
        <v/>
      </c>
      <c r="F6" s="1" t="str">
        <f t="shared" si="4"/>
        <v/>
      </c>
      <c r="G6" s="1" t="str">
        <f t="shared" si="5"/>
        <v/>
      </c>
      <c r="H6" s="1" t="str">
        <f t="shared" si="2"/>
        <v/>
      </c>
      <c r="J6" s="4" t="s">
        <v>13</v>
      </c>
      <c r="K6" s="26"/>
    </row>
    <row r="7" spans="1:11" x14ac:dyDescent="0.3">
      <c r="A7" s="19"/>
      <c r="B7" s="23" t="str">
        <f t="shared" si="3"/>
        <v/>
      </c>
      <c r="C7" s="20"/>
      <c r="D7" s="21" t="str">
        <f t="shared" si="0"/>
        <v/>
      </c>
      <c r="E7" s="21" t="str">
        <f t="shared" si="1"/>
        <v/>
      </c>
      <c r="F7" s="21" t="str">
        <f t="shared" si="4"/>
        <v/>
      </c>
      <c r="G7" s="21" t="str">
        <f t="shared" si="5"/>
        <v/>
      </c>
      <c r="H7" s="21" t="str">
        <f t="shared" si="2"/>
        <v/>
      </c>
      <c r="J7" s="4" t="s">
        <v>6</v>
      </c>
      <c r="K7" s="27">
        <v>25000</v>
      </c>
    </row>
    <row r="8" spans="1:11" x14ac:dyDescent="0.3">
      <c r="A8" s="2"/>
      <c r="B8" s="22" t="str">
        <f t="shared" si="3"/>
        <v/>
      </c>
      <c r="C8" s="3"/>
      <c r="D8" s="1" t="str">
        <f t="shared" si="0"/>
        <v/>
      </c>
      <c r="E8" s="1" t="str">
        <f t="shared" si="1"/>
        <v/>
      </c>
      <c r="F8" s="1" t="str">
        <f t="shared" si="4"/>
        <v/>
      </c>
      <c r="G8" s="1" t="str">
        <f t="shared" si="5"/>
        <v/>
      </c>
      <c r="H8" s="1" t="str">
        <f t="shared" si="2"/>
        <v/>
      </c>
      <c r="J8" s="4" t="s">
        <v>14</v>
      </c>
      <c r="K8" s="6">
        <f>RATE(K10,-K9,K7)</f>
        <v>2.005156207944599E-2</v>
      </c>
    </row>
    <row r="9" spans="1:11" x14ac:dyDescent="0.3">
      <c r="A9" s="19"/>
      <c r="B9" s="23" t="str">
        <f t="shared" si="3"/>
        <v/>
      </c>
      <c r="C9" s="20"/>
      <c r="D9" s="21" t="str">
        <f t="shared" si="0"/>
        <v/>
      </c>
      <c r="E9" s="21" t="str">
        <f t="shared" si="1"/>
        <v/>
      </c>
      <c r="F9" s="21" t="str">
        <f t="shared" si="4"/>
        <v/>
      </c>
      <c r="G9" s="21" t="str">
        <f t="shared" si="5"/>
        <v/>
      </c>
      <c r="H9" s="21" t="str">
        <f t="shared" si="2"/>
        <v/>
      </c>
      <c r="J9" s="4" t="s">
        <v>7</v>
      </c>
      <c r="K9" s="28">
        <v>1750</v>
      </c>
    </row>
    <row r="10" spans="1:11" x14ac:dyDescent="0.3">
      <c r="A10" s="2"/>
      <c r="B10" s="22" t="str">
        <f t="shared" si="3"/>
        <v/>
      </c>
      <c r="C10" s="3"/>
      <c r="D10" s="1" t="str">
        <f t="shared" si="0"/>
        <v/>
      </c>
      <c r="E10" s="1" t="str">
        <f t="shared" si="1"/>
        <v/>
      </c>
      <c r="F10" s="1" t="str">
        <f t="shared" si="4"/>
        <v/>
      </c>
      <c r="G10" s="1" t="str">
        <f t="shared" si="5"/>
        <v/>
      </c>
      <c r="H10" s="1" t="str">
        <f t="shared" si="2"/>
        <v/>
      </c>
      <c r="J10" s="4" t="s">
        <v>8</v>
      </c>
      <c r="K10" s="29">
        <v>17</v>
      </c>
    </row>
    <row r="11" spans="1:11" ht="17.25" thickBot="1" x14ac:dyDescent="0.35">
      <c r="A11" s="19"/>
      <c r="B11" s="23" t="str">
        <f t="shared" si="3"/>
        <v/>
      </c>
      <c r="C11" s="20"/>
      <c r="D11" s="21" t="str">
        <f t="shared" si="0"/>
        <v/>
      </c>
      <c r="E11" s="21" t="str">
        <f t="shared" si="1"/>
        <v/>
      </c>
      <c r="F11" s="21" t="str">
        <f t="shared" si="4"/>
        <v/>
      </c>
      <c r="G11" s="21" t="str">
        <f t="shared" si="5"/>
        <v/>
      </c>
      <c r="H11" s="21" t="str">
        <f t="shared" si="2"/>
        <v/>
      </c>
      <c r="J11" s="14"/>
    </row>
    <row r="12" spans="1:11" x14ac:dyDescent="0.3">
      <c r="A12" s="2"/>
      <c r="B12" s="22" t="str">
        <f t="shared" si="3"/>
        <v/>
      </c>
      <c r="C12" s="3"/>
      <c r="D12" s="1" t="str">
        <f t="shared" si="0"/>
        <v/>
      </c>
      <c r="E12" s="1" t="str">
        <f t="shared" si="1"/>
        <v/>
      </c>
      <c r="F12" s="1" t="str">
        <f t="shared" si="4"/>
        <v/>
      </c>
      <c r="G12" s="1" t="str">
        <f t="shared" si="5"/>
        <v/>
      </c>
      <c r="H12" s="1" t="str">
        <f t="shared" si="2"/>
        <v/>
      </c>
      <c r="J12" s="8" t="s">
        <v>16</v>
      </c>
      <c r="K12" s="9">
        <f>IFERROR(MAX($B:$B),"")</f>
        <v>3</v>
      </c>
    </row>
    <row r="13" spans="1:11" x14ac:dyDescent="0.3">
      <c r="A13" s="19"/>
      <c r="B13" s="23" t="str">
        <f t="shared" si="3"/>
        <v/>
      </c>
      <c r="C13" s="20"/>
      <c r="D13" s="21" t="str">
        <f t="shared" si="0"/>
        <v/>
      </c>
      <c r="E13" s="21" t="str">
        <f t="shared" si="1"/>
        <v/>
      </c>
      <c r="F13" s="21" t="str">
        <f t="shared" si="4"/>
        <v/>
      </c>
      <c r="G13" s="21" t="str">
        <f t="shared" si="5"/>
        <v/>
      </c>
      <c r="H13" s="21" t="str">
        <f t="shared" si="2"/>
        <v/>
      </c>
      <c r="J13" s="24" t="s">
        <v>22</v>
      </c>
      <c r="K13" s="11">
        <f>(K10*K9)-K9*K12</f>
        <v>24500</v>
      </c>
    </row>
    <row r="14" spans="1:11" x14ac:dyDescent="0.3">
      <c r="A14" s="2"/>
      <c r="B14" s="22" t="str">
        <f t="shared" si="3"/>
        <v/>
      </c>
      <c r="C14" s="3"/>
      <c r="D14" s="1" t="str">
        <f t="shared" si="0"/>
        <v/>
      </c>
      <c r="E14" s="1" t="str">
        <f t="shared" si="1"/>
        <v/>
      </c>
      <c r="F14" s="1" t="str">
        <f t="shared" si="4"/>
        <v/>
      </c>
      <c r="G14" s="1" t="str">
        <f t="shared" si="5"/>
        <v/>
      </c>
      <c r="H14" s="1" t="str">
        <f t="shared" si="2"/>
        <v/>
      </c>
      <c r="J14" s="10" t="s">
        <v>23</v>
      </c>
      <c r="K14" s="11">
        <f>IF(A2="", K9*K10, IFERROR(INDEX($G:$G, MATCH($K$12, $B:$B, 0)), 0))</f>
        <v>21178.249277533887</v>
      </c>
    </row>
    <row r="15" spans="1:11" ht="17.25" thickBot="1" x14ac:dyDescent="0.35">
      <c r="A15" s="19"/>
      <c r="B15" s="23" t="str">
        <f t="shared" si="3"/>
        <v/>
      </c>
      <c r="C15" s="20"/>
      <c r="D15" s="21" t="str">
        <f t="shared" si="0"/>
        <v/>
      </c>
      <c r="E15" s="21" t="str">
        <f t="shared" si="1"/>
        <v/>
      </c>
      <c r="F15" s="21" t="str">
        <f t="shared" si="4"/>
        <v/>
      </c>
      <c r="G15" s="21" t="str">
        <f t="shared" si="5"/>
        <v/>
      </c>
      <c r="H15" s="21" t="str">
        <f t="shared" si="2"/>
        <v/>
      </c>
      <c r="J15" s="12" t="s">
        <v>5</v>
      </c>
      <c r="K15" s="13">
        <f>IFERROR(INDEX($H:$H, MATCH($K$12, $B:$B, 0)), 0)</f>
        <v>3821.7507224661131</v>
      </c>
    </row>
    <row r="16" spans="1:11" x14ac:dyDescent="0.3">
      <c r="A16" s="2"/>
      <c r="B16" s="22" t="str">
        <f t="shared" si="3"/>
        <v/>
      </c>
      <c r="C16" s="3"/>
      <c r="D16" s="1" t="str">
        <f t="shared" si="0"/>
        <v/>
      </c>
      <c r="E16" s="1" t="str">
        <f t="shared" si="1"/>
        <v/>
      </c>
      <c r="F16" s="1" t="str">
        <f t="shared" si="4"/>
        <v/>
      </c>
      <c r="G16" s="1" t="str">
        <f t="shared" si="5"/>
        <v/>
      </c>
      <c r="H16" s="1" t="str">
        <f t="shared" si="2"/>
        <v/>
      </c>
      <c r="J16" s="15" t="s">
        <v>18</v>
      </c>
      <c r="K16" s="16">
        <f>IF(A2,A2, "")</f>
        <v>46287</v>
      </c>
    </row>
    <row r="17" spans="1:11" x14ac:dyDescent="0.3">
      <c r="A17" s="19"/>
      <c r="B17" s="23" t="str">
        <f t="shared" si="3"/>
        <v/>
      </c>
      <c r="C17" s="20"/>
      <c r="D17" s="21" t="str">
        <f t="shared" si="0"/>
        <v/>
      </c>
      <c r="E17" s="21" t="str">
        <f t="shared" si="1"/>
        <v/>
      </c>
      <c r="F17" s="21" t="str">
        <f t="shared" si="4"/>
        <v/>
      </c>
      <c r="G17" s="21" t="str">
        <f t="shared" si="5"/>
        <v/>
      </c>
      <c r="H17" s="21" t="str">
        <f t="shared" si="2"/>
        <v/>
      </c>
      <c r="J17" s="17" t="s">
        <v>19</v>
      </c>
      <c r="K17" s="18">
        <f xml:space="preserve"> IF(A2,(K16 + (17*7)),"")</f>
        <v>46406</v>
      </c>
    </row>
    <row r="18" spans="1:11" x14ac:dyDescent="0.3">
      <c r="A18" s="2"/>
      <c r="B18" s="22" t="str">
        <f t="shared" si="3"/>
        <v/>
      </c>
      <c r="C18" s="3"/>
      <c r="D18" s="1" t="str">
        <f t="shared" si="0"/>
        <v/>
      </c>
      <c r="E18" s="1" t="str">
        <f t="shared" si="1"/>
        <v/>
      </c>
      <c r="F18" s="1" t="str">
        <f t="shared" si="4"/>
        <v/>
      </c>
      <c r="G18" s="1" t="str">
        <f t="shared" si="5"/>
        <v/>
      </c>
      <c r="H18" s="1" t="str">
        <f t="shared" si="2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Loan1</vt:lpstr>
      <vt:lpstr>198</vt:lpstr>
      <vt:lpstr>226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2026-10-13T06:22:32Z</dcterms:modified>
</cp:coreProperties>
</file>