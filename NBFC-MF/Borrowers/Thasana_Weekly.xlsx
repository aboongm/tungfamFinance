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5" l="1"/>
  <c r="K14" i="5"/>
  <c r="K13" i="5"/>
  <c r="B18" i="5" l="1"/>
  <c r="B17" i="5"/>
  <c r="B16" i="5"/>
  <c r="B15" i="5"/>
  <c r="B14" i="5"/>
  <c r="B13" i="5"/>
  <c r="B12" i="5"/>
  <c r="B11" i="5"/>
  <c r="B2" i="5"/>
  <c r="B3" i="5" s="1"/>
  <c r="B4" i="5" s="1"/>
  <c r="B5" i="5" s="1"/>
  <c r="B6" i="5" s="1"/>
  <c r="B7" i="5" s="1"/>
  <c r="B8" i="5" s="1"/>
  <c r="B9" i="5" s="1"/>
  <c r="B10" i="5" s="1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8" i="5" l="1"/>
  <c r="E2" i="5" s="1"/>
  <c r="F2" i="5" s="1"/>
  <c r="G2" i="5" s="1"/>
  <c r="E3" i="5" s="1"/>
  <c r="F3" i="5" s="1"/>
  <c r="G3" i="5" s="1"/>
  <c r="E4" i="5" s="1"/>
  <c r="F4" i="5" s="1"/>
  <c r="G4" i="5" s="1"/>
  <c r="H4" i="5" s="1"/>
  <c r="H2" i="5" l="1"/>
  <c r="H3" i="5"/>
  <c r="E5" i="5" l="1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<sst xmlns="http://schemas.openxmlformats.org/spreadsheetml/2006/main" count="25" uniqueCount="24">
  <si>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</si>
  <si>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</si>
  <si>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</si>
  <si>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</si>
  <si>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</si>
  <si>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</si>
  <si>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</si>
  <si>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</si>
  <si>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</si>
  <si>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</si>
  <si>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</si>
  <si>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</si>
  <si>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</si>
  <si>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</si>
  <si>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</si>
  <si>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</si>
  <si>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</si>
  <si>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</si>
  <si>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</si>
  <si>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</si>
  <si>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</si>
  <si>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Thasana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</si>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</sst>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J13" sqref="J13:K15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42578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45901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4" t="str">
        <f ca="1">IF(K3&lt;&gt;"",
   "L" &amp; TEXT(K7,"0") &amp;
   IF(J10="Weeks","W","D") &amp; K10 &amp;
   "-" &amp; K3 &amp;
   "-N" &amp; RIGHT(CELL("filename",A1),LEN(CELL("filename",A1))-FIND("]",CELL("filename",A1))),
   "")</f>
        <v>L10000W17-Thasana-NLoan1</v>
      </c>
    </row>
    <row r="3" spans="1:11" x14ac:dyDescent="0.3">
      <c r="A3" s="19">
        <v>45911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1" x14ac:dyDescent="0.3">
      <c r="A4" s="2">
        <v>45918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45926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45935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45942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45957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45957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45972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9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5" t="s">
        <v>22</v>
      </c>
      <c r="K13" s="11">
        <f>(K10*K9)-K9*K12</f>
        <v>5600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5126.6976567527154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4873.3023432472846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45901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46020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yJKXs39IJJ1dlpKNhm9L51wv1GSzCfwQFhkxo0bX389XY397GqDMJiCFASIKiOHXFOOeDpIENQr0Tg31EkKmaQ==" saltValue="9JxR13MSzpe/kWAO/7zAf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2026-09-02T04:51:57Z</dcterms:modified>
</cp:coreProperties>
</file>