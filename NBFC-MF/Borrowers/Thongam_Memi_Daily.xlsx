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2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2" i="4"/>
  <c r="B13" i="4"/>
  <c r="B14" i="4"/>
  <c r="B15" i="4" s="1"/>
  <c r="B16" i="4" s="1"/>
  <c r="B17" i="4" s="1"/>
  <c r="B6" i="4"/>
  <c r="B7" i="4"/>
  <c r="B8" i="4"/>
  <c r="B9" i="4"/>
  <c r="B10" i="4"/>
  <c r="B11" i="4"/>
  <c r="B4" i="4"/>
  <c r="B5" i="4"/>
  <c r="K16" i="4" l="1"/>
  <c r="K17" i="4" s="1"/>
  <c r="K2" i="4" l="1"/>
  <c r="K12" i="4" l="1"/>
  <c r="E13" i="4"/>
  <c r="E29" i="4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F29" i="4" s="1"/>
  <c r="G29" i="4" s="1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F13" i="4" s="1"/>
  <c r="G13" i="4" s="1"/>
  <c r="D2" i="4"/>
  <c r="D3" i="4"/>
  <c r="K13" i="4" l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H29" i="4"/>
  <c r="E30" i="4"/>
  <c r="F30" i="4" s="1"/>
  <c r="G30" i="4" s="1"/>
  <c r="F14" i="4"/>
  <c r="G14" i="4" s="1"/>
  <c r="H13" i="4"/>
  <c r="E14" i="4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/>
  <c r="H14" i="4"/>
  <c r="E15" i="4"/>
  <c r="F15" i="4" s="1"/>
  <c r="G15" i="4" s="1"/>
  <c r="E7" i="4"/>
  <c r="F7" i="4" s="1"/>
  <c r="G7" i="4"/>
  <c r="H107" i="4" l="1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/>
  <c r="H31" i="4"/>
  <c r="H15" i="4"/>
  <c r="E16" i="4"/>
  <c r="F16" i="4" s="1"/>
  <c r="G16" i="4" s="1"/>
  <c r="E8" i="4"/>
  <c r="F8" i="4" s="1"/>
  <c r="G8" i="4" s="1"/>
  <c r="H7" i="4"/>
  <c r="E109" i="4" l="1"/>
  <c r="F109" i="4" s="1"/>
  <c r="H108" i="4"/>
  <c r="G109" i="4"/>
  <c r="E91" i="4"/>
  <c r="F91" i="4" s="1"/>
  <c r="G91" i="4"/>
  <c r="H90" i="4"/>
  <c r="H66" i="4"/>
  <c r="E67" i="4"/>
  <c r="F67" i="4" s="1"/>
  <c r="G67" i="4" s="1"/>
  <c r="G51" i="4"/>
  <c r="E51" i="4"/>
  <c r="F51" i="4" s="1"/>
  <c r="H50" i="4"/>
  <c r="E33" i="4"/>
  <c r="F33" i="4" s="1"/>
  <c r="G33" i="4" s="1"/>
  <c r="H32" i="4"/>
  <c r="E17" i="4"/>
  <c r="F17" i="4" s="1"/>
  <c r="G17" i="4" s="1"/>
  <c r="H16" i="4"/>
  <c r="H8" i="4"/>
  <c r="E9" i="4"/>
  <c r="F9" i="4" s="1"/>
  <c r="G9" i="4" s="1"/>
  <c r="E110" i="4" l="1"/>
  <c r="F110" i="4" s="1"/>
  <c r="G110" i="4" s="1"/>
  <c r="H109" i="4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H17" i="4"/>
  <c r="E18" i="4"/>
  <c r="F18" i="4" s="1"/>
  <c r="G18" i="4" s="1"/>
  <c r="E10" i="4"/>
  <c r="F10" i="4" s="1"/>
  <c r="G10" i="4" s="1"/>
  <c r="H9" i="4"/>
  <c r="G111" i="4" l="1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H34" i="4"/>
  <c r="G35" i="4"/>
  <c r="E19" i="4"/>
  <c r="F19" i="4" s="1"/>
  <c r="G19" i="4" s="1"/>
  <c r="H18" i="4"/>
  <c r="H10" i="4"/>
  <c r="E11" i="4"/>
  <c r="F11" i="4" s="1"/>
  <c r="G11" i="4" s="1"/>
  <c r="E112" i="4" l="1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G54" i="4"/>
  <c r="E54" i="4"/>
  <c r="F54" i="4" s="1"/>
  <c r="H53" i="4"/>
  <c r="E36" i="4"/>
  <c r="F36" i="4" s="1"/>
  <c r="G36" i="4"/>
  <c r="H35" i="4"/>
  <c r="H19" i="4"/>
  <c r="E20" i="4"/>
  <c r="F20" i="4" s="1"/>
  <c r="G20" i="4" s="1"/>
  <c r="H11" i="4"/>
  <c r="E12" i="4"/>
  <c r="F12" i="4" s="1"/>
  <c r="G12" i="4" s="1"/>
  <c r="H12" i="4" s="1"/>
  <c r="E113" i="4" l="1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H113" i="4" l="1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E115" i="4" l="1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G57" i="4"/>
  <c r="E57" i="4"/>
  <c r="F57" i="4" s="1"/>
  <c r="H56" i="4"/>
  <c r="H38" i="4"/>
  <c r="E39" i="4"/>
  <c r="F39" i="4" s="1"/>
  <c r="G39" i="4"/>
  <c r="H22" i="4"/>
  <c r="E23" i="4"/>
  <c r="F23" i="4" s="1"/>
  <c r="G23" i="4" s="1"/>
  <c r="H115" i="4" l="1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H116" i="4" l="1"/>
  <c r="E117" i="4"/>
  <c r="F117" i="4" s="1"/>
  <c r="G117" i="4" s="1"/>
  <c r="E99" i="4"/>
  <c r="F99" i="4" s="1"/>
  <c r="G99" i="4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E118" i="4" l="1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H118" i="4" l="1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H101" i="4" l="1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s="1"/>
  <c r="E103" i="4" l="1"/>
  <c r="F103" i="4" s="1"/>
  <c r="G103" i="4"/>
  <c r="H102" i="4"/>
  <c r="H78" i="4"/>
  <c r="E79" i="4"/>
  <c r="F79" i="4" s="1"/>
  <c r="G79" i="4" s="1"/>
  <c r="G45" i="4"/>
  <c r="E45" i="4"/>
  <c r="F45" i="4" s="1"/>
  <c r="H44" i="4"/>
  <c r="H103" i="4" l="1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H80" i="4" l="1"/>
  <c r="E81" i="4"/>
  <c r="F81" i="4" s="1"/>
  <c r="G81" i="4" s="1"/>
  <c r="H81" i="4" l="1"/>
  <c r="E82" i="4"/>
  <c r="F82" i="4" s="1"/>
  <c r="G82" i="4" s="1"/>
  <c r="F3" i="4"/>
  <c r="G3" i="4" s="1"/>
  <c r="E4" i="4" l="1"/>
  <c r="F4" i="4" s="1"/>
  <c r="G4" i="4" s="1"/>
  <c r="H3" i="4"/>
  <c r="H82" i="4"/>
  <c r="E83" i="4"/>
  <c r="F83" i="4" s="1"/>
  <c r="G83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K14" i="4" s="1"/>
  <c r="H84" i="4"/>
  <c r="E85" i="4"/>
  <c r="F85" i="4" s="1"/>
  <c r="G85" i="4" s="1"/>
  <c r="H6" i="4" l="1"/>
  <c r="K15" i="4" s="1"/>
  <c r="H85" i="4"/>
  <c r="E86" i="4"/>
  <c r="F86" i="4" s="1"/>
  <c r="G86" i="4" s="1"/>
  <c r="H86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<sst xmlns="http://schemas.openxmlformats.org/spreadsheetml/2006/main" count="25" uniqueCount="24">
  <si>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</si>
  <si>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</si>
  <si>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</si>
  <si>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</si>
  <si>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</si>
  <si>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</si>
  <si>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</si>
  <si>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</si>
  <si>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</si>
  <si>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</si>
  <si>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</si>
  <si>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</si>
  <si>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</si>
  <si>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</si>
  <si>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</si>
  <si>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</si>
  <si>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</si>
  <si>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</si>
  <si>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</si>
  <si>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</si>
  <si>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</si>
  <si>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Out(Int + Principal)</t>
  </si>
  <si>
    <t>Principal Outstanding</t>
  </si>
  <si>
    <t>Memi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</si>
</sst>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6" activePane="bottomLeft" state="frozen"/>
      <selection pane="bottomLeft" activeCell="A19" sqref="A19:A2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140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46273</v>
      </c>
      <c r="B2" s="23">
        <f>IF(A2&lt;&gt;"",1,"")</f>
        <v>1</v>
      </c>
      <c r="C2" s="3"/>
      <c r="D2" s="4">
        <f t="shared" ref="D2:D33" si="0">IF(AND($A2&lt;&gt;"",$B2&lt;&gt;""),$K$9,"")</f>
        <v>150</v>
      </c>
      <c r="E2" s="4">
        <f>IF(AND($A2&lt;&gt;"",$B2&lt;&gt;""),$K$7*$K$8,"")</f>
        <v>46.543559204647657</v>
      </c>
      <c r="F2" s="4">
        <f>IF(AND($A2&lt;&gt;"",$B2&lt;&gt;""),D2-E2,"")</f>
        <v>103.45644079535234</v>
      </c>
      <c r="G2" s="4">
        <f>IF(AND($A2&lt;&gt;"",$B2&lt;&gt;""),$K$7-F2,"")</f>
        <v>9896.543559204647</v>
      </c>
      <c r="H2" s="4">
        <f>IF(AND($A2&lt;&gt;"",$B2&lt;&gt;""),$K$7-G2,"")</f>
        <v>103.45644079535305</v>
      </c>
      <c r="J2" s="5" t="s">
        <v>17</v>
      </c>
      <c r="K2" s="31" t="str">
        <f ca="1">IF(K3&lt;&gt;"",
   "L" &amp; TEXT(K7,"0") &amp;
   IF(J10="Weeks","W","D") &amp; K10 &amp;
   "-" &amp; K3 &amp;
   "-N" &amp; RIGHT(CELL("filename",A1),LEN(CELL("filename",A1))-FIND("]",CELL("filename",A1))),
   "")</f>
        <v>L10000D80-Memi-N222</v>
      </c>
    </row>
    <row r="3" spans="1:12" x14ac:dyDescent="0.3">
      <c r="A3" s="19">
        <v>46274</v>
      </c>
      <c r="B3" s="24">
        <f>IF(A3&lt;&gt;"",B2+1,"")</f>
        <v>2</v>
      </c>
      <c r="C3" s="20"/>
      <c r="D3" s="21">
        <f t="shared" si="0"/>
        <v>150</v>
      </c>
      <c r="E3" s="21">
        <f t="shared" ref="E3:E34" si="1">IF(AND($A3&lt;&gt;"",$B3&lt;&gt;""),G2*$K$8,"")</f>
        <v>46.062036106921596</v>
      </c>
      <c r="F3" s="21">
        <f>IF(AND($A3&lt;&gt;"",$B3&lt;&gt;""),D3-E3,"")</f>
        <v>103.9379638930784</v>
      </c>
      <c r="G3" s="21">
        <f>IF(AND($A3&lt;&gt;"",$B3&lt;&gt;""),G2-F3,"")</f>
        <v>9792.6055953115683</v>
      </c>
      <c r="H3" s="21">
        <f t="shared" ref="H3:H34" si="2">IF(AND($A3&lt;&gt;"",$B3&lt;&gt;""),$K$7-G3,"")</f>
        <v>207.39440468843168</v>
      </c>
      <c r="J3" s="5" t="s">
        <v>10</v>
      </c>
      <c r="K3" s="26" t="s">
        <v>23</v>
      </c>
    </row>
    <row r="4" spans="1:12" x14ac:dyDescent="0.3">
      <c r="A4" s="2">
        <v>46276</v>
      </c>
      <c r="B4" s="23">
        <f t="shared" ref="B4:B67" si="3">IF(A4&lt;&gt;"",B3+1,"")</f>
        <v>3</v>
      </c>
      <c r="C4" s="3"/>
      <c r="D4" s="4">
        <f t="shared" si="0"/>
        <v>150</v>
      </c>
      <c r="E4" s="4">
        <f t="shared" si="1"/>
        <v>45.578271829314794</v>
      </c>
      <c r="F4" s="4">
        <f>IF(AND($A4&lt;&gt;"",$B4&lt;&gt;""),D4-E4,"")</f>
        <v>104.42172817068521</v>
      </c>
      <c r="G4" s="4">
        <f>IF(AND($A4&lt;&gt;"",$B4&lt;&gt;""),G3-F4,"")</f>
        <v>9688.1838671408823</v>
      </c>
      <c r="H4" s="4">
        <f t="shared" si="2"/>
        <v>311.81613285911772</v>
      </c>
      <c r="J4" s="5" t="s">
        <v>11</v>
      </c>
      <c r="K4" s="26"/>
    </row>
    <row r="5" spans="1:12" x14ac:dyDescent="0.3">
      <c r="A5" s="19">
        <v>46276</v>
      </c>
      <c r="B5" s="24">
        <f t="shared" si="3"/>
        <v>4</v>
      </c>
      <c r="C5" s="20"/>
      <c r="D5" s="21">
        <f t="shared" si="0"/>
        <v>150</v>
      </c>
      <c r="E5" s="21">
        <f t="shared" si="1"/>
        <v>45.092255940578397</v>
      </c>
      <c r="F5" s="21">
        <f>IF(AND($A5&lt;&gt;"",$B5&lt;&gt;""),D5-E5,"")</f>
        <v>104.9077440594216</v>
      </c>
      <c r="G5" s="21">
        <f>IF(AND($A5&lt;&gt;"",$B5&lt;&gt;""),G4-F5,"")</f>
        <v>9583.2761230814613</v>
      </c>
      <c r="H5" s="21">
        <f t="shared" si="2"/>
        <v>416.72387691853874</v>
      </c>
      <c r="J5" s="5" t="s">
        <v>12</v>
      </c>
      <c r="K5" s="26"/>
    </row>
    <row r="6" spans="1:12" x14ac:dyDescent="0.3">
      <c r="A6" s="2">
        <v>46278</v>
      </c>
      <c r="B6" s="23">
        <f t="shared" si="3"/>
        <v>5</v>
      </c>
      <c r="C6" s="3"/>
      <c r="D6" s="4">
        <f t="shared" si="0"/>
        <v>150</v>
      </c>
      <c r="E6" s="4">
        <f t="shared" si="1"/>
        <v>44.603977960912829</v>
      </c>
      <c r="F6" s="4">
        <f>IF(AND($A6&lt;&gt;"",$B6&lt;&gt;""),D6-E6,"")</f>
        <v>105.39602203908717</v>
      </c>
      <c r="G6" s="4">
        <f t="shared" ref="G6:G69" si="4">IF(AND($A6&lt;&gt;"",$B6&lt;&gt;""),G5-F6,"")</f>
        <v>9477.880101042374</v>
      </c>
      <c r="H6" s="4">
        <f t="shared" si="2"/>
        <v>522.11989895762599</v>
      </c>
      <c r="J6" s="5" t="s">
        <v>13</v>
      </c>
      <c r="K6" s="26"/>
    </row>
    <row r="7" spans="1:12" x14ac:dyDescent="0.3">
      <c r="A7" s="19">
        <v>46280</v>
      </c>
      <c r="B7" s="24">
        <f t="shared" si="3"/>
        <v>6</v>
      </c>
      <c r="C7" s="20"/>
      <c r="D7" s="21">
        <f t="shared" si="0"/>
        <v>150</v>
      </c>
      <c r="E7" s="21">
        <f t="shared" si="1"/>
        <v>44.113427361741763</v>
      </c>
      <c r="F7" s="21">
        <f t="shared" ref="F7:F70" si="5">IF(AND($A7&lt;&gt;"",$B7&lt;&gt;""),D7-E7,"")</f>
        <v>105.88657263825823</v>
      </c>
      <c r="G7" s="21">
        <f t="shared" si="4"/>
        <v>9371.9935284041167</v>
      </c>
      <c r="H7" s="21">
        <f t="shared" si="2"/>
        <v>628.00647159588334</v>
      </c>
      <c r="J7" s="5" t="s">
        <v>7</v>
      </c>
      <c r="K7" s="27">
        <v>10000</v>
      </c>
    </row>
    <row r="8" spans="1:12" x14ac:dyDescent="0.3">
      <c r="A8" s="2">
        <v>46280</v>
      </c>
      <c r="B8" s="23">
        <f t="shared" si="3"/>
        <v>7</v>
      </c>
      <c r="C8" s="3"/>
      <c r="D8" s="4">
        <f t="shared" si="0"/>
        <v>150</v>
      </c>
      <c r="E8" s="4">
        <f t="shared" si="1"/>
        <v>43.620593565485173</v>
      </c>
      <c r="F8" s="4">
        <f t="shared" si="5"/>
        <v>106.37940643451483</v>
      </c>
      <c r="G8" s="4">
        <f t="shared" si="4"/>
        <v>9265.6141219696019</v>
      </c>
      <c r="H8" s="4">
        <f t="shared" si="2"/>
        <v>734.38587803039809</v>
      </c>
      <c r="J8" s="5" t="s">
        <v>14</v>
      </c>
      <c r="K8" s="28">
        <f>RATE(K10,-K9,K7)</f>
        <v>4.6543559204647658E-3</v>
      </c>
    </row>
    <row r="9" spans="1:12" x14ac:dyDescent="0.3">
      <c r="A9" s="19">
        <v>46285</v>
      </c>
      <c r="B9" s="24">
        <f t="shared" si="3"/>
        <v>8</v>
      </c>
      <c r="C9" s="20"/>
      <c r="D9" s="21">
        <f t="shared" si="0"/>
        <v>150</v>
      </c>
      <c r="E9" s="21">
        <f t="shared" si="1"/>
        <v>43.125465945331158</v>
      </c>
      <c r="F9" s="21">
        <f t="shared" si="5"/>
        <v>106.87453405466884</v>
      </c>
      <c r="G9" s="21">
        <f t="shared" si="4"/>
        <v>9158.7395879149335</v>
      </c>
      <c r="H9" s="21">
        <f t="shared" si="2"/>
        <v>841.26041208506649</v>
      </c>
      <c r="J9" s="5" t="s">
        <v>8</v>
      </c>
      <c r="K9" s="29">
        <v>150</v>
      </c>
    </row>
    <row r="10" spans="1:12" x14ac:dyDescent="0.3">
      <c r="A10" s="2">
        <v>46285</v>
      </c>
      <c r="B10" s="23">
        <f t="shared" si="3"/>
        <v>9</v>
      </c>
      <c r="C10" s="3"/>
      <c r="D10" s="4">
        <f t="shared" si="0"/>
        <v>150</v>
      </c>
      <c r="E10" s="4">
        <f t="shared" si="1"/>
        <v>42.628033825006902</v>
      </c>
      <c r="F10" s="4">
        <f t="shared" si="5"/>
        <v>107.3719661749931</v>
      </c>
      <c r="G10" s="4">
        <f t="shared" si="4"/>
        <v>9051.3676217399407</v>
      </c>
      <c r="H10" s="4">
        <f t="shared" si="2"/>
        <v>948.63237826005934</v>
      </c>
      <c r="J10" s="5" t="s">
        <v>15</v>
      </c>
      <c r="K10" s="30">
        <v>80</v>
      </c>
    </row>
    <row r="11" spans="1:12" ht="17.25" thickBot="1" x14ac:dyDescent="0.35">
      <c r="A11" s="19">
        <v>46292</v>
      </c>
      <c r="B11" s="24">
        <f t="shared" si="3"/>
        <v>10</v>
      </c>
      <c r="C11" s="20"/>
      <c r="D11" s="21">
        <f t="shared" si="0"/>
        <v>150</v>
      </c>
      <c r="E11" s="21">
        <f t="shared" si="1"/>
        <v>42.128286478548382</v>
      </c>
      <c r="F11" s="21">
        <f t="shared" si="5"/>
        <v>107.87171352145162</v>
      </c>
      <c r="G11" s="21">
        <f t="shared" si="4"/>
        <v>8943.4959082184887</v>
      </c>
      <c r="H11" s="21">
        <f t="shared" si="2"/>
        <v>1056.5040917815113</v>
      </c>
      <c r="J11" s="8"/>
      <c r="L11" s="22"/>
    </row>
    <row r="12" spans="1:12" x14ac:dyDescent="0.3">
      <c r="A12" s="2">
        <v>46292</v>
      </c>
      <c r="B12" s="23">
        <f t="shared" si="3"/>
        <v>11</v>
      </c>
      <c r="C12" s="3"/>
      <c r="D12" s="4">
        <f t="shared" si="0"/>
        <v>150</v>
      </c>
      <c r="E12" s="4">
        <f t="shared" si="1"/>
        <v>41.626213130069132</v>
      </c>
      <c r="F12" s="4">
        <f t="shared" si="5"/>
        <v>108.37378686993087</v>
      </c>
      <c r="G12" s="4">
        <f t="shared" si="4"/>
        <v>8835.1221213485587</v>
      </c>
      <c r="H12" s="4">
        <f t="shared" si="2"/>
        <v>1164.8778786514413</v>
      </c>
      <c r="J12" s="9" t="s">
        <v>16</v>
      </c>
      <c r="K12" s="10">
        <f>IFERROR(MAX($B:$B),"")</f>
        <v>20</v>
      </c>
    </row>
    <row r="13" spans="1:12" x14ac:dyDescent="0.3">
      <c r="A13" s="19">
        <v>46292</v>
      </c>
      <c r="B13" s="24">
        <f t="shared" si="3"/>
        <v>12</v>
      </c>
      <c r="C13" s="20"/>
      <c r="D13" s="21">
        <f t="shared" si="0"/>
        <v>150</v>
      </c>
      <c r="E13" s="21">
        <f t="shared" si="1"/>
        <v>41.121802953527883</v>
      </c>
      <c r="F13" s="21">
        <f t="shared" si="5"/>
        <v>108.87819704647211</v>
      </c>
      <c r="G13" s="21">
        <f t="shared" si="4"/>
        <v>8726.2439243020872</v>
      </c>
      <c r="H13" s="21">
        <f t="shared" si="2"/>
        <v>1273.7560756979128</v>
      </c>
      <c r="J13" s="25" t="s">
        <v>21</v>
      </c>
      <c r="K13" s="12">
        <f>(K10*K9)-K9*K12</f>
        <v>9000</v>
      </c>
    </row>
    <row r="14" spans="1:12" x14ac:dyDescent="0.3">
      <c r="A14" s="2">
        <v>46297</v>
      </c>
      <c r="B14" s="23">
        <f t="shared" si="3"/>
        <v>13</v>
      </c>
      <c r="C14" s="3"/>
      <c r="D14" s="4">
        <f t="shared" si="0"/>
        <v>150</v>
      </c>
      <c r="E14" s="4">
        <f t="shared" si="1"/>
        <v>40.615045072495114</v>
      </c>
      <c r="F14" s="4">
        <f t="shared" si="5"/>
        <v>109.38495492750488</v>
      </c>
      <c r="G14" s="4">
        <f t="shared" si="4"/>
        <v>8616.8589693745816</v>
      </c>
      <c r="H14" s="4">
        <f t="shared" si="2"/>
        <v>1383.1410306254184</v>
      </c>
      <c r="J14" s="11" t="s">
        <v>22</v>
      </c>
      <c r="K14" s="12">
        <f>IF(A2="", K9*K10, IFERROR(INDEX($G:$G, MATCH($K$12, $B:$B, 0)), 0))</f>
        <v>7836.7755494887006</v>
      </c>
    </row>
    <row r="15" spans="1:12" ht="17.25" thickBot="1" x14ac:dyDescent="0.35">
      <c r="A15" s="19">
        <v>46297</v>
      </c>
      <c r="B15" s="24">
        <f t="shared" si="3"/>
        <v>14</v>
      </c>
      <c r="C15" s="20"/>
      <c r="D15" s="21">
        <f t="shared" si="0"/>
        <v>150</v>
      </c>
      <c r="E15" s="21">
        <f t="shared" si="1"/>
        <v>40.105928559918503</v>
      </c>
      <c r="F15" s="21">
        <f t="shared" si="5"/>
        <v>109.89407144008149</v>
      </c>
      <c r="G15" s="21">
        <f t="shared" si="4"/>
        <v>8506.9648979345002</v>
      </c>
      <c r="H15" s="21">
        <f t="shared" si="2"/>
        <v>1493.0351020654998</v>
      </c>
      <c r="J15" s="13" t="s">
        <v>6</v>
      </c>
      <c r="K15" s="14">
        <f>IFERROR(INDEX($H:$H, MATCH($K$12, $B:$B, 0)), 0)</f>
        <v>2163.2244505112994</v>
      </c>
    </row>
    <row r="16" spans="1:12" x14ac:dyDescent="0.3">
      <c r="A16" s="2">
        <v>46297</v>
      </c>
      <c r="B16" s="23">
        <f t="shared" si="3"/>
        <v>15</v>
      </c>
      <c r="C16" s="3"/>
      <c r="D16" s="4">
        <f t="shared" si="0"/>
        <v>150</v>
      </c>
      <c r="E16" s="4">
        <f t="shared" si="1"/>
        <v>39.59444243788738</v>
      </c>
      <c r="F16" s="4">
        <f t="shared" si="5"/>
        <v>110.40555756211262</v>
      </c>
      <c r="G16" s="4">
        <f t="shared" si="4"/>
        <v>8396.5593403723869</v>
      </c>
      <c r="H16" s="4">
        <f t="shared" si="2"/>
        <v>1603.4406596276131</v>
      </c>
      <c r="J16" s="15" t="s">
        <v>18</v>
      </c>
      <c r="K16" s="16">
        <f>IF(A2,A2, "")</f>
        <v>46273</v>
      </c>
    </row>
    <row r="17" spans="1:11" x14ac:dyDescent="0.3">
      <c r="A17" s="19">
        <v>46297</v>
      </c>
      <c r="B17" s="24">
        <f t="shared" si="3"/>
        <v>16</v>
      </c>
      <c r="C17" s="20"/>
      <c r="D17" s="21">
        <f t="shared" si="0"/>
        <v>150</v>
      </c>
      <c r="E17" s="21">
        <f t="shared" si="1"/>
        <v>39.080575677395949</v>
      </c>
      <c r="F17" s="21">
        <f t="shared" si="5"/>
        <v>110.91942432260404</v>
      </c>
      <c r="G17" s="21">
        <f t="shared" si="4"/>
        <v>8285.6399160497822</v>
      </c>
      <c r="H17" s="21">
        <f t="shared" si="2"/>
        <v>1714.3600839502178</v>
      </c>
      <c r="J17" s="17" t="s">
        <v>19</v>
      </c>
      <c r="K17" s="18">
        <f xml:space="preserve"> IF(A2,(K16 + 120),"")</f>
        <v>46393</v>
      </c>
    </row>
    <row r="18" spans="1:11" x14ac:dyDescent="0.3">
      <c r="A18" s="2">
        <v>46304</v>
      </c>
      <c r="B18" s="23">
        <f t="shared" si="3"/>
        <v>17</v>
      </c>
      <c r="C18" s="3"/>
      <c r="D18" s="4">
        <f t="shared" si="0"/>
        <v>150</v>
      </c>
      <c r="E18" s="4">
        <f t="shared" si="1"/>
        <v>38.564317198105492</v>
      </c>
      <c r="F18" s="4">
        <f t="shared" si="5"/>
        <v>111.4356828018945</v>
      </c>
      <c r="G18" s="4">
        <f t="shared" si="4"/>
        <v>8174.2042332478877</v>
      </c>
      <c r="H18" s="4">
        <f t="shared" si="2"/>
        <v>1825.7957667521123</v>
      </c>
    </row>
    <row r="19" spans="1:11" x14ac:dyDescent="0.3">
      <c r="A19" s="19">
        <v>46304</v>
      </c>
      <c r="B19" s="24">
        <f t="shared" si="3"/>
        <v>18</v>
      </c>
      <c r="C19" s="20"/>
      <c r="D19" s="21">
        <f t="shared" si="0"/>
        <v>150</v>
      </c>
      <c r="E19" s="21">
        <f t="shared" si="1"/>
        <v>38.045655868105456</v>
      </c>
      <c r="F19" s="21">
        <f t="shared" si="5"/>
        <v>111.95434413189454</v>
      </c>
      <c r="G19" s="21">
        <f t="shared" si="4"/>
        <v>8062.249889115993</v>
      </c>
      <c r="H19" s="21">
        <f t="shared" si="2"/>
        <v>1937.750110884007</v>
      </c>
    </row>
    <row r="20" spans="1:11" x14ac:dyDescent="0.3">
      <c r="A20" s="2">
        <v>46304</v>
      </c>
      <c r="B20" s="23">
        <f t="shared" si="3"/>
        <v>19</v>
      </c>
      <c r="C20" s="3"/>
      <c r="D20" s="4">
        <f t="shared" si="0"/>
        <v>150</v>
      </c>
      <c r="E20" s="4">
        <f t="shared" si="1"/>
        <v>37.524580503673427</v>
      </c>
      <c r="F20" s="4">
        <f t="shared" si="5"/>
        <v>112.47541949632657</v>
      </c>
      <c r="G20" s="4">
        <f t="shared" si="4"/>
        <v>7949.7744696196669</v>
      </c>
      <c r="H20" s="4">
        <f t="shared" si="2"/>
        <v>2050.2255303803331</v>
      </c>
      <c r="J20" s="22"/>
      <c r="K20" s="22"/>
    </row>
    <row r="21" spans="1:11" x14ac:dyDescent="0.3">
      <c r="A21" s="19">
        <v>46304</v>
      </c>
      <c r="B21" s="24">
        <f t="shared" si="3"/>
        <v>20</v>
      </c>
      <c r="C21" s="20"/>
      <c r="D21" s="21">
        <f t="shared" si="0"/>
        <v>150</v>
      </c>
      <c r="E21" s="21">
        <f t="shared" si="1"/>
        <v>37.001079869033937</v>
      </c>
      <c r="F21" s="21">
        <f t="shared" si="5"/>
        <v>112.99892013096607</v>
      </c>
      <c r="G21" s="21">
        <f t="shared" si="4"/>
        <v>7836.7755494887006</v>
      </c>
      <c r="H21" s="21">
        <f t="shared" si="2"/>
        <v>2163.2244505112994</v>
      </c>
    </row>
    <row r="22" spans="1:11" x14ac:dyDescent="0.3">
      <c r="A22" s="2"/>
      <c r="B22" s="23" t="str">
        <f t="shared" si="3"/>
        <v/>
      </c>
      <c r="C22" s="3"/>
      <c r="D22" s="4" t="str">
        <f t="shared" si="0"/>
        <v/>
      </c>
      <c r="E22" s="4" t="str">
        <f t="shared" si="1"/>
        <v/>
      </c>
      <c r="F22" s="4" t="str">
        <f t="shared" si="5"/>
        <v/>
      </c>
      <c r="G22" s="4" t="str">
        <f t="shared" si="4"/>
        <v/>
      </c>
      <c r="H22" s="4" t="str">
        <f t="shared" si="2"/>
        <v/>
      </c>
    </row>
    <row r="23" spans="1:11" x14ac:dyDescent="0.3">
      <c r="A23" s="19"/>
      <c r="B23" s="24" t="str">
        <f t="shared" si="3"/>
        <v/>
      </c>
      <c r="C23" s="20"/>
      <c r="D23" s="21" t="str">
        <f t="shared" si="0"/>
        <v/>
      </c>
      <c r="E23" s="21" t="str">
        <f t="shared" si="1"/>
        <v/>
      </c>
      <c r="F23" s="21" t="str">
        <f t="shared" si="5"/>
        <v/>
      </c>
      <c r="G23" s="21" t="str">
        <f t="shared" si="4"/>
        <v/>
      </c>
      <c r="H23" s="21" t="str">
        <f t="shared" si="2"/>
        <v/>
      </c>
    </row>
    <row r="24" spans="1:11" x14ac:dyDescent="0.3">
      <c r="A24" s="2"/>
      <c r="B24" s="23" t="str">
        <f t="shared" si="3"/>
        <v/>
      </c>
      <c r="C24" s="3"/>
      <c r="D24" s="4" t="str">
        <f t="shared" si="0"/>
        <v/>
      </c>
      <c r="E24" s="4" t="str">
        <f t="shared" si="1"/>
        <v/>
      </c>
      <c r="F24" s="4" t="str">
        <f t="shared" si="5"/>
        <v/>
      </c>
      <c r="G24" s="4" t="str">
        <f t="shared" si="4"/>
        <v/>
      </c>
      <c r="H24" s="4" t="str">
        <f t="shared" si="2"/>
        <v/>
      </c>
    </row>
    <row r="25" spans="1:11" x14ac:dyDescent="0.3">
      <c r="A25" s="19"/>
      <c r="B25" s="24" t="str">
        <f t="shared" si="3"/>
        <v/>
      </c>
      <c r="C25" s="20"/>
      <c r="D25" s="21" t="str">
        <f t="shared" si="0"/>
        <v/>
      </c>
      <c r="E25" s="21" t="str">
        <f t="shared" si="1"/>
        <v/>
      </c>
      <c r="F25" s="21" t="str">
        <f t="shared" si="5"/>
        <v/>
      </c>
      <c r="G25" s="21" t="str">
        <f t="shared" si="4"/>
        <v/>
      </c>
      <c r="H25" s="21" t="str">
        <f t="shared" si="2"/>
        <v/>
      </c>
    </row>
    <row r="26" spans="1:11" x14ac:dyDescent="0.3">
      <c r="A26" s="2"/>
      <c r="B26" s="23" t="str">
        <f t="shared" si="3"/>
        <v/>
      </c>
      <c r="C26" s="3"/>
      <c r="D26" s="4" t="str">
        <f t="shared" si="0"/>
        <v/>
      </c>
      <c r="E26" s="4" t="str">
        <f t="shared" si="1"/>
        <v/>
      </c>
      <c r="F26" s="4" t="str">
        <f t="shared" si="5"/>
        <v/>
      </c>
      <c r="G26" s="4" t="str">
        <f t="shared" si="4"/>
        <v/>
      </c>
      <c r="H26" s="4" t="str">
        <f t="shared" si="2"/>
        <v/>
      </c>
    </row>
    <row r="27" spans="1:11" x14ac:dyDescent="0.3">
      <c r="A27" s="19"/>
      <c r="B27" s="24" t="str">
        <f t="shared" si="3"/>
        <v/>
      </c>
      <c r="C27" s="20"/>
      <c r="D27" s="21" t="str">
        <f t="shared" si="0"/>
        <v/>
      </c>
      <c r="E27" s="21" t="str">
        <f t="shared" si="1"/>
        <v/>
      </c>
      <c r="F27" s="21" t="str">
        <f t="shared" si="5"/>
        <v/>
      </c>
      <c r="G27" s="21" t="str">
        <f t="shared" si="4"/>
        <v/>
      </c>
      <c r="H27" s="21" t="str">
        <f t="shared" si="2"/>
        <v/>
      </c>
    </row>
    <row r="28" spans="1:11" x14ac:dyDescent="0.3">
      <c r="A28" s="2"/>
      <c r="B28" s="23" t="str">
        <f t="shared" si="3"/>
        <v/>
      </c>
      <c r="C28" s="3"/>
      <c r="D28" s="4" t="str">
        <f t="shared" si="0"/>
        <v/>
      </c>
      <c r="E28" s="4" t="str">
        <f t="shared" si="1"/>
        <v/>
      </c>
      <c r="F28" s="4" t="str">
        <f t="shared" si="5"/>
        <v/>
      </c>
      <c r="G28" s="4" t="str">
        <f t="shared" si="4"/>
        <v/>
      </c>
      <c r="H28" s="4" t="str">
        <f t="shared" si="2"/>
        <v/>
      </c>
    </row>
    <row r="29" spans="1:11" x14ac:dyDescent="0.3">
      <c r="A29" s="19"/>
      <c r="B29" s="24" t="str">
        <f t="shared" si="3"/>
        <v/>
      </c>
      <c r="C29" s="20"/>
      <c r="D29" s="21" t="str">
        <f t="shared" si="0"/>
        <v/>
      </c>
      <c r="E29" s="21" t="str">
        <f t="shared" si="1"/>
        <v/>
      </c>
      <c r="F29" s="21" t="str">
        <f t="shared" si="5"/>
        <v/>
      </c>
      <c r="G29" s="21" t="str">
        <f t="shared" si="4"/>
        <v/>
      </c>
      <c r="H29" s="21" t="str">
        <f t="shared" si="2"/>
        <v/>
      </c>
    </row>
    <row r="30" spans="1:11" x14ac:dyDescent="0.3">
      <c r="A30" s="2"/>
      <c r="B30" s="23" t="str">
        <f t="shared" si="3"/>
        <v/>
      </c>
      <c r="C30" s="3"/>
      <c r="D30" s="4" t="str">
        <f t="shared" si="0"/>
        <v/>
      </c>
      <c r="E30" s="4" t="str">
        <f t="shared" si="1"/>
        <v/>
      </c>
      <c r="F30" s="4" t="str">
        <f t="shared" si="5"/>
        <v/>
      </c>
      <c r="G30" s="4" t="str">
        <f t="shared" si="4"/>
        <v/>
      </c>
      <c r="H30" s="4" t="str">
        <f t="shared" si="2"/>
        <v/>
      </c>
    </row>
    <row r="31" spans="1:11" x14ac:dyDescent="0.3">
      <c r="A31" s="19"/>
      <c r="B31" s="24" t="str">
        <f t="shared" si="3"/>
        <v/>
      </c>
      <c r="C31" s="20"/>
      <c r="D31" s="21" t="str">
        <f t="shared" si="0"/>
        <v/>
      </c>
      <c r="E31" s="21" t="str">
        <f t="shared" si="1"/>
        <v/>
      </c>
      <c r="F31" s="21" t="str">
        <f t="shared" si="5"/>
        <v/>
      </c>
      <c r="G31" s="21" t="str">
        <f t="shared" si="4"/>
        <v/>
      </c>
      <c r="H31" s="21" t="str">
        <f t="shared" si="2"/>
        <v/>
      </c>
    </row>
    <row r="32" spans="1:11" x14ac:dyDescent="0.3">
      <c r="A32" s="2"/>
      <c r="B32" s="23" t="str">
        <f t="shared" si="3"/>
        <v/>
      </c>
      <c r="C32" s="3"/>
      <c r="D32" s="4" t="str">
        <f t="shared" si="0"/>
        <v/>
      </c>
      <c r="E32" s="4" t="str">
        <f t="shared" si="1"/>
        <v/>
      </c>
      <c r="F32" s="4" t="str">
        <f t="shared" si="5"/>
        <v/>
      </c>
      <c r="G32" s="4" t="str">
        <f t="shared" si="4"/>
        <v/>
      </c>
      <c r="H32" s="4" t="str">
        <f t="shared" si="2"/>
        <v/>
      </c>
    </row>
    <row r="33" spans="1:8" x14ac:dyDescent="0.3">
      <c r="A33" s="19"/>
      <c r="B33" s="24" t="str">
        <f t="shared" si="3"/>
        <v/>
      </c>
      <c r="C33" s="20"/>
      <c r="D33" s="21" t="str">
        <f t="shared" si="0"/>
        <v/>
      </c>
      <c r="E33" s="21" t="str">
        <f t="shared" si="1"/>
        <v/>
      </c>
      <c r="F33" s="21" t="str">
        <f t="shared" si="5"/>
        <v/>
      </c>
      <c r="G33" s="21" t="str">
        <f t="shared" si="4"/>
        <v/>
      </c>
      <c r="H33" s="21" t="str">
        <f t="shared" si="2"/>
        <v/>
      </c>
    </row>
    <row r="34" spans="1:8" x14ac:dyDescent="0.3">
      <c r="A34" s="2"/>
      <c r="B34" s="23" t="str">
        <f t="shared" si="3"/>
        <v/>
      </c>
      <c r="C34" s="3"/>
      <c r="D34" s="4" t="str">
        <f t="shared" ref="D34:D65" si="6">IF(AND($A34&lt;&gt;"",$B34&lt;&gt;""),$K$9,"")</f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6"/>
        <v/>
      </c>
      <c r="E35" s="21" t="str">
        <f t="shared" ref="E35:E66" si="7">IF(AND($A35&lt;&gt;"",$B35&lt;&gt;""),G34*$K$8,"")</f>
        <v/>
      </c>
      <c r="F35" s="21" t="str">
        <f t="shared" si="5"/>
        <v/>
      </c>
      <c r="G35" s="21" t="str">
        <f t="shared" si="4"/>
        <v/>
      </c>
      <c r="H35" s="21" t="str">
        <f t="shared" ref="H35:H66" si="8">IF(AND($A35&lt;&gt;"",$B35&lt;&gt;""),$K$7-G35,"")</f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6"/>
        <v/>
      </c>
      <c r="E36" s="4" t="str">
        <f t="shared" si="7"/>
        <v/>
      </c>
      <c r="F36" s="4" t="str">
        <f t="shared" si="5"/>
        <v/>
      </c>
      <c r="G36" s="4" t="str">
        <f t="shared" si="4"/>
        <v/>
      </c>
      <c r="H36" s="4" t="str">
        <f t="shared" si="8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6"/>
        <v/>
      </c>
      <c r="E37" s="21" t="str">
        <f t="shared" si="7"/>
        <v/>
      </c>
      <c r="F37" s="21" t="str">
        <f t="shared" si="5"/>
        <v/>
      </c>
      <c r="G37" s="21" t="str">
        <f t="shared" si="4"/>
        <v/>
      </c>
      <c r="H37" s="21" t="str">
        <f t="shared" si="8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6"/>
        <v/>
      </c>
      <c r="E38" s="4" t="str">
        <f t="shared" si="7"/>
        <v/>
      </c>
      <c r="F38" s="4" t="str">
        <f t="shared" si="5"/>
        <v/>
      </c>
      <c r="G38" s="4" t="str">
        <f t="shared" si="4"/>
        <v/>
      </c>
      <c r="H38" s="4" t="str">
        <f t="shared" si="8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6"/>
        <v/>
      </c>
      <c r="E39" s="21" t="str">
        <f t="shared" si="7"/>
        <v/>
      </c>
      <c r="F39" s="21" t="str">
        <f t="shared" si="5"/>
        <v/>
      </c>
      <c r="G39" s="21" t="str">
        <f t="shared" si="4"/>
        <v/>
      </c>
      <c r="H39" s="21" t="str">
        <f t="shared" si="8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6"/>
        <v/>
      </c>
      <c r="E40" s="4" t="str">
        <f t="shared" si="7"/>
        <v/>
      </c>
      <c r="F40" s="4" t="str">
        <f t="shared" si="5"/>
        <v/>
      </c>
      <c r="G40" s="4" t="str">
        <f t="shared" si="4"/>
        <v/>
      </c>
      <c r="H40" s="4" t="str">
        <f t="shared" si="8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6"/>
        <v/>
      </c>
      <c r="E41" s="21" t="str">
        <f t="shared" si="7"/>
        <v/>
      </c>
      <c r="F41" s="21" t="str">
        <f t="shared" si="5"/>
        <v/>
      </c>
      <c r="G41" s="21" t="str">
        <f t="shared" si="4"/>
        <v/>
      </c>
      <c r="H41" s="21" t="str">
        <f t="shared" si="8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empV8GDjInAWoi56apvKRtXMhuz9nJhBVMtBm6/VzRAVfk3N0ohZouamh1ziAjcIHaID/dVNDZsBtJu+cevheQ==" saltValue="FGEBc0OR+ga6T9gWiY+m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2026-10-13T06:23:23Z</dcterms:modified>
</cp:coreProperties>
</file>