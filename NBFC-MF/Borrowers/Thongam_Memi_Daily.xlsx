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22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6" i="4"/>
  <c r="B7" i="4"/>
  <c r="B8" i="4"/>
  <c r="B9" i="4"/>
  <c r="B10" i="4"/>
  <c r="B11" i="4"/>
  <c r="B4" i="4"/>
  <c r="B5" i="4"/>
  <c r="K16" i="4" l="1"/>
  <c r="K17" i="4" s="1"/>
  <c r="K2" i="4" l="1"/>
  <c r="K12" i="4" l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F14" i="4"/>
  <c r="G14" i="4" s="1"/>
  <c r="H13" i="4"/>
  <c r="E14" i="4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G15" i="4"/>
  <c r="H14" i="4"/>
  <c r="E15" i="4"/>
  <c r="F15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G18" i="4"/>
  <c r="E18" i="4"/>
  <c r="F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G20" i="4"/>
  <c r="E20" i="4"/>
  <c r="F20" i="4" s="1"/>
  <c r="H11" i="4"/>
  <c r="E12" i="4"/>
  <c r="F12" i="4" s="1"/>
  <c r="G12" i="4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F4" i="4" s="1"/>
  <c r="G4" i="4" s="1"/>
  <c r="H3" i="4"/>
  <c r="H82" i="4"/>
  <c r="E83" i="4"/>
  <c r="F83" i="4" s="1"/>
  <c r="G83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K14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<sst xmlns="http://schemas.openxmlformats.org/spreadsheetml/2006/main" count="25" uniqueCount="24">
  <si>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</si>
  <si>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</si>
  <si>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</si>
  <si>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</si>
  <si>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</si>
  <si>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</si>
  <si>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</si>
  <si>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</si>
  <si>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</si>
  <si>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</si>
  <si>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</si>
  <si>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</si>
  <si>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</si>
  <si>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</si>
  <si>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</si>
  <si>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</si>
  <si>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</si>
  <si>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</si>
  <si>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</si>
  <si>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</si>
  <si>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</si>
  <si>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</si>
  <si>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</si>
  <si>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Memi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</si>
</sst>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8" activePane="bottomLeft" state="frozen"/>
      <selection pane="bottomLeft" activeCell="A11" sqref="A1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46273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46.543559204647657</v>
      </c>
      <c r="F2" s="4">
        <f>IF(AND($A2&lt;&gt;"",$B2&lt;&gt;""),D2-E2,"")</f>
        <v>103.45644079535234</v>
      </c>
      <c r="G2" s="4">
        <f>IF(AND($A2&lt;&gt;"",$B2&lt;&gt;""),$K$7-F2,"")</f>
        <v>9896.543559204647</v>
      </c>
      <c r="H2" s="4">
        <f>IF(AND($A2&lt;&gt;"",$B2&lt;&gt;""),$K$7-G2,"")</f>
        <v>103.45644079535305</v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L10000D80-Memi-N222</v>
      </c>
    </row>
    <row r="3" spans="1:12" x14ac:dyDescent="0.3">
      <c r="A3" s="19">
        <v>46274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46.062036106921596</v>
      </c>
      <c r="F3" s="21">
        <f>IF(AND($A3&lt;&gt;"",$B3&lt;&gt;""),D3-E3,"")</f>
        <v>103.9379638930784</v>
      </c>
      <c r="G3" s="21">
        <f>IF(AND($A3&lt;&gt;"",$B3&lt;&gt;""),G2-F3,"")</f>
        <v>9792.6055953115683</v>
      </c>
      <c r="H3" s="21">
        <f t="shared" ref="H3:H34" si="2">IF(AND($A3&lt;&gt;"",$B3&lt;&gt;""),$K$7-G3,"")</f>
        <v>207.39440468843168</v>
      </c>
      <c r="J3" s="5" t="s">
        <v>10</v>
      </c>
      <c r="K3" s="26" t="s">
        <v>23</v>
      </c>
    </row>
    <row r="4" spans="1:12" x14ac:dyDescent="0.3">
      <c r="A4" s="2">
        <v>46276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45.578271829314794</v>
      </c>
      <c r="F4" s="4">
        <f>IF(AND($A4&lt;&gt;"",$B4&lt;&gt;""),D4-E4,"")</f>
        <v>104.42172817068521</v>
      </c>
      <c r="G4" s="4">
        <f>IF(AND($A4&lt;&gt;"",$B4&lt;&gt;""),G3-F4,"")</f>
        <v>9688.1838671408823</v>
      </c>
      <c r="H4" s="4">
        <f t="shared" si="2"/>
        <v>311.81613285911772</v>
      </c>
      <c r="J4" s="5" t="s">
        <v>11</v>
      </c>
      <c r="K4" s="26"/>
    </row>
    <row r="5" spans="1:12" x14ac:dyDescent="0.3">
      <c r="A5" s="19">
        <v>46276</v>
      </c>
      <c r="B5" s="24">
        <f t="shared" si="3"/>
        <v>4</v>
      </c>
      <c r="C5" s="20"/>
      <c r="D5" s="21">
        <f t="shared" si="0"/>
        <v>150</v>
      </c>
      <c r="E5" s="21">
        <f t="shared" si="1"/>
        <v>45.092255940578397</v>
      </c>
      <c r="F5" s="21">
        <f>IF(AND($A5&lt;&gt;"",$B5&lt;&gt;""),D5-E5,"")</f>
        <v>104.9077440594216</v>
      </c>
      <c r="G5" s="21">
        <f>IF(AND($A5&lt;&gt;"",$B5&lt;&gt;""),G4-F5,"")</f>
        <v>9583.2761230814613</v>
      </c>
      <c r="H5" s="21">
        <f t="shared" si="2"/>
        <v>416.72387691853874</v>
      </c>
      <c r="J5" s="5" t="s">
        <v>12</v>
      </c>
      <c r="K5" s="26"/>
    </row>
    <row r="6" spans="1:12" x14ac:dyDescent="0.3">
      <c r="A6" s="2">
        <v>46278</v>
      </c>
      <c r="B6" s="23">
        <f t="shared" si="3"/>
        <v>5</v>
      </c>
      <c r="C6" s="3"/>
      <c r="D6" s="4">
        <f t="shared" si="0"/>
        <v>150</v>
      </c>
      <c r="E6" s="4">
        <f t="shared" si="1"/>
        <v>44.603977960912829</v>
      </c>
      <c r="F6" s="4">
        <f>IF(AND($A6&lt;&gt;"",$B6&lt;&gt;""),D6-E6,"")</f>
        <v>105.39602203908717</v>
      </c>
      <c r="G6" s="4">
        <f t="shared" ref="G6:G69" si="4">IF(AND($A6&lt;&gt;"",$B6&lt;&gt;""),G5-F6,"")</f>
        <v>9477.880101042374</v>
      </c>
      <c r="H6" s="4">
        <f t="shared" si="2"/>
        <v>522.11989895762599</v>
      </c>
      <c r="J6" s="5" t="s">
        <v>13</v>
      </c>
      <c r="K6" s="26"/>
    </row>
    <row r="7" spans="1:12" x14ac:dyDescent="0.3">
      <c r="A7" s="19">
        <v>46280</v>
      </c>
      <c r="B7" s="24">
        <f t="shared" si="3"/>
        <v>6</v>
      </c>
      <c r="C7" s="20"/>
      <c r="D7" s="21">
        <f t="shared" si="0"/>
        <v>150</v>
      </c>
      <c r="E7" s="21">
        <f t="shared" si="1"/>
        <v>44.113427361741763</v>
      </c>
      <c r="F7" s="21">
        <f t="shared" ref="F7:F70" si="5">IF(AND($A7&lt;&gt;"",$B7&lt;&gt;""),D7-E7,"")</f>
        <v>105.88657263825823</v>
      </c>
      <c r="G7" s="21">
        <f t="shared" si="4"/>
        <v>9371.9935284041167</v>
      </c>
      <c r="H7" s="21">
        <f t="shared" si="2"/>
        <v>628.00647159588334</v>
      </c>
      <c r="J7" s="5" t="s">
        <v>7</v>
      </c>
      <c r="K7" s="27">
        <v>10000</v>
      </c>
    </row>
    <row r="8" spans="1:12" x14ac:dyDescent="0.3">
      <c r="A8" s="2">
        <v>46280</v>
      </c>
      <c r="B8" s="23">
        <f t="shared" si="3"/>
        <v>7</v>
      </c>
      <c r="C8" s="3"/>
      <c r="D8" s="4">
        <f t="shared" si="0"/>
        <v>150</v>
      </c>
      <c r="E8" s="4">
        <f t="shared" si="1"/>
        <v>43.620593565485173</v>
      </c>
      <c r="F8" s="4">
        <f t="shared" si="5"/>
        <v>106.37940643451483</v>
      </c>
      <c r="G8" s="4">
        <f t="shared" si="4"/>
        <v>9265.6141219696019</v>
      </c>
      <c r="H8" s="4">
        <f t="shared" si="2"/>
        <v>734.38587803039809</v>
      </c>
      <c r="J8" s="5" t="s">
        <v>14</v>
      </c>
      <c r="K8" s="28">
        <f>RATE(K10,-K9,K7)</f>
        <v>4.6543559204647658E-3</v>
      </c>
    </row>
    <row r="9" spans="1:12" x14ac:dyDescent="0.3">
      <c r="A9" s="19">
        <v>46285</v>
      </c>
      <c r="B9" s="24">
        <f t="shared" si="3"/>
        <v>8</v>
      </c>
      <c r="C9" s="20"/>
      <c r="D9" s="21">
        <f t="shared" si="0"/>
        <v>150</v>
      </c>
      <c r="E9" s="21">
        <f t="shared" si="1"/>
        <v>43.125465945331158</v>
      </c>
      <c r="F9" s="21">
        <f t="shared" si="5"/>
        <v>106.87453405466884</v>
      </c>
      <c r="G9" s="21">
        <f t="shared" si="4"/>
        <v>9158.7395879149335</v>
      </c>
      <c r="H9" s="21">
        <f t="shared" si="2"/>
        <v>841.26041208506649</v>
      </c>
      <c r="J9" s="5" t="s">
        <v>8</v>
      </c>
      <c r="K9" s="29">
        <v>150</v>
      </c>
    </row>
    <row r="10" spans="1:12" x14ac:dyDescent="0.3">
      <c r="A10" s="2">
        <v>46285</v>
      </c>
      <c r="B10" s="23">
        <f t="shared" si="3"/>
        <v>9</v>
      </c>
      <c r="C10" s="3"/>
      <c r="D10" s="4">
        <f t="shared" si="0"/>
        <v>150</v>
      </c>
      <c r="E10" s="4">
        <f t="shared" si="1"/>
        <v>42.628033825006902</v>
      </c>
      <c r="F10" s="4">
        <f t="shared" si="5"/>
        <v>107.3719661749931</v>
      </c>
      <c r="G10" s="4">
        <f t="shared" si="4"/>
        <v>9051.3676217399407</v>
      </c>
      <c r="H10" s="4">
        <f t="shared" si="2"/>
        <v>948.63237826005934</v>
      </c>
      <c r="J10" s="5" t="s">
        <v>15</v>
      </c>
      <c r="K10" s="30">
        <v>80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9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21</v>
      </c>
      <c r="K13" s="12">
        <f>(K10*K9)-K9*K12</f>
        <v>10650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22</v>
      </c>
      <c r="K14" s="12">
        <f>IF(A2="", K9*K10, IFERROR(INDEX($G:$G, MATCH($K$12, $B:$B, 0)), 0))</f>
        <v>9051.3676217399407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948.63237826005934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46273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46393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2026-09-24T07:24:02Z</dcterms:modified>
</cp:coreProperties>
</file>