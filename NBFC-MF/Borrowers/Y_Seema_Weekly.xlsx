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193" sheetId="5" r:id="rId1"/>
    <sheet name="231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6" l="1"/>
  <c r="K8" i="6"/>
  <c r="B3" i="6"/>
  <c r="B4" i="6" s="1"/>
  <c r="K2" i="6"/>
  <c r="B2" i="6"/>
  <c r="E2" i="6" l="1"/>
  <c r="B5" i="6"/>
  <c r="D4" i="6"/>
  <c r="D3" i="6"/>
  <c r="D2" i="6"/>
  <c r="F2" i="6" s="1"/>
  <c r="G2" i="6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E3" i="6" l="1"/>
  <c r="H2" i="6"/>
  <c r="B6" i="6"/>
  <c r="D5" i="6"/>
  <c r="F3" i="6"/>
  <c r="G3" i="6" s="1"/>
  <c r="K16" i="5"/>
  <c r="K2" i="5"/>
  <c r="E4" i="6" l="1"/>
  <c r="F4" i="6" s="1"/>
  <c r="G4" i="6" s="1"/>
  <c r="H3" i="6"/>
  <c r="B7" i="6"/>
  <c r="D6" i="6"/>
  <c r="K17" i="5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H4" i="6" l="1"/>
  <c r="E5" i="6"/>
  <c r="F5" i="6" s="1"/>
  <c r="G5" i="6" s="1"/>
  <c r="B8" i="6"/>
  <c r="D7" i="6"/>
  <c r="K13" i="5"/>
  <c r="H5" i="6" l="1"/>
  <c r="E6" i="6"/>
  <c r="F6" i="6" s="1"/>
  <c r="G6" i="6" s="1"/>
  <c r="B9" i="6"/>
  <c r="D8" i="6"/>
  <c r="K8" i="5"/>
  <c r="E2" i="5" s="1"/>
  <c r="F2" i="5" s="1"/>
  <c r="G2" i="5" s="1"/>
  <c r="H2" i="5" s="1"/>
  <c r="H6" i="6" l="1"/>
  <c r="G7" i="6"/>
  <c r="E7" i="6"/>
  <c r="F7" i="6" s="1"/>
  <c r="D9" i="6"/>
  <c r="B10" i="6"/>
  <c r="E3" i="5"/>
  <c r="F3" i="5" s="1"/>
  <c r="G3" i="5" s="1"/>
  <c r="E4" i="5" s="1"/>
  <c r="F4" i="5" s="1"/>
  <c r="G4" i="5" s="1"/>
  <c r="H4" i="5" s="1"/>
  <c r="H7" i="6" l="1"/>
  <c r="E8" i="6"/>
  <c r="F8" i="6" s="1"/>
  <c r="G8" i="6" s="1"/>
  <c r="D10" i="6"/>
  <c r="B11" i="6"/>
  <c r="H3" i="5"/>
  <c r="E5" i="5"/>
  <c r="F5" i="5" s="1"/>
  <c r="G5" i="5" s="1"/>
  <c r="H8" i="6" l="1"/>
  <c r="E9" i="6"/>
  <c r="F9" i="6" s="1"/>
  <c r="G9" i="6" s="1"/>
  <c r="D11" i="6"/>
  <c r="B12" i="6"/>
  <c r="H5" i="5"/>
  <c r="E6" i="5"/>
  <c r="F6" i="5" s="1"/>
  <c r="G6" i="5" s="1"/>
  <c r="H6" i="5" s="1"/>
  <c r="H9" i="6" l="1"/>
  <c r="E10" i="6"/>
  <c r="F10" i="6" s="1"/>
  <c r="G10" i="6" s="1"/>
  <c r="B13" i="6"/>
  <c r="D12" i="6"/>
  <c r="E7" i="5"/>
  <c r="F7" i="5" s="1"/>
  <c r="G7" i="5" s="1"/>
  <c r="H7" i="5" s="1"/>
  <c r="H10" i="6" l="1"/>
  <c r="E11" i="6"/>
  <c r="F11" i="6" s="1"/>
  <c r="G11" i="6" s="1"/>
  <c r="B14" i="6"/>
  <c r="D13" i="6"/>
  <c r="E8" i="5"/>
  <c r="F8" i="5" s="1"/>
  <c r="G8" i="5" s="1"/>
  <c r="H8" i="5" s="1"/>
  <c r="H11" i="6" l="1"/>
  <c r="E12" i="6"/>
  <c r="F12" i="6" s="1"/>
  <c r="G12" i="6"/>
  <c r="D14" i="6"/>
  <c r="B15" i="6"/>
  <c r="E9" i="5"/>
  <c r="F9" i="5" s="1"/>
  <c r="G9" i="5" s="1"/>
  <c r="H9" i="5" s="1"/>
  <c r="H12" i="6" l="1"/>
  <c r="E13" i="6"/>
  <c r="F13" i="6" s="1"/>
  <c r="G13" i="6" s="1"/>
  <c r="D15" i="6"/>
  <c r="B16" i="6"/>
  <c r="E10" i="5"/>
  <c r="F10" i="5" s="1"/>
  <c r="G10" i="5" s="1"/>
  <c r="H10" i="5" s="1"/>
  <c r="H13" i="6" l="1"/>
  <c r="E14" i="6"/>
  <c r="F14" i="6" s="1"/>
  <c r="G14" i="6"/>
  <c r="B17" i="6"/>
  <c r="D16" i="6"/>
  <c r="E11" i="5"/>
  <c r="F11" i="5" s="1"/>
  <c r="G11" i="5" s="1"/>
  <c r="H11" i="5" s="1"/>
  <c r="H14" i="6" l="1"/>
  <c r="E15" i="6"/>
  <c r="F15" i="6" s="1"/>
  <c r="G15" i="6" s="1"/>
  <c r="B18" i="6"/>
  <c r="D17" i="6"/>
  <c r="E12" i="5"/>
  <c r="F12" i="5" s="1"/>
  <c r="G12" i="5" s="1"/>
  <c r="H12" i="5" s="1"/>
  <c r="H15" i="6" l="1"/>
  <c r="E16" i="6"/>
  <c r="F16" i="6" s="1"/>
  <c r="G16" i="6" s="1"/>
  <c r="D18" i="6"/>
  <c r="K12" i="6"/>
  <c r="E13" i="5"/>
  <c r="F13" i="5" s="1"/>
  <c r="G13" i="5" s="1"/>
  <c r="H13" i="5" s="1"/>
  <c r="H16" i="6" l="1"/>
  <c r="E17" i="6"/>
  <c r="F17" i="6" s="1"/>
  <c r="G17" i="6" s="1"/>
  <c r="K13" i="6"/>
  <c r="E14" i="5"/>
  <c r="F14" i="5" s="1"/>
  <c r="G14" i="5" s="1"/>
  <c r="H14" i="5" s="1"/>
  <c r="H17" i="6" l="1"/>
  <c r="E18" i="6"/>
  <c r="F18" i="6" s="1"/>
  <c r="G18" i="6" s="1"/>
  <c r="E15" i="5"/>
  <c r="F15" i="5" s="1"/>
  <c r="G15" i="5" s="1"/>
  <c r="H15" i="5" s="1"/>
  <c r="H18" i="6" l="1"/>
  <c r="K15" i="6" s="1"/>
  <c r="K14" i="6"/>
  <c r="E16" i="5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5" i="5" s="1"/>
  <c r="K14" i="5"/>
</calcChain>
</file>

<file path=xl/sharedStrings.xml><?xml version="1.0" encoding="utf-8"?>
<sst xmlns="http://schemas.openxmlformats.org/spreadsheetml/2006/main" count="52" uniqueCount="26">
  <si>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</si>
  <si>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</si>
  <si>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</si>
  <si>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</si>
  <si>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</si>
  <si>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</si>
  <si>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</si>
  <si>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</si>
  <si>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</si>
  <si>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</si>
  <si>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</si>
  <si>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</si>
  <si>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</si>
  <si>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</si>
  <si>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</si>
  <si>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</si>
  <si>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</si>
  <si>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</si>
  <si>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</si>
  <si>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</si>
  <si>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</si>
  <si>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</si>
  <si>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</si>
  <si>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Y_Seema</t>
  </si>
  <si>
    <t>Payment 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</si>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</sst>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4" activePane="bottomLeft" state="frozen"/>
      <selection pane="bottomLeft" activeCell="A19" sqref="A1:XFD1048576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46204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L20000W17-Y_Seema-N193</v>
      </c>
    </row>
    <row r="3" spans="1:11" x14ac:dyDescent="0.3">
      <c r="A3" s="19">
        <v>46211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23</v>
      </c>
    </row>
    <row r="4" spans="1:11" x14ac:dyDescent="0.3">
      <c r="A4" s="2">
        <v>46217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46225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46232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46239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46246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46253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46260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46267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46274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46283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21</v>
      </c>
      <c r="K13" s="11">
        <f>(K10*K9)-K9*K12</f>
        <v>0</v>
      </c>
    </row>
    <row r="14" spans="1:11" x14ac:dyDescent="0.3">
      <c r="A14" s="2">
        <v>46285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22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46295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46300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46204</v>
      </c>
    </row>
    <row r="17" spans="1:11" x14ac:dyDescent="0.3">
      <c r="A17" s="19">
        <v>46300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46323</v>
      </c>
    </row>
    <row r="18" spans="1:11" x14ac:dyDescent="0.3">
      <c r="A18" s="2">
        <v>46300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3" sqref="A3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46305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L30000W17-Y_Seema-N231</v>
      </c>
    </row>
    <row r="3" spans="1:11" x14ac:dyDescent="0.3">
      <c r="A3" s="19"/>
      <c r="B3" s="23" t="str">
        <f>IF(A3&lt;&gt;"",B2+1,"")</f>
        <v/>
      </c>
      <c r="C3" s="20"/>
      <c r="D3" s="21" t="str">
        <f t="shared" si="0"/>
        <v/>
      </c>
      <c r="E3" s="21" t="str">
        <f t="shared" ref="E3:E18" si="1">IF(AND($A3&lt;&gt;"",$B3&lt;&gt;""),G2*$K$8,"")</f>
        <v/>
      </c>
      <c r="F3" s="21" t="str">
        <f>IF(AND($A3&lt;&gt;"",$B3&lt;&gt;""),D3-E3,"")</f>
        <v/>
      </c>
      <c r="G3" s="21" t="str">
        <f>IF(AND($A3&lt;&gt;"",$B3&lt;&gt;""),G2-F3,"")</f>
        <v/>
      </c>
      <c r="H3" s="21" t="str">
        <f t="shared" ref="H3:H18" si="2">IF(AND($A3&lt;&gt;"",$B3&lt;&gt;""),$K$7-G3,"")</f>
        <v/>
      </c>
      <c r="J3" s="4" t="s">
        <v>10</v>
      </c>
      <c r="K3" s="26" t="s">
        <v>23</v>
      </c>
    </row>
    <row r="4" spans="1:11" x14ac:dyDescent="0.3">
      <c r="A4" s="2"/>
      <c r="B4" s="22" t="str">
        <f t="shared" ref="B4:B18" si="3">IF(A4&lt;&gt;"",B3+1,"")</f>
        <v/>
      </c>
      <c r="C4" s="3"/>
      <c r="D4" s="1" t="str">
        <f t="shared" si="0"/>
        <v/>
      </c>
      <c r="E4" s="1" t="str">
        <f t="shared" si="1"/>
        <v/>
      </c>
      <c r="F4" s="1" t="str">
        <f t="shared" ref="F4:F18" si="4">IF(AND($A4&lt;&gt;"",$B4&lt;&gt;""),D4-E4,"")</f>
        <v/>
      </c>
      <c r="G4" s="1" t="str">
        <f t="shared" ref="G4:G18" si="5">IF(AND($A4&lt;&gt;"",$B4&lt;&gt;""),G3-F4,"")</f>
        <v/>
      </c>
      <c r="H4" s="1" t="str">
        <f t="shared" si="2"/>
        <v/>
      </c>
      <c r="J4" s="4" t="s">
        <v>11</v>
      </c>
      <c r="K4" s="26"/>
    </row>
    <row r="5" spans="1:11" x14ac:dyDescent="0.3">
      <c r="A5" s="19"/>
      <c r="B5" s="23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 t="shared" si="4"/>
        <v/>
      </c>
      <c r="G5" s="21" t="str">
        <f t="shared" si="5"/>
        <v/>
      </c>
      <c r="H5" s="21" t="str">
        <f t="shared" si="2"/>
        <v/>
      </c>
      <c r="J5" s="4" t="s">
        <v>12</v>
      </c>
      <c r="K5" s="26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30000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2.0051562079446247E-2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2100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1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33600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28501.546862383388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1498.4531376166124</v>
      </c>
    </row>
    <row r="16" spans="1:11" ht="17.25" thickBot="1" x14ac:dyDescent="0.35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24</v>
      </c>
      <c r="K16" s="16" t="s">
        <v>25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5" t="s">
        <v>18</v>
      </c>
      <c r="K17" s="16"/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  <c r="J18" s="17" t="s">
        <v>19</v>
      </c>
      <c r="K18" s="18">
        <f xml:space="preserve"> IF(A2,(K17 + (17*7)),"")</f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193</vt:lpstr>
      <vt:lpstr>231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2026-10-13T06:40:13Z</dcterms:modified>
</cp:coreProperties>
</file>