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200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6" l="1"/>
  <c r="K17" i="6" s="1"/>
  <c r="K8" i="6"/>
  <c r="B3" i="6"/>
  <c r="B4" i="6" s="1"/>
  <c r="K2" i="6"/>
  <c r="B2" i="6"/>
  <c r="E2" i="6" l="1"/>
  <c r="B5" i="6"/>
  <c r="D4" i="6"/>
  <c r="D3" i="6"/>
  <c r="D2" i="6"/>
  <c r="F2" i="6" s="1"/>
  <c r="G2" i="6" s="1"/>
  <c r="B18" i="5"/>
  <c r="B17" i="5"/>
  <c r="B16" i="5"/>
  <c r="B15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H2" i="6" l="1"/>
  <c r="E3" i="6"/>
  <c r="F3" i="6"/>
  <c r="G3" i="6" s="1"/>
  <c r="B6" i="6"/>
  <c r="D5" i="6"/>
  <c r="K16" i="5"/>
  <c r="K2" i="5"/>
  <c r="B7" i="6" l="1"/>
  <c r="D6" i="6"/>
  <c r="E4" i="6"/>
  <c r="F4" i="6" s="1"/>
  <c r="G4" i="6" s="1"/>
  <c r="H3" i="6"/>
  <c r="K17" i="5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4" i="6" l="1"/>
  <c r="E5" i="6"/>
  <c r="F5" i="6" s="1"/>
  <c r="G5" i="6" s="1"/>
  <c r="B8" i="6"/>
  <c r="D7" i="6"/>
  <c r="K8" i="5"/>
  <c r="E2" i="5" s="1"/>
  <c r="F2" i="5" s="1"/>
  <c r="G2" i="5" s="1"/>
  <c r="H2" i="5" s="1"/>
  <c r="D8" i="6" l="1"/>
  <c r="B9" i="6"/>
  <c r="H5" i="6"/>
  <c r="E6" i="6"/>
  <c r="F6" i="6" s="1"/>
  <c r="G6" i="6" s="1"/>
  <c r="E3" i="5"/>
  <c r="F3" i="5" s="1"/>
  <c r="G3" i="5" s="1"/>
  <c r="E4" i="5" s="1"/>
  <c r="F4" i="5" s="1"/>
  <c r="G4" i="5" s="1"/>
  <c r="H4" i="5" s="1"/>
  <c r="H3" i="5"/>
  <c r="H6" i="6" l="1"/>
  <c r="E7" i="6"/>
  <c r="F7" i="6" s="1"/>
  <c r="G7" i="6" s="1"/>
  <c r="D9" i="6"/>
  <c r="B10" i="6"/>
  <c r="E5" i="5"/>
  <c r="F5" i="5" s="1"/>
  <c r="G5" i="5" s="1"/>
  <c r="H7" i="6" l="1"/>
  <c r="E8" i="6"/>
  <c r="F8" i="6" s="1"/>
  <c r="G8" i="6" s="1"/>
  <c r="B11" i="6"/>
  <c r="D10" i="6"/>
  <c r="H5" i="5"/>
  <c r="E6" i="5"/>
  <c r="F6" i="5" s="1"/>
  <c r="G6" i="5" s="1"/>
  <c r="H6" i="5" s="1"/>
  <c r="H8" i="6" l="1"/>
  <c r="E9" i="6"/>
  <c r="F9" i="6" s="1"/>
  <c r="G9" i="6" s="1"/>
  <c r="D11" i="6"/>
  <c r="B12" i="6"/>
  <c r="E7" i="5"/>
  <c r="F7" i="5" s="1"/>
  <c r="G7" i="5" s="1"/>
  <c r="H7" i="5" s="1"/>
  <c r="H9" i="6" l="1"/>
  <c r="E10" i="6"/>
  <c r="F10" i="6" s="1"/>
  <c r="G10" i="6" s="1"/>
  <c r="B13" i="6"/>
  <c r="D12" i="6"/>
  <c r="E8" i="5"/>
  <c r="F8" i="5" s="1"/>
  <c r="G8" i="5" s="1"/>
  <c r="H8" i="5" s="1"/>
  <c r="H10" i="6" l="1"/>
  <c r="E11" i="6"/>
  <c r="F11" i="6" s="1"/>
  <c r="G11" i="6" s="1"/>
  <c r="D13" i="6"/>
  <c r="B14" i="6"/>
  <c r="E9" i="5"/>
  <c r="F9" i="5" s="1"/>
  <c r="G9" i="5" s="1"/>
  <c r="H9" i="5" s="1"/>
  <c r="H11" i="6" l="1"/>
  <c r="E12" i="6"/>
  <c r="F12" i="6" s="1"/>
  <c r="G12" i="6" s="1"/>
  <c r="D14" i="6"/>
  <c r="B15" i="6"/>
  <c r="E10" i="5"/>
  <c r="F10" i="5" s="1"/>
  <c r="G10" i="5" s="1"/>
  <c r="H10" i="5" s="1"/>
  <c r="B16" i="6" l="1"/>
  <c r="D15" i="6"/>
  <c r="H12" i="6"/>
  <c r="E13" i="6"/>
  <c r="F13" i="6" s="1"/>
  <c r="G13" i="6" s="1"/>
  <c r="E11" i="5"/>
  <c r="F11" i="5" s="1"/>
  <c r="G11" i="5" s="1"/>
  <c r="H11" i="5" s="1"/>
  <c r="B17" i="6" l="1"/>
  <c r="D16" i="6"/>
  <c r="H13" i="6"/>
  <c r="E14" i="6"/>
  <c r="F14" i="6" s="1"/>
  <c r="G14" i="6" s="1"/>
  <c r="E12" i="5"/>
  <c r="F12" i="5" s="1"/>
  <c r="G12" i="5" s="1"/>
  <c r="H12" i="5" s="1"/>
  <c r="H14" i="6" l="1"/>
  <c r="E15" i="6"/>
  <c r="F15" i="6" s="1"/>
  <c r="G15" i="6" s="1"/>
  <c r="D17" i="6"/>
  <c r="B18" i="6"/>
  <c r="E13" i="5"/>
  <c r="F13" i="5" s="1"/>
  <c r="G13" i="5" s="1"/>
  <c r="H13" i="5" s="1"/>
  <c r="D18" i="6" l="1"/>
  <c r="K12" i="6"/>
  <c r="H15" i="6"/>
  <c r="G16" i="6"/>
  <c r="E16" i="6"/>
  <c r="F16" i="6" s="1"/>
  <c r="E14" i="5"/>
  <c r="F14" i="5" s="1"/>
  <c r="G14" i="5" s="1"/>
  <c r="H16" i="6" l="1"/>
  <c r="E17" i="6"/>
  <c r="F17" i="6" s="1"/>
  <c r="G17" i="6" s="1"/>
  <c r="K13" i="6"/>
  <c r="H14" i="5"/>
  <c r="E15" i="5"/>
  <c r="F15" i="5" s="1"/>
  <c r="G15" i="5" s="1"/>
  <c r="H15" i="5" s="1"/>
  <c r="H17" i="6" l="1"/>
  <c r="E18" i="6"/>
  <c r="F18" i="6" s="1"/>
  <c r="G18" i="6" s="1"/>
  <c r="E16" i="5"/>
  <c r="F16" i="5" s="1"/>
  <c r="G16" i="5" s="1"/>
  <c r="H16" i="5" s="1"/>
  <c r="H18" i="6" l="1"/>
  <c r="K15" i="6" s="1"/>
  <c r="K14" i="6"/>
  <c r="E17" i="5"/>
  <c r="F17" i="5" s="1"/>
  <c r="G17" i="5" s="1"/>
  <c r="H17" i="5" l="1"/>
  <c r="E18" i="5"/>
  <c r="F18" i="5" s="1"/>
  <c r="G18" i="5" s="1"/>
  <c r="H18" i="5" s="1"/>
  <c r="K14" i="5" l="1"/>
  <c r="K15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<sst xmlns="http://schemas.openxmlformats.org/spreadsheetml/2006/main" count="50" uniqueCount="24">
  <si>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</si>
  <si>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</si>
  <si>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</si>
  <si>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</si>
  <si>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</si>
  <si>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</si>
  <si>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</si>
  <si>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</si>
  <si>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</si>
  <si>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</si>
  <si>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</si>
  <si>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</si>
  <si>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</si>
  <si>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</si>
  <si>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</si>
  <si>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</si>
  <si>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</si>
  <si>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</si>
  <si>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</si>
  <si>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</si>
  <si>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</si>
  <si>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Ronel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</si>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</sst>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8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46097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L20000W17-Ronel-NLoan1</v>
      </c>
    </row>
    <row r="3" spans="1:11" x14ac:dyDescent="0.3">
      <c r="A3" s="19">
        <v>46104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46111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46118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46125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46132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46139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46147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46154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46160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46167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46174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46181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46188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46195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46097</v>
      </c>
    </row>
    <row r="17" spans="1:11" x14ac:dyDescent="0.3">
      <c r="A17" s="19">
        <v>46202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46216</v>
      </c>
    </row>
    <row r="18" spans="1:11" x14ac:dyDescent="0.3">
      <c r="A18" s="2">
        <v>46209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44ClMLPVX+RKMaE3OIFpLIgDzfcAdKuF8eYsNeeXoGrgFywQ8k5eGe2KLFnYOpHOOm29YsGFAejyJyQ7OrmfRw==" saltValue="JMw2UMip8fA4N+RpjRN7Y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A3" workbookViewId="0">
      <selection activeCell="A15" sqref="A15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46220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L30000W17-Ronel-N200</v>
      </c>
    </row>
    <row r="3" spans="1:11" x14ac:dyDescent="0.3">
      <c r="A3" s="19">
        <v>46227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21</v>
      </c>
    </row>
    <row r="4" spans="1:11" x14ac:dyDescent="0.3">
      <c r="A4" s="2">
        <v>46234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46241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46248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>
        <v>46255</v>
      </c>
      <c r="B7" s="23">
        <f t="shared" si="3"/>
        <v>6</v>
      </c>
      <c r="C7" s="20"/>
      <c r="D7" s="21">
        <f t="shared" si="0"/>
        <v>2100</v>
      </c>
      <c r="E7" s="21">
        <f t="shared" si="1"/>
        <v>445.16845225671983</v>
      </c>
      <c r="F7" s="21">
        <f t="shared" si="4"/>
        <v>1654.8315477432802</v>
      </c>
      <c r="G7" s="21">
        <f t="shared" si="5"/>
        <v>20546.354100183748</v>
      </c>
      <c r="H7" s="21">
        <f t="shared" si="2"/>
        <v>9453.6458998162525</v>
      </c>
      <c r="J7" s="4" t="s">
        <v>6</v>
      </c>
      <c r="K7" s="27">
        <v>30000</v>
      </c>
    </row>
    <row r="8" spans="1:11" x14ac:dyDescent="0.3">
      <c r="A8" s="2">
        <v>46262</v>
      </c>
      <c r="B8" s="22">
        <f t="shared" si="3"/>
        <v>7</v>
      </c>
      <c r="C8" s="3"/>
      <c r="D8" s="1">
        <f t="shared" si="0"/>
        <v>2100</v>
      </c>
      <c r="E8" s="1">
        <f t="shared" si="1"/>
        <v>411.98649474611932</v>
      </c>
      <c r="F8" s="1">
        <f t="shared" si="4"/>
        <v>1688.0135052538808</v>
      </c>
      <c r="G8" s="1">
        <f t="shared" si="5"/>
        <v>18858.340594929869</v>
      </c>
      <c r="H8" s="1">
        <f t="shared" si="2"/>
        <v>11141.659405070131</v>
      </c>
      <c r="J8" s="4" t="s">
        <v>14</v>
      </c>
      <c r="K8" s="6">
        <f>RATE(K10,-K9,K7)</f>
        <v>2.0051562079446247E-2</v>
      </c>
    </row>
    <row r="9" spans="1:11" x14ac:dyDescent="0.3">
      <c r="A9" s="19">
        <v>46269</v>
      </c>
      <c r="B9" s="23">
        <f t="shared" si="3"/>
        <v>8</v>
      </c>
      <c r="C9" s="20"/>
      <c r="D9" s="21">
        <f t="shared" si="0"/>
        <v>2100</v>
      </c>
      <c r="E9" s="21">
        <f t="shared" si="1"/>
        <v>378.13918715457754</v>
      </c>
      <c r="F9" s="21">
        <f t="shared" si="4"/>
        <v>1721.8608128454225</v>
      </c>
      <c r="G9" s="21">
        <f t="shared" si="5"/>
        <v>17136.479782084447</v>
      </c>
      <c r="H9" s="21">
        <f t="shared" si="2"/>
        <v>12863.520217915553</v>
      </c>
      <c r="J9" s="4" t="s">
        <v>7</v>
      </c>
      <c r="K9" s="28">
        <v>2100</v>
      </c>
    </row>
    <row r="10" spans="1:11" x14ac:dyDescent="0.3">
      <c r="A10" s="2">
        <v>46276</v>
      </c>
      <c r="B10" s="22">
        <f t="shared" si="3"/>
        <v>9</v>
      </c>
      <c r="C10" s="3"/>
      <c r="D10" s="1">
        <f t="shared" si="0"/>
        <v>2100</v>
      </c>
      <c r="E10" s="1">
        <f t="shared" si="1"/>
        <v>343.61318817364179</v>
      </c>
      <c r="F10" s="1">
        <f t="shared" si="4"/>
        <v>1756.3868118263581</v>
      </c>
      <c r="G10" s="1">
        <f t="shared" si="5"/>
        <v>15380.092970258089</v>
      </c>
      <c r="H10" s="1">
        <f t="shared" si="2"/>
        <v>14619.907029741911</v>
      </c>
      <c r="J10" s="4" t="s">
        <v>8</v>
      </c>
      <c r="K10" s="29">
        <v>17</v>
      </c>
    </row>
    <row r="11" spans="1:11" ht="17.25" thickBot="1" x14ac:dyDescent="0.35">
      <c r="A11" s="19">
        <v>46283</v>
      </c>
      <c r="B11" s="23">
        <f t="shared" si="3"/>
        <v>10</v>
      </c>
      <c r="C11" s="20"/>
      <c r="D11" s="21">
        <f t="shared" si="0"/>
        <v>2100</v>
      </c>
      <c r="E11" s="21">
        <f t="shared" si="1"/>
        <v>308.39488898078486</v>
      </c>
      <c r="F11" s="21">
        <f t="shared" si="4"/>
        <v>1791.6051110192152</v>
      </c>
      <c r="G11" s="21">
        <f t="shared" si="5"/>
        <v>13588.487859238874</v>
      </c>
      <c r="H11" s="21">
        <f t="shared" si="2"/>
        <v>16411.512140761126</v>
      </c>
      <c r="J11" s="14"/>
    </row>
    <row r="12" spans="1:11" x14ac:dyDescent="0.3">
      <c r="A12" s="2">
        <v>46290</v>
      </c>
      <c r="B12" s="22">
        <f t="shared" si="3"/>
        <v>11</v>
      </c>
      <c r="C12" s="3"/>
      <c r="D12" s="1">
        <f t="shared" si="0"/>
        <v>2100</v>
      </c>
      <c r="E12" s="1">
        <f t="shared" si="1"/>
        <v>272.4704078753299</v>
      </c>
      <c r="F12" s="1">
        <f t="shared" si="4"/>
        <v>1827.5295921246702</v>
      </c>
      <c r="G12" s="1">
        <f t="shared" si="5"/>
        <v>11760.958267114203</v>
      </c>
      <c r="H12" s="1">
        <f t="shared" si="2"/>
        <v>18239.041732885795</v>
      </c>
      <c r="J12" s="8" t="s">
        <v>16</v>
      </c>
      <c r="K12" s="9">
        <f>IFERROR(MAX($B:$B),"")</f>
        <v>13</v>
      </c>
    </row>
    <row r="13" spans="1:11" x14ac:dyDescent="0.3">
      <c r="A13" s="19">
        <v>46297</v>
      </c>
      <c r="B13" s="23">
        <f t="shared" si="3"/>
        <v>12</v>
      </c>
      <c r="C13" s="20"/>
      <c r="D13" s="21">
        <f t="shared" si="0"/>
        <v>2100</v>
      </c>
      <c r="E13" s="21">
        <f t="shared" si="1"/>
        <v>235.82558480681701</v>
      </c>
      <c r="F13" s="21">
        <f t="shared" si="4"/>
        <v>1864.174415193183</v>
      </c>
      <c r="G13" s="21">
        <f t="shared" si="5"/>
        <v>9896.78385192102</v>
      </c>
      <c r="H13" s="21">
        <f t="shared" si="2"/>
        <v>20103.21614807898</v>
      </c>
      <c r="J13" s="24" t="s">
        <v>22</v>
      </c>
      <c r="K13" s="11">
        <f>(K10*K9)-K9*K12</f>
        <v>8400</v>
      </c>
    </row>
    <row r="14" spans="1:11" x14ac:dyDescent="0.3">
      <c r="A14" s="2">
        <v>46304</v>
      </c>
      <c r="B14" s="22">
        <f t="shared" si="3"/>
        <v>13</v>
      </c>
      <c r="C14" s="3"/>
      <c r="D14" s="1">
        <f t="shared" si="0"/>
        <v>2100</v>
      </c>
      <c r="E14" s="1">
        <f t="shared" si="1"/>
        <v>198.44597579365549</v>
      </c>
      <c r="F14" s="1">
        <f t="shared" si="4"/>
        <v>1901.5540242063446</v>
      </c>
      <c r="G14" s="1">
        <f t="shared" si="5"/>
        <v>7995.2298277146756</v>
      </c>
      <c r="H14" s="1">
        <f t="shared" si="2"/>
        <v>22004.770172285323</v>
      </c>
      <c r="J14" s="10" t="s">
        <v>23</v>
      </c>
      <c r="K14" s="11">
        <f>IF(A2="", K9*K10, IFERROR(INDEX($G:$G, MATCH($K$12, $B:$B, 0)), 0))</f>
        <v>7995.2298277146756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22004.770172285323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46220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46339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2026-10-13T06:24:35Z</dcterms:modified>
</cp:coreProperties>
</file>