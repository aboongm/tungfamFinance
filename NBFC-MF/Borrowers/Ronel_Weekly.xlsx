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200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6" l="1"/>
  <c r="K17" i="6" s="1"/>
  <c r="K8" i="6"/>
  <c r="B3" i="6"/>
  <c r="B4" i="6" s="1"/>
  <c r="K2" i="6"/>
  <c r="B2" i="6"/>
  <c r="E2" i="6" l="1"/>
  <c r="B5" i="6"/>
  <c r="D4" i="6"/>
  <c r="D3" i="6"/>
  <c r="D2" i="6"/>
  <c r="F2" i="6" s="1"/>
  <c r="G2" i="6" s="1"/>
  <c r="B18" i="5"/>
  <c r="B17" i="5"/>
  <c r="B16" i="5"/>
  <c r="B15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H2" i="6" l="1"/>
  <c r="E3" i="6"/>
  <c r="F3" i="6"/>
  <c r="G3" i="6" s="1"/>
  <c r="B6" i="6"/>
  <c r="D5" i="6"/>
  <c r="K16" i="5"/>
  <c r="K2" i="5"/>
  <c r="B7" i="6" l="1"/>
  <c r="D6" i="6"/>
  <c r="E4" i="6"/>
  <c r="F4" i="6" s="1"/>
  <c r="G4" i="6" s="1"/>
  <c r="H3" i="6"/>
  <c r="K17" i="5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H4" i="6" l="1"/>
  <c r="E5" i="6"/>
  <c r="F5" i="6" s="1"/>
  <c r="G5" i="6" s="1"/>
  <c r="B8" i="6"/>
  <c r="D7" i="6"/>
  <c r="K8" i="5"/>
  <c r="E2" i="5" s="1"/>
  <c r="F2" i="5" s="1"/>
  <c r="G2" i="5" s="1"/>
  <c r="H2" i="5" s="1"/>
  <c r="D8" i="6" l="1"/>
  <c r="B9" i="6"/>
  <c r="H5" i="6"/>
  <c r="E6" i="6"/>
  <c r="F6" i="6" s="1"/>
  <c r="G6" i="6" s="1"/>
  <c r="E3" i="5"/>
  <c r="F3" i="5" s="1"/>
  <c r="G3" i="5" s="1"/>
  <c r="E4" i="5" s="1"/>
  <c r="F4" i="5" s="1"/>
  <c r="G4" i="5" s="1"/>
  <c r="H4" i="5" s="1"/>
  <c r="H3" i="5"/>
  <c r="H6" i="6" l="1"/>
  <c r="E7" i="6"/>
  <c r="F7" i="6" s="1"/>
  <c r="G7" i="6" s="1"/>
  <c r="D9" i="6"/>
  <c r="B10" i="6"/>
  <c r="E5" i="5"/>
  <c r="F5" i="5" s="1"/>
  <c r="G5" i="5" s="1"/>
  <c r="H7" i="6" l="1"/>
  <c r="E8" i="6"/>
  <c r="F8" i="6" s="1"/>
  <c r="G8" i="6" s="1"/>
  <c r="B11" i="6"/>
  <c r="D10" i="6"/>
  <c r="H5" i="5"/>
  <c r="E6" i="5"/>
  <c r="F6" i="5" s="1"/>
  <c r="G6" i="5" s="1"/>
  <c r="H6" i="5" s="1"/>
  <c r="H8" i="6" l="1"/>
  <c r="E9" i="6"/>
  <c r="F9" i="6" s="1"/>
  <c r="G9" i="6" s="1"/>
  <c r="D11" i="6"/>
  <c r="B12" i="6"/>
  <c r="E7" i="5"/>
  <c r="F7" i="5" s="1"/>
  <c r="G7" i="5" s="1"/>
  <c r="H7" i="5" s="1"/>
  <c r="H9" i="6" l="1"/>
  <c r="E10" i="6"/>
  <c r="F10" i="6" s="1"/>
  <c r="G10" i="6" s="1"/>
  <c r="B13" i="6"/>
  <c r="D12" i="6"/>
  <c r="E8" i="5"/>
  <c r="F8" i="5" s="1"/>
  <c r="G8" i="5" s="1"/>
  <c r="H8" i="5" s="1"/>
  <c r="H10" i="6" l="1"/>
  <c r="E11" i="6"/>
  <c r="F11" i="6" s="1"/>
  <c r="G11" i="6" s="1"/>
  <c r="D13" i="6"/>
  <c r="B14" i="6"/>
  <c r="E9" i="5"/>
  <c r="F9" i="5" s="1"/>
  <c r="G9" i="5" s="1"/>
  <c r="H9" i="5" s="1"/>
  <c r="H11" i="6" l="1"/>
  <c r="E12" i="6"/>
  <c r="F12" i="6" s="1"/>
  <c r="G12" i="6" s="1"/>
  <c r="D14" i="6"/>
  <c r="B15" i="6"/>
  <c r="E10" i="5"/>
  <c r="F10" i="5" s="1"/>
  <c r="G10" i="5" s="1"/>
  <c r="H10" i="5" s="1"/>
  <c r="B16" i="6" l="1"/>
  <c r="D15" i="6"/>
  <c r="H12" i="6"/>
  <c r="E13" i="6"/>
  <c r="F13" i="6" s="1"/>
  <c r="G13" i="6" s="1"/>
  <c r="E11" i="5"/>
  <c r="F11" i="5" s="1"/>
  <c r="G11" i="5" s="1"/>
  <c r="H11" i="5" s="1"/>
  <c r="B17" i="6" l="1"/>
  <c r="D16" i="6"/>
  <c r="H13" i="6"/>
  <c r="E14" i="6"/>
  <c r="F14" i="6" s="1"/>
  <c r="G14" i="6" s="1"/>
  <c r="E12" i="5"/>
  <c r="F12" i="5" s="1"/>
  <c r="G12" i="5" s="1"/>
  <c r="H12" i="5" s="1"/>
  <c r="H14" i="6" l="1"/>
  <c r="E15" i="6"/>
  <c r="F15" i="6" s="1"/>
  <c r="G15" i="6" s="1"/>
  <c r="D17" i="6"/>
  <c r="B18" i="6"/>
  <c r="E13" i="5"/>
  <c r="F13" i="5" s="1"/>
  <c r="G13" i="5" s="1"/>
  <c r="H13" i="5" s="1"/>
  <c r="D18" i="6" l="1"/>
  <c r="K12" i="6"/>
  <c r="H15" i="6"/>
  <c r="G16" i="6"/>
  <c r="E16" i="6"/>
  <c r="F16" i="6" s="1"/>
  <c r="E14" i="5"/>
  <c r="F14" i="5" s="1"/>
  <c r="G14" i="5" s="1"/>
  <c r="H16" i="6" l="1"/>
  <c r="E17" i="6"/>
  <c r="F17" i="6" s="1"/>
  <c r="G17" i="6" s="1"/>
  <c r="K13" i="6"/>
  <c r="H14" i="5"/>
  <c r="E15" i="5"/>
  <c r="F15" i="5" s="1"/>
  <c r="G15" i="5" s="1"/>
  <c r="H15" i="5" s="1"/>
  <c r="H17" i="6" l="1"/>
  <c r="E18" i="6"/>
  <c r="F18" i="6" s="1"/>
  <c r="G18" i="6" s="1"/>
  <c r="E16" i="5"/>
  <c r="F16" i="5" s="1"/>
  <c r="G16" i="5" s="1"/>
  <c r="H16" i="5" s="1"/>
  <c r="H18" i="6" l="1"/>
  <c r="K15" i="6" s="1"/>
  <c r="K14" i="6"/>
  <c r="E17" i="5"/>
  <c r="F17" i="5" s="1"/>
  <c r="G17" i="5" s="1"/>
  <c r="H17" i="5" l="1"/>
  <c r="E18" i="5"/>
  <c r="F18" i="5" s="1"/>
  <c r="G18" i="5" s="1"/>
  <c r="H18" i="5" s="1"/>
  <c r="K14" i="5" l="1"/>
  <c r="K15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<sst xmlns="http://schemas.openxmlformats.org/spreadsheetml/2006/main" count="50" uniqueCount="24">
  <si>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</si>
  <si>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</si>
  <si>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</si>
  <si>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</si>
  <si>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</si>
  <si>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</si>
  <si>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</si>
  <si>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</si>
  <si>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</si>
  <si>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</si>
  <si>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</si>
  <si>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</si>
  <si>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</si>
  <si>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</si>
  <si>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</si>
  <si>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</si>
  <si>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</si>
  <si>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</si>
  <si>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</si>
  <si>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</si>
  <si>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</si>
  <si>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Ronel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</si>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</sst>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8" activePane="bottomLeft" state="frozen"/>
      <selection pane="bottomLeft" activeCell="A19" sqref="A19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46097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L20000W17-Ronel-NLoan1</v>
      </c>
    </row>
    <row r="3" spans="1:11" x14ac:dyDescent="0.3">
      <c r="A3" s="19">
        <v>46104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46111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46118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46125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46132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46139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46147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46154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46160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46167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46174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0</v>
      </c>
    </row>
    <row r="14" spans="1:11" x14ac:dyDescent="0.3">
      <c r="A14" s="2">
        <v>46181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46188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46195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46097</v>
      </c>
    </row>
    <row r="17" spans="1:11" x14ac:dyDescent="0.3">
      <c r="A17" s="19">
        <v>46202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46216</v>
      </c>
    </row>
    <row r="18" spans="1:11" x14ac:dyDescent="0.3">
      <c r="A18" s="2">
        <v>46209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sheetProtection algorithmName="SHA-512" hashValue="44ClMLPVX+RKMaE3OIFpLIgDzfcAdKuF8eYsNeeXoGrgFywQ8k5eGe2KLFnYOpHOOm29YsGFAejyJyQ7OrmfRw==" saltValue="JMw2UMip8fA4N+RpjRN7YA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3" sqref="A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46220</v>
      </c>
      <c r="B2" s="22">
        <f>IF(A2&lt;&gt;"",1,"")</f>
        <v>1</v>
      </c>
      <c r="C2" s="3"/>
      <c r="D2" s="1">
        <f t="shared" ref="D2:D18" si="0">IF(AND($A2&lt;&gt;"",$B2&lt;&gt;""),$K$9,"")</f>
        <v>2100</v>
      </c>
      <c r="E2" s="1">
        <f>IF(AND($A2&lt;&gt;"",$B2&lt;&gt;""),$K$7*$K$8,"")</f>
        <v>601.54686238338741</v>
      </c>
      <c r="F2" s="1">
        <f>IF(AND($A2&lt;&gt;"",$B2&lt;&gt;""),D2-E2,"")</f>
        <v>1498.4531376166126</v>
      </c>
      <c r="G2" s="1">
        <f>IF(AND($A2&lt;&gt;"",$B2&lt;&gt;""),$K$7-F2,"")</f>
        <v>28501.546862383388</v>
      </c>
      <c r="H2" s="1">
        <f>IF(AND($A2&lt;&gt;"",$B2&lt;&gt;""),$K$7-G2,"")</f>
        <v>1498.4531376166124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L30000W17-Ronel-N200</v>
      </c>
    </row>
    <row r="3" spans="1:11" x14ac:dyDescent="0.3">
      <c r="A3" s="19"/>
      <c r="B3" s="23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4" t="s">
        <v>10</v>
      </c>
      <c r="K3" s="26" t="s">
        <v>21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30000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2.0051562079446247E-2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2100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1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33600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28501.546862383388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1498.4531376166124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46220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46339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200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2026-07-23T05:45:16Z</dcterms:modified>
</cp:coreProperties>
</file>