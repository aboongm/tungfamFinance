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194" sheetId="5" r:id="rId1"/>
    <sheet name="229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6" l="1"/>
  <c r="K8" i="6"/>
  <c r="K16" i="6"/>
  <c r="K17" i="6" s="1"/>
  <c r="B2" i="6"/>
  <c r="B3" i="6" l="1"/>
  <c r="E2" i="6"/>
  <c r="D2" i="6"/>
  <c r="F2" i="6" s="1"/>
  <c r="G2" i="6" s="1"/>
  <c r="H2" i="6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D3" i="6" l="1"/>
  <c r="F3" i="6" s="1"/>
  <c r="G3" i="6" s="1"/>
  <c r="H3" i="6" s="1"/>
  <c r="E3" i="6"/>
  <c r="B4" i="6"/>
  <c r="K16" i="5"/>
  <c r="K2" i="5"/>
  <c r="B5" i="6" l="1"/>
  <c r="E4" i="6"/>
  <c r="D4" i="6"/>
  <c r="F4" i="6" s="1"/>
  <c r="G4" i="6" s="1"/>
  <c r="H4" i="6" s="1"/>
  <c r="K17" i="5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D5" i="6" l="1"/>
  <c r="F5" i="6" s="1"/>
  <c r="G5" i="6" s="1"/>
  <c r="H5" i="6" s="1"/>
  <c r="B6" i="6"/>
  <c r="E5" i="6"/>
  <c r="K13" i="5"/>
  <c r="B7" i="6" l="1"/>
  <c r="E6" i="6"/>
  <c r="D6" i="6"/>
  <c r="F6" i="6" s="1"/>
  <c r="G6" i="6" s="1"/>
  <c r="H6" i="6" s="1"/>
  <c r="K8" i="5"/>
  <c r="E2" i="5" s="1"/>
  <c r="F2" i="5" s="1"/>
  <c r="G2" i="5" s="1"/>
  <c r="H2" i="5" s="1"/>
  <c r="D7" i="6" l="1"/>
  <c r="F7" i="6" s="1"/>
  <c r="G7" i="6" s="1"/>
  <c r="H7" i="6" s="1"/>
  <c r="B8" i="6"/>
  <c r="E7" i="6"/>
  <c r="E3" i="5"/>
  <c r="F3" i="5" s="1"/>
  <c r="G3" i="5" s="1"/>
  <c r="E4" i="5" s="1"/>
  <c r="F4" i="5" s="1"/>
  <c r="G4" i="5" s="1"/>
  <c r="H4" i="5" s="1"/>
  <c r="B9" i="6" l="1"/>
  <c r="E8" i="6"/>
  <c r="D8" i="6"/>
  <c r="F8" i="6" s="1"/>
  <c r="G8" i="6" s="1"/>
  <c r="H8" i="6" s="1"/>
  <c r="H3" i="5"/>
  <c r="E5" i="5"/>
  <c r="F5" i="5" s="1"/>
  <c r="G5" i="5" s="1"/>
  <c r="D9" i="6" l="1"/>
  <c r="F9" i="6" s="1"/>
  <c r="G9" i="6" s="1"/>
  <c r="H9" i="6" s="1"/>
  <c r="B10" i="6"/>
  <c r="E9" i="6"/>
  <c r="H5" i="5"/>
  <c r="E6" i="5"/>
  <c r="F6" i="5" s="1"/>
  <c r="G6" i="5" s="1"/>
  <c r="H6" i="5" s="1"/>
  <c r="B11" i="6" l="1"/>
  <c r="E10" i="6"/>
  <c r="D10" i="6"/>
  <c r="F10" i="6" s="1"/>
  <c r="G10" i="6" s="1"/>
  <c r="H10" i="6" s="1"/>
  <c r="E7" i="5"/>
  <c r="F7" i="5" s="1"/>
  <c r="G7" i="5" s="1"/>
  <c r="H7" i="5" s="1"/>
  <c r="D11" i="6" l="1"/>
  <c r="G11" i="6"/>
  <c r="H11" i="6" s="1"/>
  <c r="F11" i="6"/>
  <c r="E11" i="6"/>
  <c r="B12" i="6"/>
  <c r="E8" i="5"/>
  <c r="F8" i="5" s="1"/>
  <c r="G8" i="5" s="1"/>
  <c r="H8" i="5" s="1"/>
  <c r="F12" i="6" l="1"/>
  <c r="G12" i="6" s="1"/>
  <c r="H12" i="6" s="1"/>
  <c r="B13" i="6"/>
  <c r="E12" i="6"/>
  <c r="D12" i="6"/>
  <c r="E9" i="5"/>
  <c r="F9" i="5" s="1"/>
  <c r="G9" i="5" s="1"/>
  <c r="H9" i="5" s="1"/>
  <c r="D13" i="6" l="1"/>
  <c r="F13" i="6"/>
  <c r="G13" i="6" s="1"/>
  <c r="H13" i="6" s="1"/>
  <c r="B14" i="6"/>
  <c r="E13" i="6"/>
  <c r="E10" i="5"/>
  <c r="F10" i="5" s="1"/>
  <c r="G10" i="5" s="1"/>
  <c r="H10" i="5" s="1"/>
  <c r="B15" i="6" l="1"/>
  <c r="E14" i="6"/>
  <c r="D14" i="6"/>
  <c r="F14" i="6" s="1"/>
  <c r="G14" i="6" s="1"/>
  <c r="H14" i="6" s="1"/>
  <c r="E11" i="5"/>
  <c r="F11" i="5" s="1"/>
  <c r="G11" i="5" s="1"/>
  <c r="H11" i="5" s="1"/>
  <c r="D15" i="6" l="1"/>
  <c r="F15" i="6" s="1"/>
  <c r="G15" i="6" s="1"/>
  <c r="H15" i="6" s="1"/>
  <c r="B16" i="6"/>
  <c r="E15" i="6"/>
  <c r="E12" i="5"/>
  <c r="F12" i="5" s="1"/>
  <c r="G12" i="5" s="1"/>
  <c r="H12" i="5" s="1"/>
  <c r="B17" i="6" l="1"/>
  <c r="E16" i="6"/>
  <c r="D16" i="6"/>
  <c r="F16" i="6" s="1"/>
  <c r="G16" i="6" s="1"/>
  <c r="H16" i="6" s="1"/>
  <c r="E13" i="5"/>
  <c r="F13" i="5" s="1"/>
  <c r="G13" i="5" s="1"/>
  <c r="H13" i="5" s="1"/>
  <c r="D17" i="6" l="1"/>
  <c r="F17" i="6"/>
  <c r="G17" i="6" s="1"/>
  <c r="H17" i="6" s="1"/>
  <c r="B18" i="6"/>
  <c r="K12" i="6" s="1"/>
  <c r="E17" i="6"/>
  <c r="E14" i="5"/>
  <c r="F14" i="5" s="1"/>
  <c r="G14" i="5" s="1"/>
  <c r="H14" i="5" s="1"/>
  <c r="K15" i="6" l="1"/>
  <c r="K14" i="6"/>
  <c r="K13" i="6"/>
  <c r="E18" i="6"/>
  <c r="D18" i="6"/>
  <c r="F18" i="6" s="1"/>
  <c r="G18" i="6" s="1"/>
  <c r="H18" i="6" s="1"/>
  <c r="E15" i="5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<sst xmlns="http://schemas.openxmlformats.org/spreadsheetml/2006/main" count="50" uniqueCount="24">
  <si>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</si>
  <si>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</si>
  <si>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</si>
  <si>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</si>
  <si>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</si>
  <si>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</si>
  <si>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</si>
  <si>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</si>
  <si>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</si>
  <si>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</si>
  <si>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</si>
  <si>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</si>
  <si>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</si>
  <si>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</si>
  <si>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</si>
  <si>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</si>
  <si>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</si>
  <si>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</si>
  <si>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</si>
  <si>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</si>
  <si>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</si>
  <si>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</si>
  <si>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</si>
  <si>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Salam_Echal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</si>
</sst>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2" activePane="bottomLeft" state="frozen"/>
      <selection pane="bottomLeft" activeCell="K2" sqref="K2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46202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L20000W17-Salam_Echal-N194</v>
      </c>
    </row>
    <row r="3" spans="1:11" x14ac:dyDescent="0.3">
      <c r="A3" s="19">
        <v>46209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23</v>
      </c>
    </row>
    <row r="4" spans="1:11" x14ac:dyDescent="0.3">
      <c r="A4" s="2">
        <v>46216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46223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46230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46237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46244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46251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>
        <v>46258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9">
        <v>17</v>
      </c>
    </row>
    <row r="11" spans="1:11" ht="17.25" thickBot="1" x14ac:dyDescent="0.35">
      <c r="A11" s="19">
        <v>46265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46272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17</v>
      </c>
    </row>
    <row r="13" spans="1:11" x14ac:dyDescent="0.3">
      <c r="A13" s="19">
        <v>46279</v>
      </c>
      <c r="B13" s="23">
        <f t="shared" si="3"/>
        <v>12</v>
      </c>
      <c r="C13" s="20"/>
      <c r="D13" s="21">
        <f t="shared" si="0"/>
        <v>1400</v>
      </c>
      <c r="E13" s="21">
        <f t="shared" si="1"/>
        <v>157.21705653788118</v>
      </c>
      <c r="F13" s="21">
        <f t="shared" si="4"/>
        <v>1242.7829434621187</v>
      </c>
      <c r="G13" s="21">
        <f t="shared" si="5"/>
        <v>6597.85590128073</v>
      </c>
      <c r="H13" s="21">
        <f t="shared" si="2"/>
        <v>13402.144098719269</v>
      </c>
      <c r="J13" s="24" t="s">
        <v>21</v>
      </c>
      <c r="K13" s="11">
        <f>(K10*K9)-K9*K12</f>
        <v>0</v>
      </c>
    </row>
    <row r="14" spans="1:11" x14ac:dyDescent="0.3">
      <c r="A14" s="2">
        <v>46288</v>
      </c>
      <c r="B14" s="22">
        <f t="shared" si="3"/>
        <v>13</v>
      </c>
      <c r="C14" s="3"/>
      <c r="D14" s="1">
        <f t="shared" si="0"/>
        <v>1400</v>
      </c>
      <c r="E14" s="1">
        <f t="shared" si="1"/>
        <v>132.29731719577319</v>
      </c>
      <c r="F14" s="1">
        <f t="shared" si="4"/>
        <v>1267.7026828042267</v>
      </c>
      <c r="G14" s="1">
        <f t="shared" si="5"/>
        <v>5330.1532184765038</v>
      </c>
      <c r="H14" s="1">
        <f t="shared" si="2"/>
        <v>14669.846781523496</v>
      </c>
      <c r="J14" s="10" t="s">
        <v>22</v>
      </c>
      <c r="K14" s="11">
        <f>IF(A2="", K9*K10, IFERROR(INDEX($G:$G, MATCH($K$12, $B:$B, 0)), 0))</f>
        <v>9.1336005425546318E-10</v>
      </c>
    </row>
    <row r="15" spans="1:11" ht="17.25" thickBot="1" x14ac:dyDescent="0.35">
      <c r="A15" s="19">
        <v>46293</v>
      </c>
      <c r="B15" s="23">
        <f t="shared" si="3"/>
        <v>14</v>
      </c>
      <c r="C15" s="20"/>
      <c r="D15" s="21">
        <f t="shared" si="0"/>
        <v>1400</v>
      </c>
      <c r="E15" s="21">
        <f t="shared" si="1"/>
        <v>106.87789815324335</v>
      </c>
      <c r="F15" s="21">
        <f t="shared" si="4"/>
        <v>1293.1221018467566</v>
      </c>
      <c r="G15" s="21">
        <f t="shared" si="5"/>
        <v>4037.031116629747</v>
      </c>
      <c r="H15" s="21">
        <f t="shared" si="2"/>
        <v>15962.968883370253</v>
      </c>
      <c r="J15" s="12" t="s">
        <v>5</v>
      </c>
      <c r="K15" s="13">
        <f>IFERROR(INDEX($H:$H, MATCH($K$12, $B:$B, 0)), 0)</f>
        <v>19999.999999999087</v>
      </c>
    </row>
    <row r="16" spans="1:11" x14ac:dyDescent="0.3">
      <c r="A16" s="2">
        <v>46293</v>
      </c>
      <c r="B16" s="22">
        <f t="shared" si="3"/>
        <v>15</v>
      </c>
      <c r="C16" s="3"/>
      <c r="D16" s="1">
        <f t="shared" si="0"/>
        <v>1400</v>
      </c>
      <c r="E16" s="1">
        <f t="shared" si="1"/>
        <v>80.948780051758717</v>
      </c>
      <c r="F16" s="1">
        <f t="shared" si="4"/>
        <v>1319.0512199482414</v>
      </c>
      <c r="G16" s="1">
        <f t="shared" si="5"/>
        <v>2717.9798966815056</v>
      </c>
      <c r="H16" s="1">
        <f t="shared" si="2"/>
        <v>17282.020103318493</v>
      </c>
      <c r="J16" s="15" t="s">
        <v>18</v>
      </c>
      <c r="K16" s="16">
        <f>IF(A2,A2, "")</f>
        <v>46202</v>
      </c>
    </row>
    <row r="17" spans="1:11" x14ac:dyDescent="0.3">
      <c r="A17" s="19">
        <v>46293</v>
      </c>
      <c r="B17" s="23">
        <f t="shared" si="3"/>
        <v>16</v>
      </c>
      <c r="C17" s="20"/>
      <c r="D17" s="21">
        <f t="shared" si="0"/>
        <v>1400</v>
      </c>
      <c r="E17" s="21">
        <f t="shared" si="1"/>
        <v>54.499742628996877</v>
      </c>
      <c r="F17" s="21">
        <f t="shared" si="4"/>
        <v>1345.500257371003</v>
      </c>
      <c r="G17" s="21">
        <f t="shared" si="5"/>
        <v>1372.4796393105025</v>
      </c>
      <c r="H17" s="21">
        <f t="shared" si="2"/>
        <v>18627.520360689497</v>
      </c>
      <c r="J17" s="17" t="s">
        <v>19</v>
      </c>
      <c r="K17" s="18">
        <f xml:space="preserve"> IF(A2,(K16 + (17*7)),"")</f>
        <v>46321</v>
      </c>
    </row>
    <row r="18" spans="1:11" x14ac:dyDescent="0.3">
      <c r="A18" s="2">
        <v>46293</v>
      </c>
      <c r="B18" s="22">
        <f t="shared" si="3"/>
        <v>17</v>
      </c>
      <c r="C18" s="3"/>
      <c r="D18" s="1">
        <f t="shared" si="0"/>
        <v>1400</v>
      </c>
      <c r="E18" s="1">
        <f t="shared" si="1"/>
        <v>27.520360690410925</v>
      </c>
      <c r="F18" s="1">
        <f t="shared" si="4"/>
        <v>1372.4796393095892</v>
      </c>
      <c r="G18" s="1">
        <f t="shared" si="5"/>
        <v>9.1336005425546318E-10</v>
      </c>
      <c r="H18" s="1">
        <f t="shared" si="2"/>
        <v>19999.999999999087</v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A4" sqref="A4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46300</v>
      </c>
      <c r="B2" s="22">
        <f>IF(A2&lt;&gt;"",1,"")</f>
        <v>1</v>
      </c>
      <c r="C2" s="3"/>
      <c r="D2" s="1">
        <f t="shared" ref="D2:D18" si="0">IF(AND($A2&lt;&gt;"",$B2&lt;&gt;""),$K$9,"")</f>
        <v>2100</v>
      </c>
      <c r="E2" s="1">
        <f>IF(AND($A2&lt;&gt;"",$B2&lt;&gt;""),$K$7*$K$8,"")</f>
        <v>601.54686238338741</v>
      </c>
      <c r="F2" s="1">
        <f>IF(AND($A2&lt;&gt;"",$B2&lt;&gt;""),D2-E2,"")</f>
        <v>1498.4531376166126</v>
      </c>
      <c r="G2" s="1">
        <f>IF(AND($A2&lt;&gt;"",$B2&lt;&gt;""),$K$7-F2,"")</f>
        <v>28501.546862383388</v>
      </c>
      <c r="H2" s="1">
        <f>IF(AND($A2&lt;&gt;"",$B2&lt;&gt;""),$K$7-G2,"")</f>
        <v>1498.4531376166124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L30000W17-Salam_Echal-N229</v>
      </c>
    </row>
    <row r="3" spans="1:11" x14ac:dyDescent="0.3">
      <c r="A3" s="19">
        <v>46307</v>
      </c>
      <c r="B3" s="23">
        <f>IF(A3&lt;&gt;"",B2+1,"")</f>
        <v>2</v>
      </c>
      <c r="C3" s="20"/>
      <c r="D3" s="21">
        <f t="shared" si="0"/>
        <v>2100</v>
      </c>
      <c r="E3" s="21">
        <f t="shared" ref="E3:E18" si="1">IF(AND($A3&lt;&gt;"",$B3&lt;&gt;""),G2*$K$8,"")</f>
        <v>571.50053627132684</v>
      </c>
      <c r="F3" s="21">
        <f>IF(AND($A3&lt;&gt;"",$B3&lt;&gt;""),D3-E3,"")</f>
        <v>1528.4994637286732</v>
      </c>
      <c r="G3" s="21">
        <f>IF(AND($A3&lt;&gt;"",$B3&lt;&gt;""),G2-F3,"")</f>
        <v>26973.047398654715</v>
      </c>
      <c r="H3" s="21">
        <f t="shared" ref="H3:H18" si="2">IF(AND($A3&lt;&gt;"",$B3&lt;&gt;""),$K$7-G3,"")</f>
        <v>3026.9526013452851</v>
      </c>
      <c r="J3" s="4" t="s">
        <v>10</v>
      </c>
      <c r="K3" s="26" t="s">
        <v>23</v>
      </c>
    </row>
    <row r="4" spans="1:11" x14ac:dyDescent="0.3">
      <c r="A4" s="2"/>
      <c r="B4" s="22" t="str">
        <f t="shared" ref="B4:B18" si="3">IF(A4&lt;&gt;"",B3+1,"")</f>
        <v/>
      </c>
      <c r="C4" s="3"/>
      <c r="D4" s="1" t="str">
        <f t="shared" si="0"/>
        <v/>
      </c>
      <c r="E4" s="1" t="str">
        <f t="shared" si="1"/>
        <v/>
      </c>
      <c r="F4" s="1" t="str">
        <f t="shared" ref="F4:F18" si="4">IF(AND($A4&lt;&gt;"",$B4&lt;&gt;""),D4-E4,"")</f>
        <v/>
      </c>
      <c r="G4" s="1" t="str">
        <f t="shared" ref="G4:G18" si="5">IF(AND($A4&lt;&gt;"",$B4&lt;&gt;""),G3-F4,"")</f>
        <v/>
      </c>
      <c r="H4" s="1" t="str">
        <f t="shared" si="2"/>
        <v/>
      </c>
      <c r="J4" s="4" t="s">
        <v>11</v>
      </c>
      <c r="K4" s="26"/>
    </row>
    <row r="5" spans="1:11" x14ac:dyDescent="0.3">
      <c r="A5" s="19"/>
      <c r="B5" s="23" t="str">
        <f t="shared" si="3"/>
        <v/>
      </c>
      <c r="C5" s="20"/>
      <c r="D5" s="21" t="str">
        <f t="shared" si="0"/>
        <v/>
      </c>
      <c r="E5" s="21" t="str">
        <f t="shared" si="1"/>
        <v/>
      </c>
      <c r="F5" s="21" t="str">
        <f t="shared" si="4"/>
        <v/>
      </c>
      <c r="G5" s="21" t="str">
        <f t="shared" si="5"/>
        <v/>
      </c>
      <c r="H5" s="21" t="str">
        <f t="shared" si="2"/>
        <v/>
      </c>
      <c r="J5" s="4" t="s">
        <v>12</v>
      </c>
      <c r="K5" s="26"/>
    </row>
    <row r="6" spans="1:11" x14ac:dyDescent="0.3">
      <c r="A6" s="2"/>
      <c r="B6" s="22" t="str">
        <f t="shared" si="3"/>
        <v/>
      </c>
      <c r="C6" s="3"/>
      <c r="D6" s="1" t="str">
        <f t="shared" si="0"/>
        <v/>
      </c>
      <c r="E6" s="1" t="str">
        <f t="shared" si="1"/>
        <v/>
      </c>
      <c r="F6" s="1" t="str">
        <f t="shared" si="4"/>
        <v/>
      </c>
      <c r="G6" s="1" t="str">
        <f t="shared" si="5"/>
        <v/>
      </c>
      <c r="H6" s="1" t="str">
        <f t="shared" si="2"/>
        <v/>
      </c>
      <c r="J6" s="4" t="s">
        <v>13</v>
      </c>
      <c r="K6" s="26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7">
        <v>30000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2.0051562079446247E-2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2100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2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31500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26973.047398654715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3026.9526013452851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46300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46419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194</vt:lpstr>
      <vt:lpstr>229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2026-10-13T06:53:28Z</dcterms:modified>
</cp:coreProperties>
</file>