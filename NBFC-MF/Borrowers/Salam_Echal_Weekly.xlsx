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194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2" i="5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4" i="5"/>
  <c r="K15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<sst xmlns="http://schemas.openxmlformats.org/spreadsheetml/2006/main" count="25" uniqueCount="24">
  <si>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</si>
  <si>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</si>
  <si>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</si>
  <si>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</si>
  <si>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</si>
  <si>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</si>
  <si>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</si>
  <si>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</si>
  <si>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</si>
  <si>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</si>
  <si>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</si>
  <si>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</si>
  <si>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</si>
  <si>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</si>
  <si>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</si>
  <si>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</si>
  <si>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</si>
  <si>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</si>
  <si>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</si>
  <si>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</si>
  <si>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</si>
  <si>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Out(Int + Principal)</t>
  </si>
  <si>
    <t>Principal Outstanding</t>
  </si>
  <si>
    <t>Salam_Echal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</si>
</sst>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A14" sqref="A14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57031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46202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L20000W17-Salam_Echal-N194</v>
      </c>
    </row>
    <row r="3" spans="1:11" x14ac:dyDescent="0.3">
      <c r="A3" s="19">
        <v>46209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23</v>
      </c>
    </row>
    <row r="4" spans="1:11" x14ac:dyDescent="0.3">
      <c r="A4" s="2">
        <v>46216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6"/>
    </row>
    <row r="5" spans="1:11" x14ac:dyDescent="0.3">
      <c r="A5" s="19">
        <v>46223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6"/>
    </row>
    <row r="6" spans="1:11" x14ac:dyDescent="0.3">
      <c r="A6" s="2">
        <v>46230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6"/>
    </row>
    <row r="7" spans="1:11" x14ac:dyDescent="0.3">
      <c r="A7" s="19">
        <v>46237</v>
      </c>
      <c r="B7" s="23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4" t="s">
        <v>6</v>
      </c>
      <c r="K7" s="27">
        <v>20000</v>
      </c>
    </row>
    <row r="8" spans="1:11" x14ac:dyDescent="0.3">
      <c r="A8" s="2">
        <v>46244</v>
      </c>
      <c r="B8" s="22">
        <f t="shared" si="3"/>
        <v>7</v>
      </c>
      <c r="C8" s="3"/>
      <c r="D8" s="1">
        <f t="shared" si="0"/>
        <v>1400</v>
      </c>
      <c r="E8" s="1">
        <f t="shared" si="1"/>
        <v>274.657663164084</v>
      </c>
      <c r="F8" s="1">
        <f t="shared" si="4"/>
        <v>1125.3423368359161</v>
      </c>
      <c r="G8" s="1">
        <f t="shared" si="5"/>
        <v>12572.227063286609</v>
      </c>
      <c r="H8" s="1">
        <f t="shared" si="2"/>
        <v>7427.7729367133907</v>
      </c>
      <c r="J8" s="4" t="s">
        <v>14</v>
      </c>
      <c r="K8" s="6">
        <f>RATE(K10,-K9,K7)</f>
        <v>2.0051562079446531E-2</v>
      </c>
    </row>
    <row r="9" spans="1:11" x14ac:dyDescent="0.3">
      <c r="A9" s="19">
        <v>46251</v>
      </c>
      <c r="B9" s="23">
        <f t="shared" si="3"/>
        <v>8</v>
      </c>
      <c r="C9" s="20"/>
      <c r="D9" s="21">
        <f t="shared" si="0"/>
        <v>1400</v>
      </c>
      <c r="E9" s="21">
        <f t="shared" si="1"/>
        <v>252.09279143638921</v>
      </c>
      <c r="F9" s="21">
        <f t="shared" si="4"/>
        <v>1147.9072085636108</v>
      </c>
      <c r="G9" s="21">
        <f t="shared" si="5"/>
        <v>11424.319854722999</v>
      </c>
      <c r="H9" s="21">
        <f t="shared" si="2"/>
        <v>8575.6801452770014</v>
      </c>
      <c r="J9" s="4" t="s">
        <v>7</v>
      </c>
      <c r="K9" s="28">
        <v>1400</v>
      </c>
    </row>
    <row r="10" spans="1:11" x14ac:dyDescent="0.3">
      <c r="A10" s="2">
        <v>46258</v>
      </c>
      <c r="B10" s="22">
        <f t="shared" si="3"/>
        <v>9</v>
      </c>
      <c r="C10" s="3"/>
      <c r="D10" s="1">
        <f t="shared" si="0"/>
        <v>1400</v>
      </c>
      <c r="E10" s="1">
        <f t="shared" si="1"/>
        <v>229.07545878243178</v>
      </c>
      <c r="F10" s="1">
        <f t="shared" si="4"/>
        <v>1170.9245412175683</v>
      </c>
      <c r="G10" s="1">
        <f t="shared" si="5"/>
        <v>10253.395313505431</v>
      </c>
      <c r="H10" s="1">
        <f t="shared" si="2"/>
        <v>9746.6046864945693</v>
      </c>
      <c r="J10" s="4" t="s">
        <v>8</v>
      </c>
      <c r="K10" s="29">
        <v>17</v>
      </c>
    </row>
    <row r="11" spans="1:11" ht="17.25" thickBot="1" x14ac:dyDescent="0.35">
      <c r="A11" s="19">
        <v>46265</v>
      </c>
      <c r="B11" s="23">
        <f t="shared" si="3"/>
        <v>10</v>
      </c>
      <c r="C11" s="20"/>
      <c r="D11" s="21">
        <f t="shared" si="0"/>
        <v>1400</v>
      </c>
      <c r="E11" s="21">
        <f t="shared" si="1"/>
        <v>205.59659265386028</v>
      </c>
      <c r="F11" s="21">
        <f t="shared" si="4"/>
        <v>1194.4034073461398</v>
      </c>
      <c r="G11" s="21">
        <f t="shared" si="5"/>
        <v>9058.9919061592918</v>
      </c>
      <c r="H11" s="21">
        <f t="shared" si="2"/>
        <v>10941.008093840708</v>
      </c>
      <c r="J11" s="14"/>
    </row>
    <row r="12" spans="1:11" x14ac:dyDescent="0.3">
      <c r="A12" s="2">
        <v>46272</v>
      </c>
      <c r="B12" s="22">
        <f t="shared" si="3"/>
        <v>11</v>
      </c>
      <c r="C12" s="3"/>
      <c r="D12" s="1">
        <f t="shared" si="0"/>
        <v>1400</v>
      </c>
      <c r="E12" s="1">
        <f t="shared" si="1"/>
        <v>181.6469385835567</v>
      </c>
      <c r="F12" s="1">
        <f t="shared" si="4"/>
        <v>1218.3530614164433</v>
      </c>
      <c r="G12" s="1">
        <f t="shared" si="5"/>
        <v>7840.638844742849</v>
      </c>
      <c r="H12" s="1">
        <f t="shared" si="2"/>
        <v>12159.361155257151</v>
      </c>
      <c r="J12" s="8" t="s">
        <v>16</v>
      </c>
      <c r="K12" s="9">
        <f>IFERROR(MAX($B:$B),"")</f>
        <v>12</v>
      </c>
    </row>
    <row r="13" spans="1:11" x14ac:dyDescent="0.3">
      <c r="A13" s="19">
        <v>46279</v>
      </c>
      <c r="B13" s="23">
        <f t="shared" si="3"/>
        <v>12</v>
      </c>
      <c r="C13" s="20"/>
      <c r="D13" s="21">
        <f t="shared" si="0"/>
        <v>1400</v>
      </c>
      <c r="E13" s="21">
        <f t="shared" si="1"/>
        <v>157.21705653788118</v>
      </c>
      <c r="F13" s="21">
        <f t="shared" si="4"/>
        <v>1242.7829434621187</v>
      </c>
      <c r="G13" s="21">
        <f t="shared" si="5"/>
        <v>6597.85590128073</v>
      </c>
      <c r="H13" s="21">
        <f t="shared" si="2"/>
        <v>13402.144098719269</v>
      </c>
      <c r="J13" s="24" t="s">
        <v>21</v>
      </c>
      <c r="K13" s="11">
        <f>(K10*K9)-K9*K12</f>
        <v>7000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6597.85590128073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13402.144098719269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46202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46321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7yI+izlIteEFB5AAwDvg1y34kMaRdn2zkdICuBVpUy+l8hBGD2XadCAmNwRvlqpKFFdwkO6lgwHbJqgs4Mqxsg==" saltValue="k1ngp1D5U8OI70ytiKa8RQ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194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2026-09-24T06:27:17Z</dcterms:modified>
</cp:coreProperties>
</file>