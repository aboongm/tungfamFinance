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Loan1" sheetId="4" r:id="rId1"/>
    <sheet name="188" sheetId="6" r:id="rId2"/>
    <sheet name="204" sheetId="7" r:id="rId3"/>
    <sheet name="224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8" l="1"/>
  <c r="K17" i="8" s="1"/>
  <c r="K8" i="8"/>
  <c r="K2" i="8"/>
  <c r="B2" i="8"/>
  <c r="B3" i="8" s="1"/>
  <c r="D3" i="8" l="1"/>
  <c r="B4" i="8"/>
  <c r="D2" i="8"/>
  <c r="E2" i="8"/>
  <c r="F2" i="8" l="1"/>
  <c r="G2" i="8" s="1"/>
  <c r="H2" i="8" s="1"/>
  <c r="E3" i="8"/>
  <c r="F3" i="8" s="1"/>
  <c r="G3" i="8" s="1"/>
  <c r="B5" i="8"/>
  <c r="D4" i="8"/>
  <c r="H3" i="8" l="1"/>
  <c r="E4" i="8"/>
  <c r="F4" i="8" s="1"/>
  <c r="G4" i="8" s="1"/>
  <c r="H4" i="8" s="1"/>
  <c r="B6" i="8"/>
  <c r="D5" i="8"/>
  <c r="E5" i="8" l="1"/>
  <c r="F5" i="8" s="1"/>
  <c r="G5" i="8" s="1"/>
  <c r="B7" i="8"/>
  <c r="D6" i="8"/>
  <c r="H5" i="8" l="1"/>
  <c r="E6" i="8"/>
  <c r="F6" i="8"/>
  <c r="G6" i="8" s="1"/>
  <c r="H6" i="8" s="1"/>
  <c r="D7" i="8"/>
  <c r="B8" i="8"/>
  <c r="E7" i="8" l="1"/>
  <c r="F7" i="8" s="1"/>
  <c r="G7" i="8" s="1"/>
  <c r="D8" i="8"/>
  <c r="B9" i="8"/>
  <c r="H7" i="8" l="1"/>
  <c r="E8" i="8"/>
  <c r="F8" i="8" s="1"/>
  <c r="G8" i="8" s="1"/>
  <c r="H8" i="8" s="1"/>
  <c r="B10" i="8"/>
  <c r="D9" i="8"/>
  <c r="E9" i="8" l="1"/>
  <c r="F9" i="8"/>
  <c r="G9" i="8" s="1"/>
  <c r="H9" i="8" s="1"/>
  <c r="D10" i="8"/>
  <c r="B11" i="8"/>
  <c r="E10" i="8" l="1"/>
  <c r="F10" i="8"/>
  <c r="G10" i="8" s="1"/>
  <c r="H10" i="8" s="1"/>
  <c r="B12" i="8"/>
  <c r="D11" i="8"/>
  <c r="E11" i="8" l="1"/>
  <c r="F11" i="8" s="1"/>
  <c r="G11" i="8" s="1"/>
  <c r="D12" i="8"/>
  <c r="B13" i="8"/>
  <c r="H11" i="8" l="1"/>
  <c r="E12" i="8"/>
  <c r="F12" i="8" s="1"/>
  <c r="G12" i="8" s="1"/>
  <c r="B14" i="8"/>
  <c r="D13" i="8"/>
  <c r="H12" i="8" l="1"/>
  <c r="E13" i="8"/>
  <c r="F13" i="8"/>
  <c r="G13" i="8" s="1"/>
  <c r="H13" i="8" s="1"/>
  <c r="B15" i="8"/>
  <c r="D14" i="8"/>
  <c r="E14" i="8" l="1"/>
  <c r="F14" i="8" s="1"/>
  <c r="G14" i="8" s="1"/>
  <c r="H14" i="8" s="1"/>
  <c r="B16" i="8"/>
  <c r="D15" i="8"/>
  <c r="E15" i="8" l="1"/>
  <c r="F15" i="8" s="1"/>
  <c r="G15" i="8" s="1"/>
  <c r="D16" i="8"/>
  <c r="B17" i="8"/>
  <c r="H15" i="8" l="1"/>
  <c r="E16" i="8"/>
  <c r="F16" i="8"/>
  <c r="G16" i="8" s="1"/>
  <c r="H16" i="8" s="1"/>
  <c r="B18" i="8"/>
  <c r="D17" i="8"/>
  <c r="E17" i="8" l="1"/>
  <c r="F17" i="8"/>
  <c r="G17" i="8" s="1"/>
  <c r="H17" i="8" s="1"/>
  <c r="E18" i="8"/>
  <c r="F18" i="8" s="1"/>
  <c r="G18" i="8" s="1"/>
  <c r="H18" i="8" s="1"/>
  <c r="B19" i="8"/>
  <c r="D18" i="8"/>
  <c r="D19" i="8" l="1"/>
  <c r="E19" i="8"/>
  <c r="B20" i="8"/>
  <c r="F19" i="8" l="1"/>
  <c r="G19" i="8" s="1"/>
  <c r="H19" i="8" s="1"/>
  <c r="B21" i="8"/>
  <c r="D20" i="8"/>
  <c r="E20" i="8"/>
  <c r="F20" i="8" s="1"/>
  <c r="G20" i="8" s="1"/>
  <c r="H20" i="8" s="1"/>
  <c r="D21" i="8" l="1"/>
  <c r="B22" i="8"/>
  <c r="E21" i="8"/>
  <c r="F21" i="8" l="1"/>
  <c r="G21" i="8" s="1"/>
  <c r="H21" i="8" s="1"/>
  <c r="E22" i="8"/>
  <c r="B23" i="8"/>
  <c r="D22" i="8"/>
  <c r="F22" i="8" l="1"/>
  <c r="G22" i="8" s="1"/>
  <c r="H22" i="8" s="1"/>
  <c r="D23" i="8"/>
  <c r="B24" i="8"/>
  <c r="E23" i="8" l="1"/>
  <c r="F23" i="8"/>
  <c r="G23" i="8" s="1"/>
  <c r="H23" i="8" s="1"/>
  <c r="E24" i="8"/>
  <c r="B25" i="8"/>
  <c r="D24" i="8"/>
  <c r="F24" i="8" l="1"/>
  <c r="G24" i="8" s="1"/>
  <c r="H24" i="8" s="1"/>
  <c r="D25" i="8"/>
  <c r="E25" i="8"/>
  <c r="B26" i="8"/>
  <c r="F25" i="8" l="1"/>
  <c r="G25" i="8" s="1"/>
  <c r="H25" i="8" s="1"/>
  <c r="E26" i="8"/>
  <c r="B27" i="8"/>
  <c r="D26" i="8"/>
  <c r="F26" i="8" l="1"/>
  <c r="G26" i="8" s="1"/>
  <c r="H26" i="8" s="1"/>
  <c r="D27" i="8"/>
  <c r="E27" i="8"/>
  <c r="F27" i="8" s="1"/>
  <c r="G27" i="8" s="1"/>
  <c r="H27" i="8" s="1"/>
  <c r="B28" i="8"/>
  <c r="B29" i="8" l="1"/>
  <c r="D28" i="8"/>
  <c r="E28" i="8"/>
  <c r="F28" i="8" l="1"/>
  <c r="G28" i="8" s="1"/>
  <c r="H28" i="8" s="1"/>
  <c r="D29" i="8"/>
  <c r="B30" i="8"/>
  <c r="E29" i="8" l="1"/>
  <c r="F29" i="8" s="1"/>
  <c r="G29" i="8" s="1"/>
  <c r="D30" i="8"/>
  <c r="B31" i="8"/>
  <c r="H29" i="8" l="1"/>
  <c r="E30" i="8"/>
  <c r="F30" i="8"/>
  <c r="G30" i="8" s="1"/>
  <c r="H30" i="8" s="1"/>
  <c r="D31" i="8"/>
  <c r="B32" i="8"/>
  <c r="E31" i="8" l="1"/>
  <c r="F31" i="8" s="1"/>
  <c r="G31" i="8" s="1"/>
  <c r="D32" i="8"/>
  <c r="B33" i="8"/>
  <c r="H31" i="8" l="1"/>
  <c r="E32" i="8"/>
  <c r="F32" i="8" s="1"/>
  <c r="G32" i="8" s="1"/>
  <c r="H32" i="8" s="1"/>
  <c r="D33" i="8"/>
  <c r="F33" i="8"/>
  <c r="G33" i="8" s="1"/>
  <c r="H33" i="8" s="1"/>
  <c r="B34" i="8"/>
  <c r="E33" i="8"/>
  <c r="D34" i="8" l="1"/>
  <c r="E34" i="8"/>
  <c r="B35" i="8"/>
  <c r="F34" i="8" l="1"/>
  <c r="G34" i="8" s="1"/>
  <c r="H34" i="8" s="1"/>
  <c r="D35" i="8"/>
  <c r="E35" i="8"/>
  <c r="F35" i="8" s="1"/>
  <c r="G35" i="8" s="1"/>
  <c r="H35" i="8" s="1"/>
  <c r="B36" i="8"/>
  <c r="B37" i="8" l="1"/>
  <c r="D36" i="8"/>
  <c r="E36" i="8"/>
  <c r="F36" i="8" l="1"/>
  <c r="G36" i="8" s="1"/>
  <c r="H36" i="8" s="1"/>
  <c r="D37" i="8"/>
  <c r="E37" i="8"/>
  <c r="B38" i="8"/>
  <c r="F37" i="8" l="1"/>
  <c r="G37" i="8" s="1"/>
  <c r="H37" i="8" s="1"/>
  <c r="B39" i="8"/>
  <c r="E38" i="8"/>
  <c r="D38" i="8"/>
  <c r="F38" i="8" l="1"/>
  <c r="G38" i="8" s="1"/>
  <c r="H38" i="8" s="1"/>
  <c r="D39" i="8"/>
  <c r="B40" i="8"/>
  <c r="E39" i="8"/>
  <c r="F39" i="8" s="1"/>
  <c r="G39" i="8" s="1"/>
  <c r="H39" i="8" s="1"/>
  <c r="B41" i="8" l="1"/>
  <c r="E40" i="8"/>
  <c r="D40" i="8"/>
  <c r="F40" i="8" s="1"/>
  <c r="G40" i="8" s="1"/>
  <c r="H40" i="8" s="1"/>
  <c r="D41" i="8" l="1"/>
  <c r="B42" i="8"/>
  <c r="E41" i="8"/>
  <c r="F41" i="8" s="1"/>
  <c r="G41" i="8" s="1"/>
  <c r="H41" i="8" s="1"/>
  <c r="B43" i="8" l="1"/>
  <c r="E42" i="8"/>
  <c r="D42" i="8"/>
  <c r="F42" i="8" s="1"/>
  <c r="G42" i="8" s="1"/>
  <c r="H42" i="8" s="1"/>
  <c r="D43" i="8" l="1"/>
  <c r="B44" i="8"/>
  <c r="E43" i="8"/>
  <c r="F43" i="8" s="1"/>
  <c r="G43" i="8" s="1"/>
  <c r="H43" i="8" s="1"/>
  <c r="B45" i="8" l="1"/>
  <c r="E44" i="8"/>
  <c r="D44" i="8"/>
  <c r="F44" i="8" s="1"/>
  <c r="G44" i="8" s="1"/>
  <c r="H44" i="8" s="1"/>
  <c r="D45" i="8" l="1"/>
  <c r="E45" i="8"/>
  <c r="F45" i="8" s="1"/>
  <c r="G45" i="8" s="1"/>
  <c r="H45" i="8" s="1"/>
  <c r="B46" i="8"/>
  <c r="B47" i="8" l="1"/>
  <c r="E46" i="8"/>
  <c r="D46" i="8"/>
  <c r="F46" i="8" s="1"/>
  <c r="G46" i="8" s="1"/>
  <c r="H46" i="8" s="1"/>
  <c r="D47" i="8" l="1"/>
  <c r="B48" i="8"/>
  <c r="E47" i="8"/>
  <c r="F47" i="8" s="1"/>
  <c r="G47" i="8" s="1"/>
  <c r="H47" i="8" s="1"/>
  <c r="B49" i="8" l="1"/>
  <c r="E48" i="8"/>
  <c r="D48" i="8"/>
  <c r="F48" i="8" s="1"/>
  <c r="G48" i="8" s="1"/>
  <c r="H48" i="8" s="1"/>
  <c r="D49" i="8" l="1"/>
  <c r="B50" i="8"/>
  <c r="E49" i="8"/>
  <c r="F49" i="8" s="1"/>
  <c r="G49" i="8" s="1"/>
  <c r="H49" i="8" s="1"/>
  <c r="B51" i="8" l="1"/>
  <c r="E50" i="8"/>
  <c r="D50" i="8"/>
  <c r="F50" i="8" s="1"/>
  <c r="G50" i="8" s="1"/>
  <c r="H50" i="8" s="1"/>
  <c r="B52" i="8" l="1"/>
  <c r="D51" i="8"/>
  <c r="E51" i="8"/>
  <c r="F51" i="8" l="1"/>
  <c r="G51" i="8" s="1"/>
  <c r="H51" i="8" s="1"/>
  <c r="B53" i="8"/>
  <c r="E52" i="8"/>
  <c r="D52" i="8"/>
  <c r="F52" i="8" s="1"/>
  <c r="G52" i="8" s="1"/>
  <c r="H52" i="8" s="1"/>
  <c r="E53" i="8" l="1"/>
  <c r="B54" i="8"/>
  <c r="D53" i="8"/>
  <c r="F53" i="8" l="1"/>
  <c r="G53" i="8" s="1"/>
  <c r="H53" i="8" s="1"/>
  <c r="B55" i="8"/>
  <c r="E54" i="8"/>
  <c r="F54" i="8"/>
  <c r="G54" i="8" s="1"/>
  <c r="H54" i="8" s="1"/>
  <c r="D54" i="8"/>
  <c r="E55" i="8" l="1"/>
  <c r="B56" i="8"/>
  <c r="D55" i="8"/>
  <c r="F55" i="8" l="1"/>
  <c r="G55" i="8" s="1"/>
  <c r="H55" i="8" s="1"/>
  <c r="B57" i="8"/>
  <c r="E56" i="8"/>
  <c r="D56" i="8"/>
  <c r="F56" i="8" s="1"/>
  <c r="G56" i="8" s="1"/>
  <c r="H56" i="8" s="1"/>
  <c r="E57" i="8" l="1"/>
  <c r="B58" i="8"/>
  <c r="D57" i="8"/>
  <c r="F57" i="8" s="1"/>
  <c r="G57" i="8" s="1"/>
  <c r="H57" i="8" s="1"/>
  <c r="B59" i="8" l="1"/>
  <c r="E58" i="8"/>
  <c r="D58" i="8"/>
  <c r="F58" i="8" s="1"/>
  <c r="G58" i="8" s="1"/>
  <c r="H58" i="8" s="1"/>
  <c r="B60" i="8" l="1"/>
  <c r="D59" i="8"/>
  <c r="E59" i="8"/>
  <c r="F59" i="8" l="1"/>
  <c r="G59" i="8" s="1"/>
  <c r="H59" i="8" s="1"/>
  <c r="B61" i="8"/>
  <c r="E60" i="8"/>
  <c r="D60" i="8"/>
  <c r="F60" i="8" s="1"/>
  <c r="G60" i="8" s="1"/>
  <c r="H60" i="8" s="1"/>
  <c r="E61" i="8" l="1"/>
  <c r="D61" i="8"/>
  <c r="B62" i="8"/>
  <c r="F61" i="8" l="1"/>
  <c r="G61" i="8" s="1"/>
  <c r="H61" i="8" s="1"/>
  <c r="B63" i="8"/>
  <c r="E62" i="8"/>
  <c r="F62" i="8"/>
  <c r="G62" i="8" s="1"/>
  <c r="H62" i="8" s="1"/>
  <c r="D62" i="8"/>
  <c r="E63" i="8" l="1"/>
  <c r="B64" i="8"/>
  <c r="D63" i="8"/>
  <c r="F63" i="8" l="1"/>
  <c r="G63" i="8" s="1"/>
  <c r="H63" i="8" s="1"/>
  <c r="B65" i="8"/>
  <c r="E64" i="8"/>
  <c r="D64" i="8"/>
  <c r="F64" i="8" s="1"/>
  <c r="G64" i="8" s="1"/>
  <c r="H64" i="8" s="1"/>
  <c r="E65" i="8" l="1"/>
  <c r="D65" i="8"/>
  <c r="F65" i="8" s="1"/>
  <c r="G65" i="8" s="1"/>
  <c r="H65" i="8" s="1"/>
  <c r="B66" i="8"/>
  <c r="B18" i="7"/>
  <c r="H18" i="7" s="1"/>
  <c r="B17" i="7"/>
  <c r="G17" i="7" s="1"/>
  <c r="K16" i="7"/>
  <c r="K17" i="7" s="1"/>
  <c r="B16" i="7"/>
  <c r="H16" i="7" s="1"/>
  <c r="B12" i="7"/>
  <c r="B11" i="7"/>
  <c r="B10" i="7"/>
  <c r="B9" i="7"/>
  <c r="K8" i="7"/>
  <c r="K2" i="7"/>
  <c r="B2" i="7"/>
  <c r="B13" i="7" l="1"/>
  <c r="B67" i="8"/>
  <c r="E66" i="8"/>
  <c r="D66" i="8"/>
  <c r="F66" i="8" s="1"/>
  <c r="G66" i="8" s="1"/>
  <c r="H66" i="8" s="1"/>
  <c r="F16" i="7"/>
  <c r="E16" i="7"/>
  <c r="F17" i="7"/>
  <c r="E10" i="7"/>
  <c r="E12" i="7"/>
  <c r="E2" i="7"/>
  <c r="E9" i="7"/>
  <c r="E11" i="7"/>
  <c r="G16" i="7"/>
  <c r="D17" i="7"/>
  <c r="H17" i="7"/>
  <c r="E18" i="7"/>
  <c r="B3" i="7"/>
  <c r="D10" i="7"/>
  <c r="F10" i="7" s="1"/>
  <c r="G10" i="7" s="1"/>
  <c r="H10" i="7" s="1"/>
  <c r="D12" i="7"/>
  <c r="F12" i="7" s="1"/>
  <c r="G12" i="7" s="1"/>
  <c r="H12" i="7" s="1"/>
  <c r="D16" i="7"/>
  <c r="E17" i="7"/>
  <c r="F18" i="7"/>
  <c r="G18" i="7"/>
  <c r="D2" i="7"/>
  <c r="D9" i="7"/>
  <c r="F9" i="7" s="1"/>
  <c r="G9" i="7" s="1"/>
  <c r="H9" i="7" s="1"/>
  <c r="D11" i="7"/>
  <c r="F11" i="7" s="1"/>
  <c r="G11" i="7" s="1"/>
  <c r="H11" i="7" s="1"/>
  <c r="D18" i="7"/>
  <c r="B14" i="7" l="1"/>
  <c r="D13" i="7"/>
  <c r="E13" i="7"/>
  <c r="F13" i="7" s="1"/>
  <c r="G13" i="7" s="1"/>
  <c r="H13" i="7" s="1"/>
  <c r="E67" i="8"/>
  <c r="D67" i="8"/>
  <c r="B68" i="8"/>
  <c r="F2" i="7"/>
  <c r="G2" i="7" s="1"/>
  <c r="H2" i="7" s="1"/>
  <c r="B4" i="7"/>
  <c r="E3" i="7"/>
  <c r="D3" i="7"/>
  <c r="B15" i="7" l="1"/>
  <c r="E14" i="7"/>
  <c r="F14" i="7"/>
  <c r="G14" i="7" s="1"/>
  <c r="H14" i="7" s="1"/>
  <c r="D14" i="7"/>
  <c r="F67" i="8"/>
  <c r="G67" i="8" s="1"/>
  <c r="H67" i="8" s="1"/>
  <c r="B69" i="8"/>
  <c r="E68" i="8"/>
  <c r="F68" i="8"/>
  <c r="G68" i="8" s="1"/>
  <c r="H68" i="8" s="1"/>
  <c r="D68" i="8"/>
  <c r="F3" i="7"/>
  <c r="G3" i="7" s="1"/>
  <c r="H3" i="7" s="1"/>
  <c r="B5" i="7"/>
  <c r="D4" i="7"/>
  <c r="E15" i="7" l="1"/>
  <c r="D15" i="7"/>
  <c r="F15" i="7" s="1"/>
  <c r="G15" i="7" s="1"/>
  <c r="H15" i="7" s="1"/>
  <c r="E69" i="8"/>
  <c r="B70" i="8"/>
  <c r="D69" i="8"/>
  <c r="F69" i="8" s="1"/>
  <c r="G69" i="8" s="1"/>
  <c r="H69" i="8" s="1"/>
  <c r="E4" i="7"/>
  <c r="F4" i="7" s="1"/>
  <c r="G4" i="7" s="1"/>
  <c r="H4" i="7" s="1"/>
  <c r="B6" i="7"/>
  <c r="D5" i="7"/>
  <c r="B71" i="8" l="1"/>
  <c r="E70" i="8"/>
  <c r="D70" i="8"/>
  <c r="F70" i="8" s="1"/>
  <c r="G70" i="8" s="1"/>
  <c r="H70" i="8" s="1"/>
  <c r="E5" i="7"/>
  <c r="F5" i="7" s="1"/>
  <c r="G5" i="7" s="1"/>
  <c r="B7" i="7"/>
  <c r="D6" i="7"/>
  <c r="B72" i="8" l="1"/>
  <c r="D71" i="8"/>
  <c r="E71" i="8"/>
  <c r="F71" i="8" s="1"/>
  <c r="G71" i="8" s="1"/>
  <c r="H71" i="8" s="1"/>
  <c r="H5" i="7"/>
  <c r="E6" i="7"/>
  <c r="F6" i="7" s="1"/>
  <c r="G6" i="7" s="1"/>
  <c r="H6" i="7" s="1"/>
  <c r="B8" i="7"/>
  <c r="D7" i="7"/>
  <c r="B73" i="8" l="1"/>
  <c r="E72" i="8"/>
  <c r="D72" i="8"/>
  <c r="F72" i="8" s="1"/>
  <c r="G72" i="8" s="1"/>
  <c r="H72" i="8" s="1"/>
  <c r="E7" i="7"/>
  <c r="F7" i="7" s="1"/>
  <c r="G7" i="7" s="1"/>
  <c r="H7" i="7" s="1"/>
  <c r="E8" i="7"/>
  <c r="D8" i="7"/>
  <c r="K12" i="7"/>
  <c r="E73" i="8" l="1"/>
  <c r="D73" i="8"/>
  <c r="B74" i="8"/>
  <c r="F8" i="7"/>
  <c r="G8" i="7" s="1"/>
  <c r="H8" i="7" s="1"/>
  <c r="K15" i="7" s="1"/>
  <c r="K13" i="7"/>
  <c r="F73" i="8" l="1"/>
  <c r="G73" i="8" s="1"/>
  <c r="H73" i="8" s="1"/>
  <c r="B75" i="8"/>
  <c r="E74" i="8"/>
  <c r="D74" i="8"/>
  <c r="F74" i="8" s="1"/>
  <c r="G74" i="8" s="1"/>
  <c r="H74" i="8" s="1"/>
  <c r="K14" i="7"/>
  <c r="K16" i="6"/>
  <c r="K17" i="6" s="1"/>
  <c r="K8" i="6"/>
  <c r="B3" i="6"/>
  <c r="K2" i="6"/>
  <c r="B2" i="6"/>
  <c r="E2" i="6" s="1"/>
  <c r="B76" i="8" l="1"/>
  <c r="E75" i="8"/>
  <c r="F75" i="8" s="1"/>
  <c r="G75" i="8" s="1"/>
  <c r="H75" i="8" s="1"/>
  <c r="D75" i="8"/>
  <c r="D2" i="6"/>
  <c r="F2" i="6" s="1"/>
  <c r="D3" i="6"/>
  <c r="B4" i="6"/>
  <c r="G2" i="6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/>
  <c r="B94" i="4"/>
  <c r="B95" i="4"/>
  <c r="B96" i="4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77" i="8" l="1"/>
  <c r="E76" i="8"/>
  <c r="D76" i="8"/>
  <c r="E3" i="6"/>
  <c r="F3" i="6" s="1"/>
  <c r="G3" i="6" s="1"/>
  <c r="H2" i="6"/>
  <c r="B5" i="6"/>
  <c r="D4" i="6"/>
  <c r="K16" i="4"/>
  <c r="K17" i="4" s="1"/>
  <c r="F76" i="8" l="1"/>
  <c r="G76" i="8" s="1"/>
  <c r="H76" i="8" s="1"/>
  <c r="E77" i="8"/>
  <c r="D77" i="8"/>
  <c r="F77" i="8" s="1"/>
  <c r="G77" i="8" s="1"/>
  <c r="H77" i="8" s="1"/>
  <c r="B78" i="8"/>
  <c r="H3" i="6"/>
  <c r="E4" i="6"/>
  <c r="F4" i="6" s="1"/>
  <c r="G4" i="6" s="1"/>
  <c r="D5" i="6"/>
  <c r="B6" i="6"/>
  <c r="K2" i="4"/>
  <c r="B79" i="8" l="1"/>
  <c r="E78" i="8"/>
  <c r="D78" i="8"/>
  <c r="H4" i="6"/>
  <c r="E5" i="6"/>
  <c r="F5" i="6" s="1"/>
  <c r="G5" i="6"/>
  <c r="H5" i="6" s="1"/>
  <c r="B7" i="6"/>
  <c r="D6" i="6"/>
  <c r="K12" i="4"/>
  <c r="K13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F78" i="8" l="1"/>
  <c r="G78" i="8" s="1"/>
  <c r="H78" i="8" s="1"/>
  <c r="B80" i="8"/>
  <c r="D79" i="8"/>
  <c r="E79" i="8"/>
  <c r="F79" i="8" s="1"/>
  <c r="G79" i="8" s="1"/>
  <c r="H79" i="8" s="1"/>
  <c r="D7" i="6"/>
  <c r="B8" i="6"/>
  <c r="E6" i="6"/>
  <c r="F6" i="6" s="1"/>
  <c r="G6" i="6" s="1"/>
  <c r="H6" i="6" s="1"/>
  <c r="K8" i="4"/>
  <c r="E2" i="4" s="1"/>
  <c r="F2" i="4" s="1"/>
  <c r="G2" i="4" s="1"/>
  <c r="B81" i="8" l="1"/>
  <c r="E80" i="8"/>
  <c r="D80" i="8"/>
  <c r="F80" i="8" s="1"/>
  <c r="G80" i="8" s="1"/>
  <c r="H80" i="8" s="1"/>
  <c r="B9" i="6"/>
  <c r="D8" i="6"/>
  <c r="E7" i="6"/>
  <c r="F7" i="6" s="1"/>
  <c r="G7" i="6" s="1"/>
  <c r="H2" i="4"/>
  <c r="E3" i="4"/>
  <c r="B82" i="8" l="1"/>
  <c r="E81" i="8"/>
  <c r="D81" i="8"/>
  <c r="H7" i="6"/>
  <c r="E8" i="6"/>
  <c r="F8" i="6"/>
  <c r="G8" i="6" s="1"/>
  <c r="D9" i="6"/>
  <c r="B10" i="6"/>
  <c r="E93" i="4"/>
  <c r="F93" i="4" s="1"/>
  <c r="G93" i="4" s="1"/>
  <c r="F81" i="8" l="1"/>
  <c r="G81" i="8" s="1"/>
  <c r="H81" i="8" s="1"/>
  <c r="B83" i="8"/>
  <c r="E82" i="8"/>
  <c r="F82" i="8"/>
  <c r="G82" i="8" s="1"/>
  <c r="H82" i="8" s="1"/>
  <c r="D82" i="8"/>
  <c r="H8" i="6"/>
  <c r="E9" i="6"/>
  <c r="F9" i="6" s="1"/>
  <c r="G9" i="6" s="1"/>
  <c r="D10" i="6"/>
  <c r="B11" i="6"/>
  <c r="H93" i="4"/>
  <c r="E94" i="4"/>
  <c r="F94" i="4" s="1"/>
  <c r="G94" i="4" s="1"/>
  <c r="E83" i="8" l="1"/>
  <c r="F83" i="8" s="1"/>
  <c r="G83" i="8" s="1"/>
  <c r="H83" i="8" s="1"/>
  <c r="B84" i="8"/>
  <c r="D83" i="8"/>
  <c r="H9" i="6"/>
  <c r="E10" i="6"/>
  <c r="F10" i="6" s="1"/>
  <c r="G10" i="6"/>
  <c r="H10" i="6" s="1"/>
  <c r="B12" i="6"/>
  <c r="D11" i="6"/>
  <c r="E95" i="4"/>
  <c r="F95" i="4" s="1"/>
  <c r="G95" i="4"/>
  <c r="H94" i="4"/>
  <c r="B85" i="8" l="1"/>
  <c r="E84" i="8"/>
  <c r="D84" i="8"/>
  <c r="F84" i="8" s="1"/>
  <c r="G84" i="8" s="1"/>
  <c r="H84" i="8" s="1"/>
  <c r="E11" i="6"/>
  <c r="F11" i="6" s="1"/>
  <c r="G11" i="6" s="1"/>
  <c r="D12" i="6"/>
  <c r="B13" i="6"/>
  <c r="H95" i="4"/>
  <c r="E96" i="4"/>
  <c r="F96" i="4" s="1"/>
  <c r="G96" i="4"/>
  <c r="E85" i="8" l="1"/>
  <c r="B86" i="8"/>
  <c r="D85" i="8"/>
  <c r="F85" i="8" s="1"/>
  <c r="G85" i="8" s="1"/>
  <c r="H85" i="8" s="1"/>
  <c r="H11" i="6"/>
  <c r="E12" i="6"/>
  <c r="F12" i="6" s="1"/>
  <c r="G12" i="6" s="1"/>
  <c r="H12" i="6" s="1"/>
  <c r="E13" i="6"/>
  <c r="B14" i="6"/>
  <c r="D13" i="6"/>
  <c r="F13" i="6"/>
  <c r="G13" i="6" s="1"/>
  <c r="H13" i="6" s="1"/>
  <c r="H96" i="4"/>
  <c r="E97" i="4"/>
  <c r="F97" i="4" s="1"/>
  <c r="G97" i="4" s="1"/>
  <c r="B87" i="8" l="1"/>
  <c r="E86" i="8"/>
  <c r="D86" i="8"/>
  <c r="B15" i="6"/>
  <c r="D14" i="6"/>
  <c r="E14" i="6"/>
  <c r="H97" i="4"/>
  <c r="E98" i="4"/>
  <c r="F98" i="4" s="1"/>
  <c r="G98" i="4" s="1"/>
  <c r="F86" i="8" l="1"/>
  <c r="G86" i="8" s="1"/>
  <c r="H86" i="8" s="1"/>
  <c r="B88" i="8"/>
  <c r="D87" i="8"/>
  <c r="E87" i="8"/>
  <c r="F14" i="6"/>
  <c r="G14" i="6" s="1"/>
  <c r="H14" i="6" s="1"/>
  <c r="B16" i="6"/>
  <c r="D15" i="6"/>
  <c r="E15" i="6"/>
  <c r="E99" i="4"/>
  <c r="F99" i="4" s="1"/>
  <c r="G99" i="4"/>
  <c r="H98" i="4"/>
  <c r="F87" i="8" l="1"/>
  <c r="G87" i="8" s="1"/>
  <c r="H87" i="8" s="1"/>
  <c r="B89" i="8"/>
  <c r="E88" i="8"/>
  <c r="D88" i="8"/>
  <c r="F88" i="8" s="1"/>
  <c r="G88" i="8" s="1"/>
  <c r="H88" i="8" s="1"/>
  <c r="F15" i="6"/>
  <c r="G15" i="6" s="1"/>
  <c r="H15" i="6" s="1"/>
  <c r="D16" i="6"/>
  <c r="B17" i="6"/>
  <c r="E16" i="6"/>
  <c r="F16" i="6" s="1"/>
  <c r="G16" i="6" s="1"/>
  <c r="H16" i="6" s="1"/>
  <c r="H99" i="4"/>
  <c r="E100" i="4"/>
  <c r="F100" i="4" s="1"/>
  <c r="G100" i="4" s="1"/>
  <c r="E89" i="8" l="1"/>
  <c r="D89" i="8"/>
  <c r="B90" i="8"/>
  <c r="E17" i="6"/>
  <c r="B18" i="6"/>
  <c r="D17" i="6"/>
  <c r="F17" i="6" s="1"/>
  <c r="G17" i="6" s="1"/>
  <c r="H17" i="6" s="1"/>
  <c r="H100" i="4"/>
  <c r="E101" i="4"/>
  <c r="F101" i="4" s="1"/>
  <c r="G101" i="4" s="1"/>
  <c r="F89" i="8" l="1"/>
  <c r="G89" i="8" s="1"/>
  <c r="H89" i="8" s="1"/>
  <c r="B91" i="8"/>
  <c r="D90" i="8"/>
  <c r="E18" i="6"/>
  <c r="D18" i="6"/>
  <c r="F18" i="6" s="1"/>
  <c r="G18" i="6" s="1"/>
  <c r="H18" i="6" s="1"/>
  <c r="B19" i="6"/>
  <c r="H101" i="4"/>
  <c r="E102" i="4"/>
  <c r="F102" i="4" s="1"/>
  <c r="G102" i="4" s="1"/>
  <c r="E90" i="8" l="1"/>
  <c r="F90" i="8" s="1"/>
  <c r="G90" i="8" s="1"/>
  <c r="H90" i="8" s="1"/>
  <c r="E91" i="8"/>
  <c r="D91" i="8"/>
  <c r="F91" i="8" s="1"/>
  <c r="G91" i="8" s="1"/>
  <c r="H91" i="8" s="1"/>
  <c r="B92" i="8"/>
  <c r="D19" i="6"/>
  <c r="E19" i="6"/>
  <c r="B20" i="6"/>
  <c r="E103" i="4"/>
  <c r="F103" i="4" s="1"/>
  <c r="G103" i="4" s="1"/>
  <c r="H102" i="4"/>
  <c r="B93" i="8" l="1"/>
  <c r="E92" i="8"/>
  <c r="D92" i="8"/>
  <c r="F19" i="6"/>
  <c r="G19" i="6" s="1"/>
  <c r="H19" i="6" s="1"/>
  <c r="E20" i="6"/>
  <c r="B21" i="6"/>
  <c r="D20" i="6"/>
  <c r="F20" i="6" s="1"/>
  <c r="G20" i="6" s="1"/>
  <c r="H20" i="6" s="1"/>
  <c r="H103" i="4"/>
  <c r="E104" i="4"/>
  <c r="F104" i="4" s="1"/>
  <c r="G104" i="4"/>
  <c r="F92" i="8" l="1"/>
  <c r="G92" i="8" s="1"/>
  <c r="H92" i="8" s="1"/>
  <c r="E93" i="8"/>
  <c r="B94" i="8"/>
  <c r="D93" i="8"/>
  <c r="F93" i="8" s="1"/>
  <c r="G93" i="8" s="1"/>
  <c r="H93" i="8" s="1"/>
  <c r="D21" i="6"/>
  <c r="E21" i="6"/>
  <c r="B22" i="6"/>
  <c r="H104" i="4"/>
  <c r="E105" i="4"/>
  <c r="F105" i="4" s="1"/>
  <c r="G105" i="4" s="1"/>
  <c r="F3" i="4"/>
  <c r="G3" i="4" s="1"/>
  <c r="B95" i="8" l="1"/>
  <c r="E94" i="8"/>
  <c r="D94" i="8"/>
  <c r="F94" i="8" s="1"/>
  <c r="G94" i="8" s="1"/>
  <c r="H94" i="8" s="1"/>
  <c r="F21" i="6"/>
  <c r="G21" i="6" s="1"/>
  <c r="H21" i="6" s="1"/>
  <c r="B23" i="6"/>
  <c r="D22" i="6"/>
  <c r="E22" i="6"/>
  <c r="H105" i="4"/>
  <c r="E106" i="4"/>
  <c r="F106" i="4" s="1"/>
  <c r="G106" i="4" s="1"/>
  <c r="E4" i="4"/>
  <c r="H3" i="4"/>
  <c r="F4" i="4"/>
  <c r="G4" i="4" s="1"/>
  <c r="B96" i="8" l="1"/>
  <c r="D95" i="8"/>
  <c r="E95" i="8"/>
  <c r="F22" i="6"/>
  <c r="G22" i="6" s="1"/>
  <c r="H22" i="6" s="1"/>
  <c r="D23" i="6"/>
  <c r="B24" i="6"/>
  <c r="E23" i="6"/>
  <c r="E107" i="4"/>
  <c r="F107" i="4" s="1"/>
  <c r="G107" i="4" s="1"/>
  <c r="H106" i="4"/>
  <c r="E5" i="4"/>
  <c r="F5" i="4" s="1"/>
  <c r="G5" i="4" s="1"/>
  <c r="H4" i="4"/>
  <c r="F95" i="8" l="1"/>
  <c r="G95" i="8" s="1"/>
  <c r="H95" i="8" s="1"/>
  <c r="B97" i="8"/>
  <c r="D96" i="8"/>
  <c r="F23" i="6"/>
  <c r="G23" i="6" s="1"/>
  <c r="H23" i="6" s="1"/>
  <c r="B25" i="6"/>
  <c r="E24" i="6"/>
  <c r="D24" i="6"/>
  <c r="F24" i="6" s="1"/>
  <c r="G24" i="6" s="1"/>
  <c r="H24" i="6" s="1"/>
  <c r="G108" i="4"/>
  <c r="H107" i="4"/>
  <c r="E108" i="4"/>
  <c r="F108" i="4" s="1"/>
  <c r="H5" i="4"/>
  <c r="E6" i="4"/>
  <c r="F6" i="4" s="1"/>
  <c r="G6" i="4" s="1"/>
  <c r="E96" i="8" l="1"/>
  <c r="F96" i="8" s="1"/>
  <c r="G96" i="8" s="1"/>
  <c r="B98" i="8"/>
  <c r="D97" i="8"/>
  <c r="D25" i="6"/>
  <c r="E25" i="6"/>
  <c r="F25" i="6" s="1"/>
  <c r="G25" i="6" s="1"/>
  <c r="H25" i="6" s="1"/>
  <c r="B26" i="6"/>
  <c r="E109" i="4"/>
  <c r="F109" i="4" s="1"/>
  <c r="G109" i="4" s="1"/>
  <c r="H108" i="4"/>
  <c r="E7" i="4"/>
  <c r="F7" i="4" s="1"/>
  <c r="G7" i="4" s="1"/>
  <c r="H6" i="4"/>
  <c r="H96" i="8" l="1"/>
  <c r="E97" i="8"/>
  <c r="F97" i="8" s="1"/>
  <c r="G97" i="8" s="1"/>
  <c r="H97" i="8" s="1"/>
  <c r="B99" i="8"/>
  <c r="D98" i="8"/>
  <c r="E26" i="6"/>
  <c r="B27" i="6"/>
  <c r="D26" i="6"/>
  <c r="F26" i="6" s="1"/>
  <c r="G26" i="6" s="1"/>
  <c r="H26" i="6" s="1"/>
  <c r="E110" i="4"/>
  <c r="F110" i="4" s="1"/>
  <c r="G110" i="4" s="1"/>
  <c r="H109" i="4"/>
  <c r="H7" i="4"/>
  <c r="E8" i="4"/>
  <c r="F8" i="4" s="1"/>
  <c r="G8" i="4" s="1"/>
  <c r="E98" i="8" l="1"/>
  <c r="F98" i="8" s="1"/>
  <c r="G98" i="8" s="1"/>
  <c r="H98" i="8" s="1"/>
  <c r="E99" i="8"/>
  <c r="B100" i="8"/>
  <c r="D99" i="8"/>
  <c r="F99" i="8" s="1"/>
  <c r="G99" i="8" s="1"/>
  <c r="H99" i="8" s="1"/>
  <c r="D27" i="6"/>
  <c r="E27" i="6"/>
  <c r="F27" i="6" s="1"/>
  <c r="G27" i="6" s="1"/>
  <c r="H27" i="6" s="1"/>
  <c r="B28" i="6"/>
  <c r="H110" i="4"/>
  <c r="E111" i="4"/>
  <c r="F111" i="4" s="1"/>
  <c r="G111" i="4" s="1"/>
  <c r="E9" i="4"/>
  <c r="F9" i="4" s="1"/>
  <c r="G9" i="4" s="1"/>
  <c r="H8" i="4"/>
  <c r="B101" i="8" l="1"/>
  <c r="E100" i="8"/>
  <c r="D100" i="8"/>
  <c r="F100" i="8" s="1"/>
  <c r="G100" i="8" s="1"/>
  <c r="H100" i="8" s="1"/>
  <c r="E28" i="6"/>
  <c r="B29" i="6"/>
  <c r="D28" i="6"/>
  <c r="F28" i="6" s="1"/>
  <c r="G28" i="6" s="1"/>
  <c r="H28" i="6" s="1"/>
  <c r="E112" i="4"/>
  <c r="F112" i="4" s="1"/>
  <c r="G112" i="4" s="1"/>
  <c r="H111" i="4"/>
  <c r="H9" i="4"/>
  <c r="E10" i="4"/>
  <c r="F10" i="4" s="1"/>
  <c r="G10" i="4" s="1"/>
  <c r="E101" i="8" l="1"/>
  <c r="B102" i="8"/>
  <c r="D101" i="8"/>
  <c r="F101" i="8"/>
  <c r="G101" i="8" s="1"/>
  <c r="H101" i="8" s="1"/>
  <c r="D29" i="6"/>
  <c r="E29" i="6"/>
  <c r="F29" i="6" s="1"/>
  <c r="G29" i="6" s="1"/>
  <c r="H29" i="6" s="1"/>
  <c r="B30" i="6"/>
  <c r="E113" i="4"/>
  <c r="F113" i="4" s="1"/>
  <c r="G113" i="4" s="1"/>
  <c r="H112" i="4"/>
  <c r="H10" i="4"/>
  <c r="E11" i="4"/>
  <c r="F11" i="4" s="1"/>
  <c r="G11" i="4" s="1"/>
  <c r="B103" i="8" l="1"/>
  <c r="E102" i="8"/>
  <c r="D102" i="8"/>
  <c r="F102" i="8"/>
  <c r="G102" i="8" s="1"/>
  <c r="H102" i="8" s="1"/>
  <c r="B31" i="6"/>
  <c r="D30" i="6"/>
  <c r="E30" i="6"/>
  <c r="H113" i="4"/>
  <c r="E114" i="4"/>
  <c r="F114" i="4" s="1"/>
  <c r="G114" i="4" s="1"/>
  <c r="H11" i="4"/>
  <c r="E12" i="4"/>
  <c r="F12" i="4" s="1"/>
  <c r="G12" i="4" s="1"/>
  <c r="B104" i="8" l="1"/>
  <c r="D103" i="8"/>
  <c r="E103" i="8"/>
  <c r="F30" i="6"/>
  <c r="G30" i="6" s="1"/>
  <c r="H30" i="6" s="1"/>
  <c r="D31" i="6"/>
  <c r="F31" i="6" s="1"/>
  <c r="G31" i="6" s="1"/>
  <c r="H31" i="6" s="1"/>
  <c r="B32" i="6"/>
  <c r="E31" i="6"/>
  <c r="E115" i="4"/>
  <c r="F115" i="4" s="1"/>
  <c r="G115" i="4" s="1"/>
  <c r="H114" i="4"/>
  <c r="H12" i="4"/>
  <c r="E13" i="4"/>
  <c r="F13" i="4" s="1"/>
  <c r="G13" i="4" s="1"/>
  <c r="F103" i="8" l="1"/>
  <c r="G103" i="8" s="1"/>
  <c r="H103" i="8" s="1"/>
  <c r="B105" i="8"/>
  <c r="D104" i="8"/>
  <c r="D32" i="6"/>
  <c r="E32" i="6"/>
  <c r="F32" i="6" s="1"/>
  <c r="G32" i="6" s="1"/>
  <c r="H32" i="6" s="1"/>
  <c r="B33" i="6"/>
  <c r="H115" i="4"/>
  <c r="E116" i="4"/>
  <c r="F116" i="4" s="1"/>
  <c r="G116" i="4" s="1"/>
  <c r="H13" i="4"/>
  <c r="E14" i="4"/>
  <c r="F14" i="4" s="1"/>
  <c r="G14" i="4" s="1"/>
  <c r="E104" i="8" l="1"/>
  <c r="F104" i="8" s="1"/>
  <c r="G104" i="8" s="1"/>
  <c r="D105" i="8"/>
  <c r="B106" i="8"/>
  <c r="D33" i="6"/>
  <c r="B34" i="6"/>
  <c r="E33" i="6"/>
  <c r="H116" i="4"/>
  <c r="E117" i="4"/>
  <c r="F117" i="4" s="1"/>
  <c r="G117" i="4" s="1"/>
  <c r="E15" i="4"/>
  <c r="F15" i="4" s="1"/>
  <c r="G15" i="4" s="1"/>
  <c r="H14" i="4"/>
  <c r="H104" i="8" l="1"/>
  <c r="E105" i="8"/>
  <c r="F105" i="8" s="1"/>
  <c r="G105" i="8" s="1"/>
  <c r="H105" i="8" s="1"/>
  <c r="B107" i="8"/>
  <c r="D106" i="8"/>
  <c r="F33" i="6"/>
  <c r="G33" i="6" s="1"/>
  <c r="H33" i="6" s="1"/>
  <c r="E34" i="6"/>
  <c r="D34" i="6"/>
  <c r="F34" i="6" s="1"/>
  <c r="G34" i="6" s="1"/>
  <c r="H34" i="6" s="1"/>
  <c r="B35" i="6"/>
  <c r="E118" i="4"/>
  <c r="F118" i="4" s="1"/>
  <c r="G118" i="4" s="1"/>
  <c r="H117" i="4"/>
  <c r="H15" i="4"/>
  <c r="E16" i="4"/>
  <c r="F16" i="4" s="1"/>
  <c r="G16" i="4" s="1"/>
  <c r="E106" i="8" l="1"/>
  <c r="F106" i="8" s="1"/>
  <c r="G106" i="8" s="1"/>
  <c r="D107" i="8"/>
  <c r="B108" i="8"/>
  <c r="D35" i="6"/>
  <c r="E35" i="6"/>
  <c r="B36" i="6"/>
  <c r="H118" i="4"/>
  <c r="E119" i="4"/>
  <c r="F119" i="4" s="1"/>
  <c r="G119" i="4" s="1"/>
  <c r="E17" i="4"/>
  <c r="F17" i="4" s="1"/>
  <c r="G17" i="4" s="1"/>
  <c r="H16" i="4"/>
  <c r="H106" i="8" l="1"/>
  <c r="E107" i="8"/>
  <c r="F107" i="8"/>
  <c r="G107" i="8" s="1"/>
  <c r="H107" i="8" s="1"/>
  <c r="B109" i="8"/>
  <c r="D108" i="8"/>
  <c r="F35" i="6"/>
  <c r="G35" i="6" s="1"/>
  <c r="H35" i="6" s="1"/>
  <c r="E36" i="6"/>
  <c r="B37" i="6"/>
  <c r="D36" i="6"/>
  <c r="F36" i="6" s="1"/>
  <c r="G36" i="6" s="1"/>
  <c r="H36" i="6" s="1"/>
  <c r="H119" i="4"/>
  <c r="E120" i="4"/>
  <c r="F120" i="4" s="1"/>
  <c r="G120" i="4" s="1"/>
  <c r="H17" i="4"/>
  <c r="E18" i="4"/>
  <c r="F18" i="4" s="1"/>
  <c r="G18" i="4" s="1"/>
  <c r="E108" i="8" l="1"/>
  <c r="F108" i="8" s="1"/>
  <c r="G108" i="8" s="1"/>
  <c r="B110" i="8"/>
  <c r="D109" i="8"/>
  <c r="D37" i="6"/>
  <c r="E37" i="6"/>
  <c r="B38" i="6"/>
  <c r="E121" i="4"/>
  <c r="F121" i="4" s="1"/>
  <c r="G121" i="4" s="1"/>
  <c r="H121" i="4" s="1"/>
  <c r="H120" i="4"/>
  <c r="E19" i="4"/>
  <c r="F19" i="4" s="1"/>
  <c r="G19" i="4" s="1"/>
  <c r="H18" i="4"/>
  <c r="H108" i="8" l="1"/>
  <c r="E109" i="8"/>
  <c r="F109" i="8" s="1"/>
  <c r="G109" i="8" s="1"/>
  <c r="B111" i="8"/>
  <c r="D110" i="8"/>
  <c r="F37" i="6"/>
  <c r="G37" i="6" s="1"/>
  <c r="H37" i="6" s="1"/>
  <c r="B39" i="6"/>
  <c r="D38" i="6"/>
  <c r="F38" i="6" s="1"/>
  <c r="G38" i="6" s="1"/>
  <c r="H38" i="6" s="1"/>
  <c r="E38" i="6"/>
  <c r="E20" i="4"/>
  <c r="F20" i="4" s="1"/>
  <c r="G20" i="4" s="1"/>
  <c r="H19" i="4"/>
  <c r="H109" i="8" l="1"/>
  <c r="E110" i="8"/>
  <c r="F110" i="8" s="1"/>
  <c r="G110" i="8" s="1"/>
  <c r="H110" i="8" s="1"/>
  <c r="B112" i="8"/>
  <c r="D111" i="8"/>
  <c r="E111" i="8"/>
  <c r="D39" i="6"/>
  <c r="B40" i="6"/>
  <c r="E39" i="6"/>
  <c r="F39" i="6" s="1"/>
  <c r="G39" i="6" s="1"/>
  <c r="H39" i="6" s="1"/>
  <c r="E21" i="4"/>
  <c r="F21" i="4" s="1"/>
  <c r="G21" i="4" s="1"/>
  <c r="H20" i="4"/>
  <c r="F111" i="8" l="1"/>
  <c r="G111" i="8" s="1"/>
  <c r="H111" i="8" s="1"/>
  <c r="B113" i="8"/>
  <c r="D112" i="8"/>
  <c r="B41" i="6"/>
  <c r="E40" i="6"/>
  <c r="D40" i="6"/>
  <c r="H21" i="4"/>
  <c r="E22" i="4"/>
  <c r="F22" i="4" s="1"/>
  <c r="G22" i="4" s="1"/>
  <c r="E112" i="8" l="1"/>
  <c r="F112" i="8" s="1"/>
  <c r="G112" i="8" s="1"/>
  <c r="B114" i="8"/>
  <c r="D113" i="8"/>
  <c r="F40" i="6"/>
  <c r="G40" i="6" s="1"/>
  <c r="H40" i="6" s="1"/>
  <c r="D41" i="6"/>
  <c r="E41" i="6"/>
  <c r="B42" i="6"/>
  <c r="H22" i="4"/>
  <c r="E23" i="4"/>
  <c r="F23" i="4" s="1"/>
  <c r="G23" i="4" s="1"/>
  <c r="H112" i="8" l="1"/>
  <c r="E113" i="8"/>
  <c r="F113" i="8" s="1"/>
  <c r="G113" i="8" s="1"/>
  <c r="H113" i="8" s="1"/>
  <c r="B115" i="8"/>
  <c r="E114" i="8"/>
  <c r="F114" i="8"/>
  <c r="G114" i="8" s="1"/>
  <c r="H114" i="8" s="1"/>
  <c r="D114" i="8"/>
  <c r="F41" i="6"/>
  <c r="G41" i="6" s="1"/>
  <c r="H41" i="6" s="1"/>
  <c r="E42" i="6"/>
  <c r="B43" i="6"/>
  <c r="D42" i="6"/>
  <c r="F42" i="6" s="1"/>
  <c r="G42" i="6" s="1"/>
  <c r="H42" i="6" s="1"/>
  <c r="H23" i="4"/>
  <c r="E24" i="4"/>
  <c r="F24" i="4" s="1"/>
  <c r="G24" i="4" s="1"/>
  <c r="E115" i="8" l="1"/>
  <c r="B116" i="8"/>
  <c r="D115" i="8"/>
  <c r="F115" i="8" s="1"/>
  <c r="G115" i="8" s="1"/>
  <c r="H115" i="8" s="1"/>
  <c r="D43" i="6"/>
  <c r="E43" i="6"/>
  <c r="F43" i="6" s="1"/>
  <c r="G43" i="6" s="1"/>
  <c r="H43" i="6" s="1"/>
  <c r="B44" i="6"/>
  <c r="E25" i="4"/>
  <c r="F25" i="4" s="1"/>
  <c r="G25" i="4" s="1"/>
  <c r="H24" i="4"/>
  <c r="B117" i="8" l="1"/>
  <c r="E116" i="8"/>
  <c r="D116" i="8"/>
  <c r="F116" i="8" s="1"/>
  <c r="G116" i="8" s="1"/>
  <c r="H116" i="8" s="1"/>
  <c r="E44" i="6"/>
  <c r="B45" i="6"/>
  <c r="D44" i="6"/>
  <c r="F44" i="6" s="1"/>
  <c r="G44" i="6" s="1"/>
  <c r="H44" i="6" s="1"/>
  <c r="H25" i="4"/>
  <c r="E26" i="4"/>
  <c r="F26" i="4" s="1"/>
  <c r="G26" i="4" s="1"/>
  <c r="E117" i="8" l="1"/>
  <c r="B118" i="8"/>
  <c r="D117" i="8"/>
  <c r="D45" i="6"/>
  <c r="E45" i="6"/>
  <c r="B46" i="6"/>
  <c r="F45" i="6"/>
  <c r="G45" i="6" s="1"/>
  <c r="H45" i="6" s="1"/>
  <c r="H26" i="4"/>
  <c r="E27" i="4"/>
  <c r="F27" i="4" s="1"/>
  <c r="G27" i="4" s="1"/>
  <c r="F117" i="8" l="1"/>
  <c r="G117" i="8" s="1"/>
  <c r="H117" i="8" s="1"/>
  <c r="B119" i="8"/>
  <c r="E118" i="8"/>
  <c r="D118" i="8"/>
  <c r="F118" i="8" s="1"/>
  <c r="G118" i="8" s="1"/>
  <c r="H118" i="8" s="1"/>
  <c r="D46" i="6"/>
  <c r="F46" i="6" s="1"/>
  <c r="G46" i="6" s="1"/>
  <c r="H46" i="6" s="1"/>
  <c r="B47" i="6"/>
  <c r="E46" i="6"/>
  <c r="H27" i="4"/>
  <c r="E28" i="4"/>
  <c r="F28" i="4" s="1"/>
  <c r="G28" i="4" s="1"/>
  <c r="B120" i="8" l="1"/>
  <c r="D119" i="8"/>
  <c r="E119" i="8"/>
  <c r="B48" i="6"/>
  <c r="E47" i="6"/>
  <c r="D47" i="6"/>
  <c r="F47" i="6"/>
  <c r="G47" i="6" s="1"/>
  <c r="H47" i="6" s="1"/>
  <c r="H28" i="4"/>
  <c r="E29" i="4"/>
  <c r="F29" i="4" s="1"/>
  <c r="G29" i="4" s="1"/>
  <c r="F119" i="8" l="1"/>
  <c r="G119" i="8" s="1"/>
  <c r="H119" i="8" s="1"/>
  <c r="B121" i="8"/>
  <c r="E120" i="8"/>
  <c r="D120" i="8"/>
  <c r="E48" i="6"/>
  <c r="B49" i="6"/>
  <c r="D48" i="6"/>
  <c r="F48" i="6" s="1"/>
  <c r="G48" i="6" s="1"/>
  <c r="H48" i="6" s="1"/>
  <c r="H29" i="4"/>
  <c r="E30" i="4"/>
  <c r="F30" i="4" s="1"/>
  <c r="G30" i="4" s="1"/>
  <c r="F120" i="8" l="1"/>
  <c r="G120" i="8" s="1"/>
  <c r="H120" i="8" s="1"/>
  <c r="E121" i="8"/>
  <c r="D121" i="8"/>
  <c r="K12" i="8"/>
  <c r="B50" i="6"/>
  <c r="E49" i="6"/>
  <c r="D49" i="6"/>
  <c r="F49" i="6" s="1"/>
  <c r="G49" i="6" s="1"/>
  <c r="H49" i="6" s="1"/>
  <c r="H30" i="4"/>
  <c r="E31" i="4"/>
  <c r="F31" i="4" s="1"/>
  <c r="G31" i="4" s="1"/>
  <c r="F121" i="8" l="1"/>
  <c r="G121" i="8" s="1"/>
  <c r="H121" i="8" s="1"/>
  <c r="K13" i="8"/>
  <c r="K15" i="8"/>
  <c r="K14" i="8"/>
  <c r="E50" i="6"/>
  <c r="D50" i="6"/>
  <c r="F50" i="6" s="1"/>
  <c r="G50" i="6" s="1"/>
  <c r="H50" i="6" s="1"/>
  <c r="B51" i="6"/>
  <c r="E32" i="4"/>
  <c r="F32" i="4" s="1"/>
  <c r="G32" i="4" s="1"/>
  <c r="H31" i="4"/>
  <c r="B52" i="6" l="1"/>
  <c r="E51" i="6"/>
  <c r="D51" i="6"/>
  <c r="H32" i="4"/>
  <c r="E33" i="4"/>
  <c r="F33" i="4" s="1"/>
  <c r="G33" i="4" s="1"/>
  <c r="F51" i="6" l="1"/>
  <c r="G51" i="6" s="1"/>
  <c r="H51" i="6" s="1"/>
  <c r="B53" i="6"/>
  <c r="E52" i="6"/>
  <c r="D52" i="6"/>
  <c r="F52" i="6" s="1"/>
  <c r="G52" i="6" s="1"/>
  <c r="H52" i="6" s="1"/>
  <c r="H33" i="4"/>
  <c r="E34" i="4"/>
  <c r="F34" i="4" s="1"/>
  <c r="G34" i="4" s="1"/>
  <c r="B54" i="6" l="1"/>
  <c r="E53" i="6"/>
  <c r="D53" i="6"/>
  <c r="F53" i="6" s="1"/>
  <c r="G53" i="6" s="1"/>
  <c r="H53" i="6" s="1"/>
  <c r="H34" i="4"/>
  <c r="E35" i="4"/>
  <c r="F35" i="4" s="1"/>
  <c r="G35" i="4" s="1"/>
  <c r="E54" i="6" l="1"/>
  <c r="D54" i="6"/>
  <c r="F54" i="6" s="1"/>
  <c r="G54" i="6" s="1"/>
  <c r="H54" i="6" s="1"/>
  <c r="B55" i="6"/>
  <c r="E36" i="4"/>
  <c r="F36" i="4" s="1"/>
  <c r="G36" i="4"/>
  <c r="H35" i="4"/>
  <c r="B56" i="6" l="1"/>
  <c r="E55" i="6"/>
  <c r="D55" i="6"/>
  <c r="F55" i="6" s="1"/>
  <c r="G55" i="6" s="1"/>
  <c r="H55" i="6" s="1"/>
  <c r="H36" i="4"/>
  <c r="E37" i="4"/>
  <c r="F37" i="4" s="1"/>
  <c r="G37" i="4" s="1"/>
  <c r="B57" i="6" l="1"/>
  <c r="E56" i="6"/>
  <c r="D56" i="6"/>
  <c r="F56" i="6" s="1"/>
  <c r="G56" i="6" s="1"/>
  <c r="H56" i="6" s="1"/>
  <c r="E38" i="4"/>
  <c r="F38" i="4" s="1"/>
  <c r="G38" i="4" s="1"/>
  <c r="H37" i="4"/>
  <c r="B58" i="6" l="1"/>
  <c r="E57" i="6"/>
  <c r="D57" i="6"/>
  <c r="F57" i="6" s="1"/>
  <c r="G57" i="6" s="1"/>
  <c r="H57" i="6" s="1"/>
  <c r="H38" i="4"/>
  <c r="E39" i="4"/>
  <c r="F39" i="4" s="1"/>
  <c r="G39" i="4" s="1"/>
  <c r="E58" i="6" l="1"/>
  <c r="D58" i="6"/>
  <c r="F58" i="6" s="1"/>
  <c r="G58" i="6" s="1"/>
  <c r="H58" i="6" s="1"/>
  <c r="B59" i="6"/>
  <c r="E40" i="4"/>
  <c r="F40" i="4" s="1"/>
  <c r="G40" i="4" s="1"/>
  <c r="H39" i="4"/>
  <c r="B60" i="6" l="1"/>
  <c r="E59" i="6"/>
  <c r="D59" i="6"/>
  <c r="F59" i="6" s="1"/>
  <c r="G59" i="6" s="1"/>
  <c r="H59" i="6" s="1"/>
  <c r="H40" i="4"/>
  <c r="E41" i="4"/>
  <c r="F41" i="4" s="1"/>
  <c r="G41" i="4" s="1"/>
  <c r="B61" i="6" l="1"/>
  <c r="E60" i="6"/>
  <c r="D60" i="6"/>
  <c r="F60" i="6" s="1"/>
  <c r="G60" i="6" s="1"/>
  <c r="H60" i="6" s="1"/>
  <c r="E42" i="4"/>
  <c r="F42" i="4" s="1"/>
  <c r="G42" i="4" s="1"/>
  <c r="H41" i="4"/>
  <c r="B62" i="6" l="1"/>
  <c r="E61" i="6"/>
  <c r="D61" i="6"/>
  <c r="F61" i="6" s="1"/>
  <c r="G61" i="6" s="1"/>
  <c r="H61" i="6" s="1"/>
  <c r="E43" i="4"/>
  <c r="F43" i="4" s="1"/>
  <c r="G43" i="4"/>
  <c r="H42" i="4"/>
  <c r="E62" i="6" l="1"/>
  <c r="D62" i="6"/>
  <c r="B63" i="6"/>
  <c r="H43" i="4"/>
  <c r="E44" i="4"/>
  <c r="F44" i="4" s="1"/>
  <c r="G44" i="4" s="1"/>
  <c r="F62" i="6" l="1"/>
  <c r="G62" i="6" s="1"/>
  <c r="H62" i="6" s="1"/>
  <c r="B64" i="6"/>
  <c r="D63" i="6"/>
  <c r="E45" i="4"/>
  <c r="F45" i="4" s="1"/>
  <c r="G45" i="4" s="1"/>
  <c r="H44" i="4"/>
  <c r="E63" i="6" l="1"/>
  <c r="F63" i="6" s="1"/>
  <c r="G63" i="6" s="1"/>
  <c r="B65" i="6"/>
  <c r="D64" i="6"/>
  <c r="H45" i="4"/>
  <c r="E46" i="4"/>
  <c r="F46" i="4" s="1"/>
  <c r="G46" i="4" s="1"/>
  <c r="H63" i="6" l="1"/>
  <c r="E64" i="6"/>
  <c r="F64" i="6"/>
  <c r="G64" i="6" s="1"/>
  <c r="H64" i="6" s="1"/>
  <c r="B66" i="6"/>
  <c r="D65" i="6"/>
  <c r="H46" i="4"/>
  <c r="E47" i="4"/>
  <c r="F47" i="4" s="1"/>
  <c r="G47" i="4" s="1"/>
  <c r="E65" i="6" l="1"/>
  <c r="F65" i="6" s="1"/>
  <c r="G65" i="6" s="1"/>
  <c r="H65" i="6" s="1"/>
  <c r="B67" i="6"/>
  <c r="E66" i="6"/>
  <c r="D66" i="6"/>
  <c r="F66" i="6" s="1"/>
  <c r="G66" i="6" s="1"/>
  <c r="H66" i="6" s="1"/>
  <c r="H47" i="4"/>
  <c r="E48" i="4"/>
  <c r="F48" i="4" s="1"/>
  <c r="G48" i="4" s="1"/>
  <c r="B68" i="6" l="1"/>
  <c r="D67" i="6"/>
  <c r="E67" i="6"/>
  <c r="F67" i="6" s="1"/>
  <c r="G67" i="6" s="1"/>
  <c r="H67" i="6" s="1"/>
  <c r="E49" i="4"/>
  <c r="F49" i="4" s="1"/>
  <c r="G49" i="4" s="1"/>
  <c r="H48" i="4"/>
  <c r="B69" i="6" l="1"/>
  <c r="E68" i="6"/>
  <c r="D68" i="6"/>
  <c r="H49" i="4"/>
  <c r="E50" i="4"/>
  <c r="F50" i="4" s="1"/>
  <c r="G50" i="4" s="1"/>
  <c r="F68" i="6" l="1"/>
  <c r="G68" i="6" s="1"/>
  <c r="H68" i="6" s="1"/>
  <c r="B70" i="6"/>
  <c r="D69" i="6"/>
  <c r="E51" i="4"/>
  <c r="F51" i="4" s="1"/>
  <c r="G51" i="4" s="1"/>
  <c r="H50" i="4"/>
  <c r="E69" i="6" l="1"/>
  <c r="F69" i="6" s="1"/>
  <c r="G69" i="6" s="1"/>
  <c r="B71" i="6"/>
  <c r="D70" i="6"/>
  <c r="H51" i="4"/>
  <c r="E52" i="4"/>
  <c r="F52" i="4" s="1"/>
  <c r="G52" i="4" s="1"/>
  <c r="H69" i="6" l="1"/>
  <c r="E70" i="6"/>
  <c r="F70" i="6" s="1"/>
  <c r="G70" i="6" s="1"/>
  <c r="H70" i="6" s="1"/>
  <c r="E71" i="6"/>
  <c r="B72" i="6"/>
  <c r="D71" i="6"/>
  <c r="E53" i="4"/>
  <c r="F53" i="4" s="1"/>
  <c r="G53" i="4" s="1"/>
  <c r="H52" i="4"/>
  <c r="F71" i="6" l="1"/>
  <c r="G71" i="6" s="1"/>
  <c r="H71" i="6" s="1"/>
  <c r="B73" i="6"/>
  <c r="E72" i="6"/>
  <c r="D72" i="6"/>
  <c r="F72" i="6" s="1"/>
  <c r="G72" i="6" s="1"/>
  <c r="H72" i="6" s="1"/>
  <c r="E54" i="4"/>
  <c r="F54" i="4" s="1"/>
  <c r="G54" i="4" s="1"/>
  <c r="H53" i="4"/>
  <c r="E73" i="6" l="1"/>
  <c r="B74" i="6"/>
  <c r="D73" i="6"/>
  <c r="F73" i="6" s="1"/>
  <c r="G73" i="6" s="1"/>
  <c r="H73" i="6" s="1"/>
  <c r="E55" i="4"/>
  <c r="F55" i="4" s="1"/>
  <c r="G55" i="4" s="1"/>
  <c r="H54" i="4"/>
  <c r="B75" i="6" l="1"/>
  <c r="E74" i="6"/>
  <c r="D74" i="6"/>
  <c r="F74" i="6" s="1"/>
  <c r="G74" i="6" s="1"/>
  <c r="H74" i="6" s="1"/>
  <c r="H55" i="4"/>
  <c r="E56" i="4"/>
  <c r="F56" i="4" s="1"/>
  <c r="G56" i="4" s="1"/>
  <c r="B76" i="6" l="1"/>
  <c r="D75" i="6"/>
  <c r="E75" i="6"/>
  <c r="F75" i="6" s="1"/>
  <c r="G75" i="6" s="1"/>
  <c r="H75" i="6" s="1"/>
  <c r="H56" i="4"/>
  <c r="E57" i="4"/>
  <c r="F57" i="4" s="1"/>
  <c r="G57" i="4" s="1"/>
  <c r="B77" i="6" l="1"/>
  <c r="E76" i="6"/>
  <c r="D76" i="6"/>
  <c r="F76" i="6" s="1"/>
  <c r="G76" i="6" s="1"/>
  <c r="H76" i="6" s="1"/>
  <c r="H57" i="4"/>
  <c r="E58" i="4"/>
  <c r="F58" i="4" s="1"/>
  <c r="G58" i="4" s="1"/>
  <c r="E77" i="6" l="1"/>
  <c r="D77" i="6"/>
  <c r="F77" i="6" s="1"/>
  <c r="G77" i="6" s="1"/>
  <c r="H77" i="6" s="1"/>
  <c r="B78" i="6"/>
  <c r="H58" i="4"/>
  <c r="E59" i="4"/>
  <c r="F59" i="4" s="1"/>
  <c r="G59" i="4" s="1"/>
  <c r="B79" i="6" l="1"/>
  <c r="E78" i="6"/>
  <c r="D78" i="6"/>
  <c r="F78" i="6" s="1"/>
  <c r="G78" i="6" s="1"/>
  <c r="H78" i="6" s="1"/>
  <c r="H59" i="4"/>
  <c r="E60" i="4"/>
  <c r="F60" i="4" s="1"/>
  <c r="G60" i="4" s="1"/>
  <c r="E79" i="6" l="1"/>
  <c r="D79" i="6"/>
  <c r="F79" i="6" s="1"/>
  <c r="G79" i="6" s="1"/>
  <c r="H79" i="6" s="1"/>
  <c r="B80" i="6"/>
  <c r="H60" i="4"/>
  <c r="E61" i="4"/>
  <c r="F61" i="4" s="1"/>
  <c r="G61" i="4" s="1"/>
  <c r="B81" i="6" l="1"/>
  <c r="E80" i="6"/>
  <c r="D80" i="6"/>
  <c r="F80" i="6" s="1"/>
  <c r="G80" i="6" s="1"/>
  <c r="H80" i="6" s="1"/>
  <c r="H61" i="4"/>
  <c r="E62" i="4"/>
  <c r="F62" i="4" s="1"/>
  <c r="G62" i="4" s="1"/>
  <c r="E81" i="6" l="1"/>
  <c r="B82" i="6"/>
  <c r="D81" i="6"/>
  <c r="F81" i="6" s="1"/>
  <c r="G81" i="6" s="1"/>
  <c r="H81" i="6" s="1"/>
  <c r="H62" i="4"/>
  <c r="E63" i="4"/>
  <c r="F63" i="4" s="1"/>
  <c r="G63" i="4" s="1"/>
  <c r="B83" i="6" l="1"/>
  <c r="E82" i="6"/>
  <c r="D82" i="6"/>
  <c r="F82" i="6" s="1"/>
  <c r="G82" i="6" s="1"/>
  <c r="H82" i="6" s="1"/>
  <c r="H63" i="4"/>
  <c r="E64" i="4"/>
  <c r="F64" i="4" s="1"/>
  <c r="G64" i="4" s="1"/>
  <c r="B84" i="6" l="1"/>
  <c r="D83" i="6"/>
  <c r="E83" i="6"/>
  <c r="F83" i="6" s="1"/>
  <c r="G83" i="6" s="1"/>
  <c r="H83" i="6" s="1"/>
  <c r="E65" i="4"/>
  <c r="F65" i="4" s="1"/>
  <c r="G65" i="4" s="1"/>
  <c r="H64" i="4"/>
  <c r="B85" i="6" l="1"/>
  <c r="E84" i="6"/>
  <c r="D84" i="6"/>
  <c r="F84" i="6" s="1"/>
  <c r="G84" i="6" s="1"/>
  <c r="H84" i="6" s="1"/>
  <c r="E66" i="4"/>
  <c r="F66" i="4" s="1"/>
  <c r="G66" i="4" s="1"/>
  <c r="H65" i="4"/>
  <c r="B86" i="6" l="1"/>
  <c r="E85" i="6"/>
  <c r="D85" i="6"/>
  <c r="F85" i="6" s="1"/>
  <c r="G85" i="6" s="1"/>
  <c r="H85" i="6" s="1"/>
  <c r="H66" i="4"/>
  <c r="E67" i="4"/>
  <c r="F67" i="4" s="1"/>
  <c r="G67" i="4" s="1"/>
  <c r="B87" i="6" l="1"/>
  <c r="E86" i="6"/>
  <c r="F86" i="6"/>
  <c r="G86" i="6" s="1"/>
  <c r="H86" i="6" s="1"/>
  <c r="D86" i="6"/>
  <c r="H67" i="4"/>
  <c r="E68" i="4"/>
  <c r="F68" i="4" s="1"/>
  <c r="G68" i="4" s="1"/>
  <c r="E87" i="6" l="1"/>
  <c r="B88" i="6"/>
  <c r="D87" i="6"/>
  <c r="F87" i="6" s="1"/>
  <c r="G87" i="6" s="1"/>
  <c r="H87" i="6" s="1"/>
  <c r="H68" i="4"/>
  <c r="E69" i="4"/>
  <c r="F69" i="4" s="1"/>
  <c r="G69" i="4" s="1"/>
  <c r="B89" i="6" l="1"/>
  <c r="E88" i="6"/>
  <c r="D88" i="6"/>
  <c r="F88" i="6" s="1"/>
  <c r="G88" i="6" s="1"/>
  <c r="H88" i="6" s="1"/>
  <c r="H69" i="4"/>
  <c r="E70" i="4"/>
  <c r="F70" i="4" s="1"/>
  <c r="G70" i="4" s="1"/>
  <c r="E89" i="6" l="1"/>
  <c r="B90" i="6"/>
  <c r="D89" i="6"/>
  <c r="F89" i="6" s="1"/>
  <c r="G89" i="6" s="1"/>
  <c r="H89" i="6" s="1"/>
  <c r="E71" i="4"/>
  <c r="F71" i="4" s="1"/>
  <c r="G71" i="4" s="1"/>
  <c r="H70" i="4"/>
  <c r="B91" i="6" l="1"/>
  <c r="E90" i="6"/>
  <c r="D90" i="6"/>
  <c r="F90" i="6" s="1"/>
  <c r="G90" i="6" s="1"/>
  <c r="H90" i="6" s="1"/>
  <c r="H71" i="4"/>
  <c r="E72" i="4"/>
  <c r="F72" i="4" s="1"/>
  <c r="G72" i="4"/>
  <c r="B92" i="6" l="1"/>
  <c r="D91" i="6"/>
  <c r="E91" i="6"/>
  <c r="H72" i="4"/>
  <c r="E73" i="4"/>
  <c r="F73" i="4" s="1"/>
  <c r="G73" i="4" s="1"/>
  <c r="F91" i="6" l="1"/>
  <c r="G91" i="6" s="1"/>
  <c r="H91" i="6" s="1"/>
  <c r="B93" i="6"/>
  <c r="E92" i="6"/>
  <c r="D92" i="6"/>
  <c r="F92" i="6" s="1"/>
  <c r="G92" i="6" s="1"/>
  <c r="H92" i="6" s="1"/>
  <c r="H73" i="4"/>
  <c r="E74" i="4"/>
  <c r="F74" i="4" s="1"/>
  <c r="G74" i="4" s="1"/>
  <c r="E93" i="6" l="1"/>
  <c r="D93" i="6"/>
  <c r="B94" i="6"/>
  <c r="H74" i="4"/>
  <c r="E75" i="4"/>
  <c r="F75" i="4" s="1"/>
  <c r="G75" i="4" s="1"/>
  <c r="F93" i="6" l="1"/>
  <c r="G93" i="6" s="1"/>
  <c r="H93" i="6" s="1"/>
  <c r="B95" i="6"/>
  <c r="E94" i="6"/>
  <c r="D94" i="6"/>
  <c r="F94" i="6" s="1"/>
  <c r="G94" i="6" s="1"/>
  <c r="H94" i="6" s="1"/>
  <c r="H75" i="4"/>
  <c r="E76" i="4"/>
  <c r="F76" i="4" s="1"/>
  <c r="G76" i="4" s="1"/>
  <c r="E95" i="6" l="1"/>
  <c r="D95" i="6"/>
  <c r="F95" i="6" s="1"/>
  <c r="G95" i="6" s="1"/>
  <c r="H95" i="6" s="1"/>
  <c r="B96" i="6"/>
  <c r="H76" i="4"/>
  <c r="E77" i="4"/>
  <c r="F77" i="4" s="1"/>
  <c r="G77" i="4" s="1"/>
  <c r="B97" i="6" l="1"/>
  <c r="E96" i="6"/>
  <c r="D96" i="6"/>
  <c r="F96" i="6" s="1"/>
  <c r="G96" i="6" s="1"/>
  <c r="H96" i="6" s="1"/>
  <c r="H77" i="4"/>
  <c r="E78" i="4"/>
  <c r="F78" i="4" s="1"/>
  <c r="G78" i="4" s="1"/>
  <c r="E97" i="6" l="1"/>
  <c r="B98" i="6"/>
  <c r="D97" i="6"/>
  <c r="F97" i="6" s="1"/>
  <c r="G97" i="6" s="1"/>
  <c r="H97" i="6" s="1"/>
  <c r="H78" i="4"/>
  <c r="E79" i="4"/>
  <c r="F79" i="4" s="1"/>
  <c r="G79" i="4" s="1"/>
  <c r="B99" i="6" l="1"/>
  <c r="E98" i="6"/>
  <c r="D98" i="6"/>
  <c r="H79" i="4"/>
  <c r="E80" i="4"/>
  <c r="F80" i="4" s="1"/>
  <c r="G80" i="4" s="1"/>
  <c r="F98" i="6" l="1"/>
  <c r="G98" i="6" s="1"/>
  <c r="H98" i="6" s="1"/>
  <c r="B100" i="6"/>
  <c r="D99" i="6"/>
  <c r="F99" i="6"/>
  <c r="G99" i="6" s="1"/>
  <c r="H99" i="6" s="1"/>
  <c r="E99" i="6"/>
  <c r="H80" i="4"/>
  <c r="E81" i="4"/>
  <c r="F81" i="4" s="1"/>
  <c r="G81" i="4" s="1"/>
  <c r="B101" i="6" l="1"/>
  <c r="E100" i="6"/>
  <c r="D100" i="6"/>
  <c r="F100" i="6" s="1"/>
  <c r="G100" i="6" s="1"/>
  <c r="H100" i="6" s="1"/>
  <c r="H81" i="4"/>
  <c r="E82" i="4"/>
  <c r="F82" i="4" s="1"/>
  <c r="G82" i="4" s="1"/>
  <c r="B102" i="6" l="1"/>
  <c r="E101" i="6"/>
  <c r="D101" i="6"/>
  <c r="F101" i="6" s="1"/>
  <c r="G101" i="6" s="1"/>
  <c r="H101" i="6" s="1"/>
  <c r="E83" i="4"/>
  <c r="F83" i="4" s="1"/>
  <c r="G83" i="4" s="1"/>
  <c r="H82" i="4"/>
  <c r="B103" i="6" l="1"/>
  <c r="E102" i="6"/>
  <c r="D102" i="6"/>
  <c r="F102" i="6" s="1"/>
  <c r="G102" i="6" s="1"/>
  <c r="H102" i="6" s="1"/>
  <c r="E84" i="4"/>
  <c r="F84" i="4" s="1"/>
  <c r="G84" i="4" s="1"/>
  <c r="H83" i="4"/>
  <c r="D103" i="6" l="1"/>
  <c r="B104" i="6"/>
  <c r="E103" i="6"/>
  <c r="E85" i="4"/>
  <c r="F85" i="4" s="1"/>
  <c r="G85" i="4" s="1"/>
  <c r="H84" i="4"/>
  <c r="F103" i="6" l="1"/>
  <c r="G103" i="6" s="1"/>
  <c r="H103" i="6" s="1"/>
  <c r="B105" i="6"/>
  <c r="E104" i="6"/>
  <c r="D104" i="6"/>
  <c r="F104" i="6" s="1"/>
  <c r="G104" i="6" s="1"/>
  <c r="H104" i="6" s="1"/>
  <c r="H85" i="4"/>
  <c r="E86" i="4"/>
  <c r="F86" i="4" s="1"/>
  <c r="G86" i="4" s="1"/>
  <c r="D105" i="6" l="1"/>
  <c r="E105" i="6"/>
  <c r="F105" i="6" s="1"/>
  <c r="G105" i="6" s="1"/>
  <c r="H105" i="6" s="1"/>
  <c r="B106" i="6"/>
  <c r="H86" i="4"/>
  <c r="E87" i="4"/>
  <c r="F87" i="4" s="1"/>
  <c r="G87" i="4" s="1"/>
  <c r="B107" i="6" l="1"/>
  <c r="E106" i="6"/>
  <c r="D106" i="6"/>
  <c r="F106" i="6" s="1"/>
  <c r="G106" i="6" s="1"/>
  <c r="H106" i="6" s="1"/>
  <c r="H87" i="4"/>
  <c r="E88" i="4"/>
  <c r="F88" i="4" s="1"/>
  <c r="G88" i="4" s="1"/>
  <c r="D107" i="6" l="1"/>
  <c r="B108" i="6"/>
  <c r="E107" i="6"/>
  <c r="F107" i="6" s="1"/>
  <c r="G107" i="6" s="1"/>
  <c r="H107" i="6" s="1"/>
  <c r="H88" i="4"/>
  <c r="E89" i="4"/>
  <c r="F89" i="4" s="1"/>
  <c r="G89" i="4" s="1"/>
  <c r="B109" i="6" l="1"/>
  <c r="E108" i="6"/>
  <c r="D108" i="6"/>
  <c r="F108" i="6" s="1"/>
  <c r="G108" i="6" s="1"/>
  <c r="H108" i="6" s="1"/>
  <c r="E90" i="4"/>
  <c r="F90" i="4" s="1"/>
  <c r="G90" i="4" s="1"/>
  <c r="H89" i="4"/>
  <c r="D109" i="6" l="1"/>
  <c r="E109" i="6"/>
  <c r="F109" i="6" s="1"/>
  <c r="G109" i="6" s="1"/>
  <c r="H109" i="6" s="1"/>
  <c r="B110" i="6"/>
  <c r="H90" i="4"/>
  <c r="E91" i="4"/>
  <c r="F91" i="4" s="1"/>
  <c r="G91" i="4"/>
  <c r="B111" i="6" l="1"/>
  <c r="E110" i="6"/>
  <c r="D110" i="6"/>
  <c r="F110" i="6" s="1"/>
  <c r="G110" i="6" s="1"/>
  <c r="H110" i="6" s="1"/>
  <c r="H91" i="4"/>
  <c r="E92" i="4"/>
  <c r="F92" i="4" s="1"/>
  <c r="G92" i="4" s="1"/>
  <c r="K14" i="4" s="1"/>
  <c r="D111" i="6" l="1"/>
  <c r="B112" i="6"/>
  <c r="E111" i="6"/>
  <c r="H92" i="4"/>
  <c r="K15" i="4" s="1"/>
  <c r="F111" i="6" l="1"/>
  <c r="G111" i="6" s="1"/>
  <c r="H111" i="6" s="1"/>
  <c r="B113" i="6"/>
  <c r="D112" i="6"/>
  <c r="E112" i="6" l="1"/>
  <c r="F112" i="6" s="1"/>
  <c r="G112" i="6" s="1"/>
  <c r="D113" i="6"/>
  <c r="B114" i="6"/>
  <c r="H112" i="6" l="1"/>
  <c r="E113" i="6"/>
  <c r="F113" i="6" s="1"/>
  <c r="G113" i="6" s="1"/>
  <c r="B115" i="6"/>
  <c r="D114" i="6"/>
  <c r="H113" i="6" l="1"/>
  <c r="E114" i="6"/>
  <c r="F114" i="6"/>
  <c r="G114" i="6" s="1"/>
  <c r="H114" i="6" s="1"/>
  <c r="D115" i="6"/>
  <c r="B116" i="6"/>
  <c r="E115" i="6" l="1"/>
  <c r="F115" i="6" s="1"/>
  <c r="G115" i="6" s="1"/>
  <c r="B117" i="6"/>
  <c r="D116" i="6"/>
  <c r="H115" i="6" l="1"/>
  <c r="E116" i="6"/>
  <c r="F116" i="6"/>
  <c r="G116" i="6" s="1"/>
  <c r="H116" i="6" s="1"/>
  <c r="D117" i="6"/>
  <c r="B118" i="6"/>
  <c r="E117" i="6" l="1"/>
  <c r="F117" i="6" s="1"/>
  <c r="G117" i="6" s="1"/>
  <c r="B119" i="6"/>
  <c r="D118" i="6"/>
  <c r="H117" i="6" l="1"/>
  <c r="E118" i="6"/>
  <c r="F118" i="6"/>
  <c r="G118" i="6" s="1"/>
  <c r="H118" i="6" s="1"/>
  <c r="D119" i="6"/>
  <c r="B120" i="6"/>
  <c r="E119" i="6" l="1"/>
  <c r="F119" i="6"/>
  <c r="G119" i="6" s="1"/>
  <c r="H119" i="6" s="1"/>
  <c r="B121" i="6"/>
  <c r="E120" i="6"/>
  <c r="D120" i="6"/>
  <c r="F120" i="6" l="1"/>
  <c r="G120" i="6" s="1"/>
  <c r="H120" i="6" s="1"/>
  <c r="D121" i="6"/>
  <c r="E121" i="6"/>
  <c r="F121" i="6" s="1"/>
  <c r="G121" i="6" s="1"/>
  <c r="H121" i="6" s="1"/>
  <c r="K12" i="6"/>
  <c r="K13" i="6" l="1"/>
  <c r="K15" i="6"/>
  <c r="K14" i="6"/>
</calcChain>
</file>

<file path=xl/sharedStrings.xml><?xml version="1.0" encoding="utf-8"?>
<sst xmlns="http://schemas.openxmlformats.org/spreadsheetml/2006/main" count="100" uniqueCount="29">
  <si>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</si>
  <si>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</si>
  <si>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</si>
  <si>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</si>
  <si>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</si>
  <si>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</si>
  <si>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</si>
  <si>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</si>
  <si>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</si>
  <si>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</si>
  <si>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</si>
  <si>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</si>
  <si>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</si>
  <si>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</si>
  <si>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</si>
  <si>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</si>
  <si>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</si>
  <si>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</si>
  <si>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</si>
  <si>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</si>
  <si>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</si>
  <si>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Kamala</t>
  </si>
  <si>
    <t>Out(Int + Principal)</t>
  </si>
  <si>
    <t>Principal Outstanding</t>
  </si>
  <si>
    <t>Week</t>
  </si>
  <si>
    <t>Weekly Rate</t>
  </si>
  <si>
    <t>Weeks</t>
  </si>
  <si>
    <t>LatestWeek</t>
  </si>
  <si>
    <t>kamala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</si>
</sst>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zoomScaleNormal="100" workbookViewId="0">
      <pane ySplit="1" topLeftCell="A110" activePane="bottomLeft" state="frozen"/>
      <selection pane="bottomLeft" activeCell="A121" sqref="A12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46092</v>
      </c>
      <c r="B2" s="23">
        <f>IF(A2&lt;&gt;"",1,"")</f>
        <v>1</v>
      </c>
      <c r="C2" s="3"/>
      <c r="D2" s="4">
        <f t="shared" ref="D2:D33" si="0">IF(AND($A2&lt;&gt;"",$B2&lt;&gt;""),$K$9,"")</f>
        <v>400</v>
      </c>
      <c r="E2" s="4">
        <f>IF(AND($A2&lt;&gt;"",$B2&lt;&gt;""),$K$7*$K$8,"")</f>
        <v>124.56727784004856</v>
      </c>
      <c r="F2" s="4">
        <f>IF(AND($A2&lt;&gt;"",$B2&lt;&gt;""),D2-E2,"")</f>
        <v>275.43272215995142</v>
      </c>
      <c r="G2" s="4">
        <f>IF(AND($A2&lt;&gt;"",$B2&lt;&gt;""),$K$7-F2,"")</f>
        <v>39724.567277840048</v>
      </c>
      <c r="H2" s="4">
        <f>IF(AND($A2&lt;&gt;"",$B2&lt;&gt;""),$K$7-G2,"")</f>
        <v>275.43272215995239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L40000D120-Kamala-NLoan1</v>
      </c>
    </row>
    <row r="3" spans="1:12" x14ac:dyDescent="0.3">
      <c r="A3" s="19">
        <v>46092</v>
      </c>
      <c r="B3" s="24">
        <f>IF(A3&lt;&gt;"",B2+1,"")</f>
        <v>2</v>
      </c>
      <c r="C3" s="20"/>
      <c r="D3" s="21">
        <f t="shared" si="0"/>
        <v>400</v>
      </c>
      <c r="E3" s="21">
        <f t="shared" ref="E3:E34" si="1">IF(AND($A3&lt;&gt;"",$B3&lt;&gt;""),G2*$K$8,"")</f>
        <v>123.70953022936007</v>
      </c>
      <c r="F3" s="21">
        <f>IF(AND($A3&lt;&gt;"",$B3&lt;&gt;""),D3-E3,"")</f>
        <v>276.2904697706399</v>
      </c>
      <c r="G3" s="21">
        <f>IF(AND($A3&lt;&gt;"",$B3&lt;&gt;""),G2-F3,"")</f>
        <v>39448.276808069408</v>
      </c>
      <c r="H3" s="21">
        <f t="shared" ref="H3:H34" si="2">IF(AND($A3&lt;&gt;"",$B3&lt;&gt;""),$K$7-G3,"")</f>
        <v>551.72319193059229</v>
      </c>
      <c r="J3" s="5" t="s">
        <v>10</v>
      </c>
      <c r="K3" s="27" t="s">
        <v>21</v>
      </c>
    </row>
    <row r="4" spans="1:12" x14ac:dyDescent="0.3">
      <c r="A4" s="2">
        <v>46092</v>
      </c>
      <c r="B4" s="23">
        <f t="shared" ref="B4:B67" si="3">IF(A4&lt;&gt;"",B3+1,"")</f>
        <v>3</v>
      </c>
      <c r="C4" s="3"/>
      <c r="D4" s="4">
        <f t="shared" si="0"/>
        <v>400</v>
      </c>
      <c r="E4" s="4">
        <f t="shared" si="1"/>
        <v>122.84911143654816</v>
      </c>
      <c r="F4" s="4">
        <f>IF(AND($A4&lt;&gt;"",$B4&lt;&gt;""),D4-E4,"")</f>
        <v>277.15088856345187</v>
      </c>
      <c r="G4" s="4">
        <f>IF(AND($A4&lt;&gt;"",$B4&lt;&gt;""),G3-F4,"")</f>
        <v>39171.125919505954</v>
      </c>
      <c r="H4" s="4">
        <f t="shared" si="2"/>
        <v>828.87408049404621</v>
      </c>
      <c r="J4" s="5" t="s">
        <v>11</v>
      </c>
      <c r="K4" s="27"/>
    </row>
    <row r="5" spans="1:12" x14ac:dyDescent="0.3">
      <c r="A5" s="19">
        <v>46092</v>
      </c>
      <c r="B5" s="24">
        <f t="shared" si="3"/>
        <v>4</v>
      </c>
      <c r="C5" s="20"/>
      <c r="D5" s="21">
        <f t="shared" si="0"/>
        <v>400</v>
      </c>
      <c r="E5" s="21">
        <f t="shared" si="1"/>
        <v>121.98601314306565</v>
      </c>
      <c r="F5" s="21">
        <f>IF(AND($A5&lt;&gt;"",$B5&lt;&gt;""),D5-E5,"")</f>
        <v>278.01398685693437</v>
      </c>
      <c r="G5" s="21">
        <f>IF(AND($A5&lt;&gt;"",$B5&lt;&gt;""),G4-F5,"")</f>
        <v>38893.111932649022</v>
      </c>
      <c r="H5" s="21">
        <f t="shared" si="2"/>
        <v>1106.8880673509775</v>
      </c>
      <c r="J5" s="5" t="s">
        <v>12</v>
      </c>
      <c r="K5" s="27"/>
    </row>
    <row r="6" spans="1:12" x14ac:dyDescent="0.3">
      <c r="A6" s="2">
        <v>46092</v>
      </c>
      <c r="B6" s="23">
        <f t="shared" si="3"/>
        <v>5</v>
      </c>
      <c r="C6" s="3"/>
      <c r="D6" s="4">
        <f t="shared" si="0"/>
        <v>400</v>
      </c>
      <c r="E6" s="4">
        <f t="shared" si="1"/>
        <v>121.12022700445998</v>
      </c>
      <c r="F6" s="4">
        <f>IF(AND($A6&lt;&gt;"",$B6&lt;&gt;""),D6-E6,"")</f>
        <v>278.87977299554001</v>
      </c>
      <c r="G6" s="4">
        <f t="shared" ref="G6:G69" si="4">IF(AND($A6&lt;&gt;"",$B6&lt;&gt;""),G5-F6,"")</f>
        <v>38614.232159653482</v>
      </c>
      <c r="H6" s="4">
        <f t="shared" si="2"/>
        <v>1385.7678403465179</v>
      </c>
      <c r="J6" s="5" t="s">
        <v>13</v>
      </c>
      <c r="K6" s="27"/>
    </row>
    <row r="7" spans="1:12" x14ac:dyDescent="0.3">
      <c r="A7" s="19">
        <v>46097</v>
      </c>
      <c r="B7" s="24">
        <f t="shared" si="3"/>
        <v>6</v>
      </c>
      <c r="C7" s="20"/>
      <c r="D7" s="21">
        <f t="shared" si="0"/>
        <v>400</v>
      </c>
      <c r="E7" s="21">
        <f t="shared" si="1"/>
        <v>120.25174465029235</v>
      </c>
      <c r="F7" s="21">
        <f t="shared" ref="F7:F70" si="5">IF(AND($A7&lt;&gt;"",$B7&lt;&gt;""),D7-E7,"")</f>
        <v>279.74825534970762</v>
      </c>
      <c r="G7" s="21">
        <f t="shared" si="4"/>
        <v>38334.483904303772</v>
      </c>
      <c r="H7" s="21">
        <f t="shared" si="2"/>
        <v>1665.5160956962281</v>
      </c>
      <c r="J7" s="5" t="s">
        <v>7</v>
      </c>
      <c r="K7" s="28">
        <v>40000</v>
      </c>
    </row>
    <row r="8" spans="1:12" x14ac:dyDescent="0.3">
      <c r="A8" s="2">
        <v>46097</v>
      </c>
      <c r="B8" s="23">
        <f t="shared" si="3"/>
        <v>7</v>
      </c>
      <c r="C8" s="3"/>
      <c r="D8" s="4">
        <f t="shared" si="0"/>
        <v>400</v>
      </c>
      <c r="E8" s="4">
        <f t="shared" si="1"/>
        <v>119.38055768405694</v>
      </c>
      <c r="F8" s="4">
        <f t="shared" si="5"/>
        <v>280.61944231594305</v>
      </c>
      <c r="G8" s="4">
        <f t="shared" si="4"/>
        <v>38053.864461987832</v>
      </c>
      <c r="H8" s="4">
        <f t="shared" si="2"/>
        <v>1946.1355380121677</v>
      </c>
      <c r="J8" s="5" t="s">
        <v>14</v>
      </c>
      <c r="K8" s="29">
        <f>RATE(K10,-K9,K7)</f>
        <v>3.1141819460012141E-3</v>
      </c>
    </row>
    <row r="9" spans="1:12" x14ac:dyDescent="0.3">
      <c r="A9" s="19">
        <v>46097</v>
      </c>
      <c r="B9" s="24">
        <f t="shared" si="3"/>
        <v>8</v>
      </c>
      <c r="C9" s="20"/>
      <c r="D9" s="21">
        <f t="shared" si="0"/>
        <v>400</v>
      </c>
      <c r="E9" s="21">
        <f t="shared" si="1"/>
        <v>118.50665768309972</v>
      </c>
      <c r="F9" s="21">
        <f t="shared" si="5"/>
        <v>281.49334231690028</v>
      </c>
      <c r="G9" s="21">
        <f t="shared" si="4"/>
        <v>37772.371119670934</v>
      </c>
      <c r="H9" s="21">
        <f t="shared" si="2"/>
        <v>2227.6288803290663</v>
      </c>
      <c r="J9" s="5" t="s">
        <v>8</v>
      </c>
      <c r="K9" s="30">
        <v>400</v>
      </c>
    </row>
    <row r="10" spans="1:12" x14ac:dyDescent="0.3">
      <c r="A10" s="2">
        <v>46097</v>
      </c>
      <c r="B10" s="23">
        <f t="shared" si="3"/>
        <v>9</v>
      </c>
      <c r="C10" s="3"/>
      <c r="D10" s="4">
        <f t="shared" si="0"/>
        <v>400</v>
      </c>
      <c r="E10" s="4">
        <f t="shared" si="1"/>
        <v>117.63003619853689</v>
      </c>
      <c r="F10" s="4">
        <f t="shared" si="5"/>
        <v>282.36996380146309</v>
      </c>
      <c r="G10" s="4">
        <f t="shared" si="4"/>
        <v>37490.001155869468</v>
      </c>
      <c r="H10" s="4">
        <f t="shared" si="2"/>
        <v>2509.9988441305322</v>
      </c>
      <c r="J10" s="5" t="s">
        <v>15</v>
      </c>
      <c r="K10" s="31">
        <v>120</v>
      </c>
    </row>
    <row r="11" spans="1:12" ht="17.25" thickBot="1" x14ac:dyDescent="0.35">
      <c r="A11" s="19">
        <v>46097</v>
      </c>
      <c r="B11" s="24">
        <f t="shared" si="3"/>
        <v>10</v>
      </c>
      <c r="C11" s="20"/>
      <c r="D11" s="21">
        <f t="shared" si="0"/>
        <v>400</v>
      </c>
      <c r="E11" s="21">
        <f t="shared" si="1"/>
        <v>116.75068475517335</v>
      </c>
      <c r="F11" s="21">
        <f t="shared" si="5"/>
        <v>283.24931524482668</v>
      </c>
      <c r="G11" s="21">
        <f t="shared" si="4"/>
        <v>37206.751840624638</v>
      </c>
      <c r="H11" s="21">
        <f t="shared" si="2"/>
        <v>2793.2481593753619</v>
      </c>
      <c r="J11" s="8"/>
      <c r="L11" s="22"/>
    </row>
    <row r="12" spans="1:12" x14ac:dyDescent="0.3">
      <c r="A12" s="2">
        <v>46102</v>
      </c>
      <c r="B12" s="23">
        <f t="shared" si="3"/>
        <v>11</v>
      </c>
      <c r="C12" s="3"/>
      <c r="D12" s="4">
        <f t="shared" si="0"/>
        <v>400</v>
      </c>
      <c r="E12" s="4">
        <f t="shared" si="1"/>
        <v>115.8685948514207</v>
      </c>
      <c r="F12" s="4">
        <f t="shared" si="5"/>
        <v>284.13140514857929</v>
      </c>
      <c r="G12" s="4">
        <f t="shared" si="4"/>
        <v>36922.620435476056</v>
      </c>
      <c r="H12" s="4">
        <f t="shared" si="2"/>
        <v>3077.3795645239443</v>
      </c>
      <c r="J12" s="9" t="s">
        <v>16</v>
      </c>
      <c r="K12" s="10">
        <f>IFERROR(MAX($B:$B),"")</f>
        <v>120</v>
      </c>
    </row>
    <row r="13" spans="1:12" x14ac:dyDescent="0.3">
      <c r="A13" s="19">
        <v>46102</v>
      </c>
      <c r="B13" s="24">
        <f t="shared" si="3"/>
        <v>12</v>
      </c>
      <c r="C13" s="20"/>
      <c r="D13" s="21">
        <f t="shared" si="0"/>
        <v>400</v>
      </c>
      <c r="E13" s="21">
        <f t="shared" si="1"/>
        <v>114.98375795921503</v>
      </c>
      <c r="F13" s="21">
        <f t="shared" si="5"/>
        <v>285.01624204078496</v>
      </c>
      <c r="G13" s="21">
        <f t="shared" si="4"/>
        <v>36637.604193435269</v>
      </c>
      <c r="H13" s="21">
        <f t="shared" si="2"/>
        <v>3362.3958065647312</v>
      </c>
      <c r="J13" s="25" t="s">
        <v>22</v>
      </c>
      <c r="K13" s="12">
        <f>(K10*K9)-K9*K12</f>
        <v>0</v>
      </c>
    </row>
    <row r="14" spans="1:12" x14ac:dyDescent="0.3">
      <c r="A14" s="2">
        <v>46102</v>
      </c>
      <c r="B14" s="23">
        <f t="shared" si="3"/>
        <v>13</v>
      </c>
      <c r="C14" s="3"/>
      <c r="D14" s="4">
        <f t="shared" si="0"/>
        <v>400</v>
      </c>
      <c r="E14" s="4">
        <f t="shared" si="1"/>
        <v>114.09616552393449</v>
      </c>
      <c r="F14" s="4">
        <f t="shared" si="5"/>
        <v>285.90383447606553</v>
      </c>
      <c r="G14" s="4">
        <f t="shared" si="4"/>
        <v>36351.700358959206</v>
      </c>
      <c r="H14" s="4">
        <f t="shared" si="2"/>
        <v>3648.2996410407941</v>
      </c>
      <c r="J14" s="11" t="s">
        <v>23</v>
      </c>
      <c r="K14" s="12">
        <f>IF(A2="", K9*K10, IFERROR(INDEX($G:$G, MATCH($K$12, $B:$B, 0)), 0))</f>
        <v>1.8109176380676217E-9</v>
      </c>
    </row>
    <row r="15" spans="1:12" ht="17.25" thickBot="1" x14ac:dyDescent="0.35">
      <c r="A15" s="19">
        <v>46102</v>
      </c>
      <c r="B15" s="24">
        <f t="shared" si="3"/>
        <v>14</v>
      </c>
      <c r="C15" s="20"/>
      <c r="D15" s="21">
        <f t="shared" si="0"/>
        <v>400</v>
      </c>
      <c r="E15" s="21">
        <f t="shared" si="1"/>
        <v>113.20580896431662</v>
      </c>
      <c r="F15" s="21">
        <f t="shared" si="5"/>
        <v>286.79419103568341</v>
      </c>
      <c r="G15" s="21">
        <f t="shared" si="4"/>
        <v>36064.906167923524</v>
      </c>
      <c r="H15" s="21">
        <f t="shared" si="2"/>
        <v>3935.0938320764762</v>
      </c>
      <c r="J15" s="13" t="s">
        <v>6</v>
      </c>
      <c r="K15" s="14">
        <f>IFERROR(INDEX($H:$H, MATCH($K$12, $B:$B, 0)), 0)</f>
        <v>39999.999999998188</v>
      </c>
    </row>
    <row r="16" spans="1:12" x14ac:dyDescent="0.3">
      <c r="A16" s="2">
        <v>46102</v>
      </c>
      <c r="B16" s="23">
        <f t="shared" si="3"/>
        <v>15</v>
      </c>
      <c r="C16" s="3"/>
      <c r="D16" s="4">
        <f t="shared" si="0"/>
        <v>400</v>
      </c>
      <c r="E16" s="4">
        <f t="shared" si="1"/>
        <v>112.31267967237527</v>
      </c>
      <c r="F16" s="4">
        <f t="shared" si="5"/>
        <v>287.68732032762472</v>
      </c>
      <c r="G16" s="4">
        <f t="shared" si="4"/>
        <v>35777.218847595897</v>
      </c>
      <c r="H16" s="4">
        <f t="shared" si="2"/>
        <v>4222.7811524041026</v>
      </c>
      <c r="J16" s="15" t="s">
        <v>18</v>
      </c>
      <c r="K16" s="16">
        <f>IF(A2,A2, "")</f>
        <v>46092</v>
      </c>
    </row>
    <row r="17" spans="1:11" x14ac:dyDescent="0.3">
      <c r="A17" s="19">
        <v>46107</v>
      </c>
      <c r="B17" s="24">
        <f t="shared" si="3"/>
        <v>16</v>
      </c>
      <c r="C17" s="20"/>
      <c r="D17" s="21">
        <f t="shared" si="0"/>
        <v>400</v>
      </c>
      <c r="E17" s="21">
        <f t="shared" si="1"/>
        <v>111.41676901331751</v>
      </c>
      <c r="F17" s="21">
        <f t="shared" si="5"/>
        <v>288.58323098668251</v>
      </c>
      <c r="G17" s="21">
        <f t="shared" si="4"/>
        <v>35488.635616609216</v>
      </c>
      <c r="H17" s="21">
        <f t="shared" si="2"/>
        <v>4511.3643833907845</v>
      </c>
      <c r="J17" s="17" t="s">
        <v>19</v>
      </c>
      <c r="K17" s="18">
        <f xml:space="preserve"> IF(A2,(K16 + 120),"")</f>
        <v>46212</v>
      </c>
    </row>
    <row r="18" spans="1:11" x14ac:dyDescent="0.3">
      <c r="A18" s="2">
        <v>46107</v>
      </c>
      <c r="B18" s="23">
        <f t="shared" si="3"/>
        <v>17</v>
      </c>
      <c r="C18" s="3"/>
      <c r="D18" s="4">
        <f t="shared" si="0"/>
        <v>400</v>
      </c>
      <c r="E18" s="4">
        <f t="shared" si="1"/>
        <v>110.51806832546009</v>
      </c>
      <c r="F18" s="4">
        <f t="shared" si="5"/>
        <v>289.48193167453991</v>
      </c>
      <c r="G18" s="4">
        <f t="shared" si="4"/>
        <v>35199.153684934674</v>
      </c>
      <c r="H18" s="4">
        <f t="shared" si="2"/>
        <v>4800.8463150653261</v>
      </c>
    </row>
    <row r="19" spans="1:11" x14ac:dyDescent="0.3">
      <c r="A19" s="19">
        <v>46107</v>
      </c>
      <c r="B19" s="24">
        <f t="shared" si="3"/>
        <v>18</v>
      </c>
      <c r="C19" s="20"/>
      <c r="D19" s="21">
        <f t="shared" si="0"/>
        <v>400</v>
      </c>
      <c r="E19" s="21">
        <f t="shared" si="1"/>
        <v>109.61656892014567</v>
      </c>
      <c r="F19" s="21">
        <f t="shared" si="5"/>
        <v>290.38343107985435</v>
      </c>
      <c r="G19" s="21">
        <f t="shared" si="4"/>
        <v>34908.770253854818</v>
      </c>
      <c r="H19" s="21">
        <f t="shared" si="2"/>
        <v>5091.2297461451817</v>
      </c>
    </row>
    <row r="20" spans="1:11" x14ac:dyDescent="0.3">
      <c r="A20" s="2">
        <v>46107</v>
      </c>
      <c r="B20" s="23">
        <f t="shared" si="3"/>
        <v>19</v>
      </c>
      <c r="C20" s="3"/>
      <c r="D20" s="4">
        <f t="shared" si="0"/>
        <v>400</v>
      </c>
      <c r="E20" s="4">
        <f t="shared" si="1"/>
        <v>108.71226208165889</v>
      </c>
      <c r="F20" s="4">
        <f t="shared" si="5"/>
        <v>291.28773791834112</v>
      </c>
      <c r="G20" s="4">
        <f t="shared" si="4"/>
        <v>34617.482515936477</v>
      </c>
      <c r="H20" s="4">
        <f t="shared" si="2"/>
        <v>5382.5174840635227</v>
      </c>
      <c r="J20" s="22"/>
      <c r="K20" s="22"/>
    </row>
    <row r="21" spans="1:11" x14ac:dyDescent="0.3">
      <c r="A21" s="19">
        <v>46107</v>
      </c>
      <c r="B21" s="24">
        <f t="shared" si="3"/>
        <v>20</v>
      </c>
      <c r="C21" s="20"/>
      <c r="D21" s="21">
        <f t="shared" si="0"/>
        <v>400</v>
      </c>
      <c r="E21" s="21">
        <f t="shared" si="1"/>
        <v>107.80513906714206</v>
      </c>
      <c r="F21" s="21">
        <f t="shared" si="5"/>
        <v>292.19486093285792</v>
      </c>
      <c r="G21" s="21">
        <f t="shared" si="4"/>
        <v>34325.287655003616</v>
      </c>
      <c r="H21" s="21">
        <f t="shared" si="2"/>
        <v>5674.7123449963838</v>
      </c>
    </row>
    <row r="22" spans="1:11" x14ac:dyDescent="0.3">
      <c r="A22" s="2">
        <v>46112</v>
      </c>
      <c r="B22" s="23">
        <f t="shared" si="3"/>
        <v>21</v>
      </c>
      <c r="C22" s="3"/>
      <c r="D22" s="4">
        <f t="shared" si="0"/>
        <v>400</v>
      </c>
      <c r="E22" s="4">
        <f t="shared" si="1"/>
        <v>106.89519110651061</v>
      </c>
      <c r="F22" s="4">
        <f t="shared" si="5"/>
        <v>293.10480889348941</v>
      </c>
      <c r="G22" s="4">
        <f t="shared" si="4"/>
        <v>34032.182846110125</v>
      </c>
      <c r="H22" s="4">
        <f t="shared" si="2"/>
        <v>5967.817153889875</v>
      </c>
    </row>
    <row r="23" spans="1:11" x14ac:dyDescent="0.3">
      <c r="A23" s="19">
        <v>46112</v>
      </c>
      <c r="B23" s="24">
        <f t="shared" si="3"/>
        <v>22</v>
      </c>
      <c r="C23" s="20"/>
      <c r="D23" s="21">
        <f t="shared" si="0"/>
        <v>400</v>
      </c>
      <c r="E23" s="21">
        <f t="shared" si="1"/>
        <v>105.98240940236836</v>
      </c>
      <c r="F23" s="21">
        <f t="shared" si="5"/>
        <v>294.01759059763162</v>
      </c>
      <c r="G23" s="21">
        <f t="shared" si="4"/>
        <v>33738.165255512497</v>
      </c>
      <c r="H23" s="21">
        <f t="shared" si="2"/>
        <v>6261.8347444875035</v>
      </c>
    </row>
    <row r="24" spans="1:11" x14ac:dyDescent="0.3">
      <c r="A24" s="2">
        <v>46112</v>
      </c>
      <c r="B24" s="23">
        <f t="shared" si="3"/>
        <v>23</v>
      </c>
      <c r="C24" s="3"/>
      <c r="D24" s="4">
        <f t="shared" si="0"/>
        <v>400</v>
      </c>
      <c r="E24" s="4">
        <f t="shared" si="1"/>
        <v>105.06678512992245</v>
      </c>
      <c r="F24" s="4">
        <f t="shared" si="5"/>
        <v>294.93321487007756</v>
      </c>
      <c r="G24" s="4">
        <f t="shared" si="4"/>
        <v>33443.232040642419</v>
      </c>
      <c r="H24" s="4">
        <f t="shared" si="2"/>
        <v>6556.7679593575813</v>
      </c>
    </row>
    <row r="25" spans="1:11" x14ac:dyDescent="0.3">
      <c r="A25" s="19">
        <v>46112</v>
      </c>
      <c r="B25" s="24">
        <f t="shared" si="3"/>
        <v>24</v>
      </c>
      <c r="C25" s="20"/>
      <c r="D25" s="21">
        <f t="shared" si="0"/>
        <v>400</v>
      </c>
      <c r="E25" s="21">
        <f t="shared" si="1"/>
        <v>104.14830943689796</v>
      </c>
      <c r="F25" s="21">
        <f t="shared" si="5"/>
        <v>295.85169056310201</v>
      </c>
      <c r="G25" s="21">
        <f t="shared" si="4"/>
        <v>33147.380350079315</v>
      </c>
      <c r="H25" s="21">
        <f t="shared" si="2"/>
        <v>6852.6196499206853</v>
      </c>
    </row>
    <row r="26" spans="1:11" x14ac:dyDescent="0.3">
      <c r="A26" s="2">
        <v>46112</v>
      </c>
      <c r="B26" s="23">
        <f t="shared" si="3"/>
        <v>25</v>
      </c>
      <c r="C26" s="3"/>
      <c r="D26" s="4">
        <f t="shared" si="0"/>
        <v>400</v>
      </c>
      <c r="E26" s="4">
        <f t="shared" si="1"/>
        <v>103.22697344345241</v>
      </c>
      <c r="F26" s="4">
        <f t="shared" si="5"/>
        <v>296.77302655654762</v>
      </c>
      <c r="G26" s="4">
        <f t="shared" si="4"/>
        <v>32850.607323522767</v>
      </c>
      <c r="H26" s="4">
        <f t="shared" si="2"/>
        <v>7149.3926764772332</v>
      </c>
    </row>
    <row r="27" spans="1:11" x14ac:dyDescent="0.3">
      <c r="A27" s="19">
        <v>46118</v>
      </c>
      <c r="B27" s="24">
        <f t="shared" si="3"/>
        <v>26</v>
      </c>
      <c r="C27" s="20"/>
      <c r="D27" s="21">
        <f t="shared" si="0"/>
        <v>400</v>
      </c>
      <c r="E27" s="21">
        <f t="shared" si="1"/>
        <v>102.30276824208987</v>
      </c>
      <c r="F27" s="21">
        <f t="shared" si="5"/>
        <v>297.69723175791012</v>
      </c>
      <c r="G27" s="21">
        <f t="shared" si="4"/>
        <v>32552.910091764857</v>
      </c>
      <c r="H27" s="21">
        <f t="shared" si="2"/>
        <v>7447.0899082351425</v>
      </c>
    </row>
    <row r="28" spans="1:11" x14ac:dyDescent="0.3">
      <c r="A28" s="2">
        <v>46118</v>
      </c>
      <c r="B28" s="23">
        <f t="shared" si="3"/>
        <v>27</v>
      </c>
      <c r="C28" s="3"/>
      <c r="D28" s="4">
        <f t="shared" si="0"/>
        <v>400</v>
      </c>
      <c r="E28" s="4">
        <f t="shared" si="1"/>
        <v>101.37568489757484</v>
      </c>
      <c r="F28" s="4">
        <f t="shared" si="5"/>
        <v>298.62431510242516</v>
      </c>
      <c r="G28" s="4">
        <f t="shared" si="4"/>
        <v>32254.285776662433</v>
      </c>
      <c r="H28" s="4">
        <f t="shared" si="2"/>
        <v>7745.7142233375671</v>
      </c>
    </row>
    <row r="29" spans="1:11" x14ac:dyDescent="0.3">
      <c r="A29" s="19">
        <v>46118</v>
      </c>
      <c r="B29" s="24">
        <f t="shared" si="3"/>
        <v>28</v>
      </c>
      <c r="C29" s="20"/>
      <c r="D29" s="21">
        <f t="shared" si="0"/>
        <v>400</v>
      </c>
      <c r="E29" s="21">
        <f t="shared" si="1"/>
        <v>100.4457144468459</v>
      </c>
      <c r="F29" s="21">
        <f t="shared" si="5"/>
        <v>299.5542855531541</v>
      </c>
      <c r="G29" s="21">
        <f t="shared" si="4"/>
        <v>31954.73149110928</v>
      </c>
      <c r="H29" s="21">
        <f t="shared" si="2"/>
        <v>8045.2685088907201</v>
      </c>
    </row>
    <row r="30" spans="1:11" x14ac:dyDescent="0.3">
      <c r="A30" s="2">
        <v>46118</v>
      </c>
      <c r="B30" s="23">
        <f t="shared" si="3"/>
        <v>29</v>
      </c>
      <c r="C30" s="3"/>
      <c r="D30" s="4">
        <f t="shared" si="0"/>
        <v>400</v>
      </c>
      <c r="E30" s="4">
        <f t="shared" si="1"/>
        <v>99.512847898928982</v>
      </c>
      <c r="F30" s="4">
        <f t="shared" si="5"/>
        <v>300.48715210107105</v>
      </c>
      <c r="G30" s="4">
        <f t="shared" si="4"/>
        <v>31654.244339008208</v>
      </c>
      <c r="H30" s="4">
        <f t="shared" si="2"/>
        <v>8345.755660991792</v>
      </c>
    </row>
    <row r="31" spans="1:11" x14ac:dyDescent="0.3">
      <c r="A31" s="19">
        <v>46118</v>
      </c>
      <c r="B31" s="24">
        <f t="shared" si="3"/>
        <v>30</v>
      </c>
      <c r="C31" s="20"/>
      <c r="D31" s="21">
        <f t="shared" si="0"/>
        <v>400</v>
      </c>
      <c r="E31" s="21">
        <f t="shared" si="1"/>
        <v>98.577076234850495</v>
      </c>
      <c r="F31" s="21">
        <f t="shared" si="5"/>
        <v>301.42292376514951</v>
      </c>
      <c r="G31" s="21">
        <f t="shared" si="4"/>
        <v>31352.821415243059</v>
      </c>
      <c r="H31" s="21">
        <f t="shared" si="2"/>
        <v>8647.1785847569408</v>
      </c>
    </row>
    <row r="32" spans="1:11" x14ac:dyDescent="0.3">
      <c r="A32" s="2">
        <v>46125</v>
      </c>
      <c r="B32" s="23">
        <f t="shared" si="3"/>
        <v>31</v>
      </c>
      <c r="C32" s="3"/>
      <c r="D32" s="4">
        <f t="shared" si="0"/>
        <v>400</v>
      </c>
      <c r="E32" s="4">
        <f t="shared" si="1"/>
        <v>97.638390407550176</v>
      </c>
      <c r="F32" s="4">
        <f t="shared" si="5"/>
        <v>302.36160959244984</v>
      </c>
      <c r="G32" s="4">
        <f t="shared" si="4"/>
        <v>31050.459805650611</v>
      </c>
      <c r="H32" s="4">
        <f t="shared" si="2"/>
        <v>8949.5401943493889</v>
      </c>
    </row>
    <row r="33" spans="1:8" x14ac:dyDescent="0.3">
      <c r="A33" s="19">
        <v>46125</v>
      </c>
      <c r="B33" s="24">
        <f t="shared" si="3"/>
        <v>32</v>
      </c>
      <c r="C33" s="20"/>
      <c r="D33" s="21">
        <f t="shared" si="0"/>
        <v>400</v>
      </c>
      <c r="E33" s="21">
        <f t="shared" si="1"/>
        <v>96.696781341793496</v>
      </c>
      <c r="F33" s="21">
        <f t="shared" si="5"/>
        <v>303.3032186582065</v>
      </c>
      <c r="G33" s="21">
        <f t="shared" si="4"/>
        <v>30747.156586992405</v>
      </c>
      <c r="H33" s="21">
        <f t="shared" si="2"/>
        <v>9252.8434130075948</v>
      </c>
    </row>
    <row r="34" spans="1:8" x14ac:dyDescent="0.3">
      <c r="A34" s="2">
        <v>46125</v>
      </c>
      <c r="B34" s="23">
        <f t="shared" si="3"/>
        <v>33</v>
      </c>
      <c r="C34" s="3"/>
      <c r="D34" s="4">
        <f t="shared" ref="D34:D65" si="6">IF(AND($A34&lt;&gt;"",$B34&lt;&gt;""),$K$9,"")</f>
        <v>400</v>
      </c>
      <c r="E34" s="4">
        <f t="shared" si="1"/>
        <v>95.752239934084059</v>
      </c>
      <c r="F34" s="4">
        <f t="shared" si="5"/>
        <v>304.24776006591594</v>
      </c>
      <c r="G34" s="4">
        <f t="shared" si="4"/>
        <v>30442.90882692649</v>
      </c>
      <c r="H34" s="4">
        <f t="shared" si="2"/>
        <v>9557.0911730735097</v>
      </c>
    </row>
    <row r="35" spans="1:8" x14ac:dyDescent="0.3">
      <c r="A35" s="19">
        <v>46125</v>
      </c>
      <c r="B35" s="24">
        <f t="shared" si="3"/>
        <v>34</v>
      </c>
      <c r="C35" s="20"/>
      <c r="D35" s="21">
        <f t="shared" si="6"/>
        <v>400</v>
      </c>
      <c r="E35" s="21">
        <f t="shared" ref="E35:E66" si="7">IF(AND($A35&lt;&gt;"",$B35&lt;&gt;""),G34*$K$8,"")</f>
        <v>94.804757052575482</v>
      </c>
      <c r="F35" s="21">
        <f t="shared" si="5"/>
        <v>305.1952429474245</v>
      </c>
      <c r="G35" s="21">
        <f t="shared" si="4"/>
        <v>30137.713583979064</v>
      </c>
      <c r="H35" s="21">
        <f t="shared" ref="H35:H66" si="8">IF(AND($A35&lt;&gt;"",$B35&lt;&gt;""),$K$7-G35,"")</f>
        <v>9862.2864160209356</v>
      </c>
    </row>
    <row r="36" spans="1:8" x14ac:dyDescent="0.3">
      <c r="A36" s="2">
        <v>46125</v>
      </c>
      <c r="B36" s="23">
        <f t="shared" si="3"/>
        <v>35</v>
      </c>
      <c r="C36" s="3"/>
      <c r="D36" s="4">
        <f t="shared" si="6"/>
        <v>400</v>
      </c>
      <c r="E36" s="4">
        <f t="shared" si="7"/>
        <v>93.854323536983145</v>
      </c>
      <c r="F36" s="4">
        <f t="shared" si="5"/>
        <v>306.14567646301685</v>
      </c>
      <c r="G36" s="4">
        <f t="shared" si="4"/>
        <v>29831.567907516048</v>
      </c>
      <c r="H36" s="4">
        <f t="shared" si="8"/>
        <v>10168.432092483952</v>
      </c>
    </row>
    <row r="37" spans="1:8" x14ac:dyDescent="0.3">
      <c r="A37" s="19">
        <v>46131</v>
      </c>
      <c r="B37" s="24">
        <f t="shared" si="3"/>
        <v>36</v>
      </c>
      <c r="C37" s="20"/>
      <c r="D37" s="21">
        <f t="shared" si="6"/>
        <v>400</v>
      </c>
      <c r="E37" s="21">
        <f t="shared" si="7"/>
        <v>92.900930198495701</v>
      </c>
      <c r="F37" s="21">
        <f t="shared" si="5"/>
        <v>307.0990698015043</v>
      </c>
      <c r="G37" s="21">
        <f t="shared" si="4"/>
        <v>29524.468837714543</v>
      </c>
      <c r="H37" s="21">
        <f t="shared" si="8"/>
        <v>10475.531162285457</v>
      </c>
    </row>
    <row r="38" spans="1:8" x14ac:dyDescent="0.3">
      <c r="A38" s="2">
        <v>46131</v>
      </c>
      <c r="B38" s="23">
        <f t="shared" si="3"/>
        <v>37</v>
      </c>
      <c r="C38" s="3"/>
      <c r="D38" s="4">
        <f t="shared" si="6"/>
        <v>400</v>
      </c>
      <c r="E38" s="4">
        <f t="shared" si="7"/>
        <v>91.944567819686085</v>
      </c>
      <c r="F38" s="4">
        <f t="shared" si="5"/>
        <v>308.05543218031391</v>
      </c>
      <c r="G38" s="4">
        <f t="shared" si="4"/>
        <v>29216.413405534229</v>
      </c>
      <c r="H38" s="4">
        <f t="shared" si="8"/>
        <v>10783.586594465771</v>
      </c>
    </row>
    <row r="39" spans="1:8" x14ac:dyDescent="0.3">
      <c r="A39" s="19">
        <v>46131</v>
      </c>
      <c r="B39" s="24">
        <f t="shared" si="3"/>
        <v>38</v>
      </c>
      <c r="C39" s="20"/>
      <c r="D39" s="21">
        <f t="shared" si="6"/>
        <v>400</v>
      </c>
      <c r="E39" s="21">
        <f t="shared" si="7"/>
        <v>90.985227154422546</v>
      </c>
      <c r="F39" s="21">
        <f t="shared" si="5"/>
        <v>309.01477284557745</v>
      </c>
      <c r="G39" s="21">
        <f t="shared" si="4"/>
        <v>28907.398632688652</v>
      </c>
      <c r="H39" s="21">
        <f t="shared" si="8"/>
        <v>11092.601367311348</v>
      </c>
    </row>
    <row r="40" spans="1:8" x14ac:dyDescent="0.3">
      <c r="A40" s="2">
        <v>46131</v>
      </c>
      <c r="B40" s="23">
        <f t="shared" si="3"/>
        <v>39</v>
      </c>
      <c r="C40" s="3"/>
      <c r="D40" s="4">
        <f t="shared" si="6"/>
        <v>400</v>
      </c>
      <c r="E40" s="4">
        <f t="shared" si="7"/>
        <v>90.022898927779181</v>
      </c>
      <c r="F40" s="4">
        <f t="shared" si="5"/>
        <v>309.97710107222082</v>
      </c>
      <c r="G40" s="4">
        <f t="shared" si="4"/>
        <v>28597.42153161643</v>
      </c>
      <c r="H40" s="4">
        <f t="shared" si="8"/>
        <v>11402.57846838357</v>
      </c>
    </row>
    <row r="41" spans="1:8" x14ac:dyDescent="0.3">
      <c r="A41" s="19">
        <v>46131</v>
      </c>
      <c r="B41" s="24">
        <f t="shared" si="3"/>
        <v>40</v>
      </c>
      <c r="C41" s="20"/>
      <c r="D41" s="21">
        <f t="shared" si="6"/>
        <v>400</v>
      </c>
      <c r="E41" s="21">
        <f t="shared" si="7"/>
        <v>89.057573835946272</v>
      </c>
      <c r="F41" s="21">
        <f t="shared" si="5"/>
        <v>310.9424261640537</v>
      </c>
      <c r="G41" s="21">
        <f t="shared" si="4"/>
        <v>28286.479105452378</v>
      </c>
      <c r="H41" s="21">
        <f t="shared" si="8"/>
        <v>11713.520894547622</v>
      </c>
    </row>
    <row r="42" spans="1:8" x14ac:dyDescent="0.3">
      <c r="A42" s="2">
        <v>46139</v>
      </c>
      <c r="B42" s="23">
        <f t="shared" si="3"/>
        <v>41</v>
      </c>
      <c r="C42" s="3"/>
      <c r="D42" s="4">
        <f t="shared" si="6"/>
        <v>400</v>
      </c>
      <c r="E42" s="4">
        <f t="shared" si="7"/>
        <v>88.089242546140369</v>
      </c>
      <c r="F42" s="4">
        <f t="shared" si="5"/>
        <v>311.91075745385962</v>
      </c>
      <c r="G42" s="4">
        <f t="shared" si="4"/>
        <v>27974.568347998516</v>
      </c>
      <c r="H42" s="4">
        <f t="shared" si="8"/>
        <v>12025.431652001484</v>
      </c>
    </row>
    <row r="43" spans="1:8" x14ac:dyDescent="0.3">
      <c r="A43" s="19">
        <v>46139</v>
      </c>
      <c r="B43" s="24">
        <f t="shared" si="3"/>
        <v>42</v>
      </c>
      <c r="C43" s="20"/>
      <c r="D43" s="21">
        <f t="shared" si="6"/>
        <v>400</v>
      </c>
      <c r="E43" s="21">
        <f t="shared" si="7"/>
        <v>87.117895696513983</v>
      </c>
      <c r="F43" s="21">
        <f t="shared" si="5"/>
        <v>312.88210430348602</v>
      </c>
      <c r="G43" s="21">
        <f t="shared" si="4"/>
        <v>27661.686243695029</v>
      </c>
      <c r="H43" s="21">
        <f t="shared" si="8"/>
        <v>12338.313756304971</v>
      </c>
    </row>
    <row r="44" spans="1:8" x14ac:dyDescent="0.3">
      <c r="A44" s="2">
        <v>46139</v>
      </c>
      <c r="B44" s="23">
        <f t="shared" si="3"/>
        <v>43</v>
      </c>
      <c r="C44" s="3"/>
      <c r="D44" s="4">
        <f t="shared" si="6"/>
        <v>400</v>
      </c>
      <c r="E44" s="4">
        <f t="shared" si="7"/>
        <v>86.143523896065204</v>
      </c>
      <c r="F44" s="4">
        <f t="shared" si="5"/>
        <v>313.85647610393482</v>
      </c>
      <c r="G44" s="4">
        <f t="shared" si="4"/>
        <v>27347.829767591094</v>
      </c>
      <c r="H44" s="4">
        <f t="shared" si="8"/>
        <v>12652.170232408906</v>
      </c>
    </row>
    <row r="45" spans="1:8" x14ac:dyDescent="0.3">
      <c r="A45" s="19">
        <v>46145</v>
      </c>
      <c r="B45" s="24">
        <f t="shared" si="3"/>
        <v>44</v>
      </c>
      <c r="C45" s="20"/>
      <c r="D45" s="21">
        <f t="shared" si="6"/>
        <v>400</v>
      </c>
      <c r="E45" s="21">
        <f t="shared" si="7"/>
        <v>85.166117724546766</v>
      </c>
      <c r="F45" s="21">
        <f t="shared" si="5"/>
        <v>314.83388227545322</v>
      </c>
      <c r="G45" s="21">
        <f t="shared" si="4"/>
        <v>27032.995885315642</v>
      </c>
      <c r="H45" s="21">
        <f t="shared" si="8"/>
        <v>12967.004114684358</v>
      </c>
    </row>
    <row r="46" spans="1:8" x14ac:dyDescent="0.3">
      <c r="A46" s="2">
        <v>46145</v>
      </c>
      <c r="B46" s="23">
        <f t="shared" si="3"/>
        <v>45</v>
      </c>
      <c r="C46" s="3"/>
      <c r="D46" s="4">
        <f t="shared" si="6"/>
        <v>400</v>
      </c>
      <c r="E46" s="4">
        <f t="shared" si="7"/>
        <v>84.18566773237508</v>
      </c>
      <c r="F46" s="4">
        <f t="shared" si="5"/>
        <v>315.81433226762493</v>
      </c>
      <c r="G46" s="4">
        <f t="shared" si="4"/>
        <v>26717.181553048016</v>
      </c>
      <c r="H46" s="4">
        <f t="shared" si="8"/>
        <v>13282.818446951984</v>
      </c>
    </row>
    <row r="47" spans="1:8" x14ac:dyDescent="0.3">
      <c r="A47" s="19">
        <v>46145</v>
      </c>
      <c r="B47" s="24">
        <f t="shared" si="3"/>
        <v>46</v>
      </c>
      <c r="C47" s="20"/>
      <c r="D47" s="21">
        <f t="shared" si="6"/>
        <v>400</v>
      </c>
      <c r="E47" s="21">
        <f t="shared" si="7"/>
        <v>83.202164440538809</v>
      </c>
      <c r="F47" s="21">
        <f t="shared" si="5"/>
        <v>316.79783555946119</v>
      </c>
      <c r="G47" s="21">
        <f t="shared" si="4"/>
        <v>26400.383717488556</v>
      </c>
      <c r="H47" s="21">
        <f t="shared" si="8"/>
        <v>13599.616282511444</v>
      </c>
    </row>
    <row r="48" spans="1:8" x14ac:dyDescent="0.3">
      <c r="A48" s="2">
        <v>46145</v>
      </c>
      <c r="B48" s="23">
        <f t="shared" si="3"/>
        <v>47</v>
      </c>
      <c r="C48" s="3"/>
      <c r="D48" s="4">
        <f t="shared" si="6"/>
        <v>400</v>
      </c>
      <c r="E48" s="4">
        <f t="shared" si="7"/>
        <v>82.215598340507285</v>
      </c>
      <c r="F48" s="4">
        <f t="shared" si="5"/>
        <v>317.78440165949269</v>
      </c>
      <c r="G48" s="4">
        <f t="shared" si="4"/>
        <v>26082.599315829062</v>
      </c>
      <c r="H48" s="4">
        <f t="shared" si="8"/>
        <v>13917.400684170938</v>
      </c>
    </row>
    <row r="49" spans="1:8" x14ac:dyDescent="0.3">
      <c r="A49" s="19">
        <v>46145</v>
      </c>
      <c r="B49" s="24">
        <f t="shared" si="3"/>
        <v>48</v>
      </c>
      <c r="C49" s="20"/>
      <c r="D49" s="21">
        <f t="shared" si="6"/>
        <v>400</v>
      </c>
      <c r="E49" s="21">
        <f t="shared" si="7"/>
        <v>81.225959894138484</v>
      </c>
      <c r="F49" s="21">
        <f t="shared" si="5"/>
        <v>318.7740401058615</v>
      </c>
      <c r="G49" s="21">
        <f t="shared" si="4"/>
        <v>25763.8252757232</v>
      </c>
      <c r="H49" s="21">
        <f t="shared" si="8"/>
        <v>14236.1747242768</v>
      </c>
    </row>
    <row r="50" spans="1:8" x14ac:dyDescent="0.3">
      <c r="A50" s="2">
        <v>46145</v>
      </c>
      <c r="B50" s="23">
        <f t="shared" si="3"/>
        <v>49</v>
      </c>
      <c r="C50" s="3"/>
      <c r="D50" s="4">
        <f t="shared" si="6"/>
        <v>400</v>
      </c>
      <c r="E50" s="4">
        <f t="shared" si="7"/>
        <v>80.233239533586939</v>
      </c>
      <c r="F50" s="4">
        <f t="shared" si="5"/>
        <v>319.76676046641307</v>
      </c>
      <c r="G50" s="4">
        <f t="shared" si="4"/>
        <v>25444.058515256787</v>
      </c>
      <c r="H50" s="4">
        <f t="shared" si="8"/>
        <v>14555.941484743213</v>
      </c>
    </row>
    <row r="51" spans="1:8" x14ac:dyDescent="0.3">
      <c r="A51" s="19">
        <v>46151</v>
      </c>
      <c r="B51" s="24">
        <f t="shared" si="3"/>
        <v>50</v>
      </c>
      <c r="C51" s="20"/>
      <c r="D51" s="21">
        <f t="shared" si="6"/>
        <v>400</v>
      </c>
      <c r="E51" s="21">
        <f t="shared" si="7"/>
        <v>79.237427661211143</v>
      </c>
      <c r="F51" s="21">
        <f t="shared" si="5"/>
        <v>320.76257233878886</v>
      </c>
      <c r="G51" s="21">
        <f t="shared" si="4"/>
        <v>25123.295942917997</v>
      </c>
      <c r="H51" s="21">
        <f t="shared" si="8"/>
        <v>14876.704057082003</v>
      </c>
    </row>
    <row r="52" spans="1:8" x14ac:dyDescent="0.3">
      <c r="A52" s="2">
        <v>46151</v>
      </c>
      <c r="B52" s="23">
        <f t="shared" si="3"/>
        <v>51</v>
      </c>
      <c r="C52" s="3"/>
      <c r="D52" s="4">
        <f t="shared" si="6"/>
        <v>400</v>
      </c>
      <c r="E52" s="4">
        <f t="shared" si="7"/>
        <v>78.238514649480777</v>
      </c>
      <c r="F52" s="4">
        <f t="shared" si="5"/>
        <v>321.76148535051925</v>
      </c>
      <c r="G52" s="4">
        <f t="shared" si="4"/>
        <v>24801.534457567479</v>
      </c>
      <c r="H52" s="4">
        <f t="shared" si="8"/>
        <v>15198.465542432521</v>
      </c>
    </row>
    <row r="53" spans="1:8" x14ac:dyDescent="0.3">
      <c r="A53" s="19">
        <v>46151</v>
      </c>
      <c r="B53" s="24">
        <f t="shared" si="3"/>
        <v>52</v>
      </c>
      <c r="C53" s="20"/>
      <c r="D53" s="21">
        <f t="shared" si="6"/>
        <v>400</v>
      </c>
      <c r="E53" s="21">
        <f t="shared" si="7"/>
        <v>77.236490840883661</v>
      </c>
      <c r="F53" s="21">
        <f t="shared" si="5"/>
        <v>322.76350915911632</v>
      </c>
      <c r="G53" s="21">
        <f t="shared" si="4"/>
        <v>24478.770948408364</v>
      </c>
      <c r="H53" s="21">
        <f t="shared" si="8"/>
        <v>15521.229051591636</v>
      </c>
    </row>
    <row r="54" spans="1:8" x14ac:dyDescent="0.3">
      <c r="A54" s="2">
        <v>46151</v>
      </c>
      <c r="B54" s="23">
        <f t="shared" si="3"/>
        <v>53</v>
      </c>
      <c r="C54" s="3"/>
      <c r="D54" s="4">
        <f t="shared" si="6"/>
        <v>400</v>
      </c>
      <c r="E54" s="4">
        <f t="shared" si="7"/>
        <v>76.231346547832345</v>
      </c>
      <c r="F54" s="4">
        <f t="shared" si="5"/>
        <v>323.76865345216765</v>
      </c>
      <c r="G54" s="4">
        <f t="shared" si="4"/>
        <v>24155.002294956197</v>
      </c>
      <c r="H54" s="4">
        <f t="shared" si="8"/>
        <v>15844.997705043803</v>
      </c>
    </row>
    <row r="55" spans="1:8" x14ac:dyDescent="0.3">
      <c r="A55" s="19">
        <v>46151</v>
      </c>
      <c r="B55" s="24">
        <f t="shared" si="3"/>
        <v>54</v>
      </c>
      <c r="C55" s="20"/>
      <c r="D55" s="21">
        <f t="shared" si="6"/>
        <v>400</v>
      </c>
      <c r="E55" s="21">
        <f t="shared" si="7"/>
        <v>75.223072052570487</v>
      </c>
      <c r="F55" s="21">
        <f t="shared" si="5"/>
        <v>324.7769279474295</v>
      </c>
      <c r="G55" s="21">
        <f t="shared" si="4"/>
        <v>23830.225367008767</v>
      </c>
      <c r="H55" s="21">
        <f t="shared" si="8"/>
        <v>16169.774632991233</v>
      </c>
    </row>
    <row r="56" spans="1:8" x14ac:dyDescent="0.3">
      <c r="A56" s="2">
        <v>46151</v>
      </c>
      <c r="B56" s="23">
        <f t="shared" si="3"/>
        <v>55</v>
      </c>
      <c r="C56" s="3"/>
      <c r="D56" s="4">
        <f t="shared" si="6"/>
        <v>400</v>
      </c>
      <c r="E56" s="4">
        <f t="shared" si="7"/>
        <v>74.211657607078862</v>
      </c>
      <c r="F56" s="4">
        <f t="shared" si="5"/>
        <v>325.78834239292115</v>
      </c>
      <c r="G56" s="4">
        <f t="shared" si="4"/>
        <v>23504.437024615847</v>
      </c>
      <c r="H56" s="4">
        <f t="shared" si="8"/>
        <v>16495.562975384153</v>
      </c>
    </row>
    <row r="57" spans="1:8" x14ac:dyDescent="0.3">
      <c r="A57" s="19">
        <v>46157</v>
      </c>
      <c r="B57" s="24">
        <f t="shared" si="3"/>
        <v>56</v>
      </c>
      <c r="C57" s="20"/>
      <c r="D57" s="21">
        <f t="shared" si="6"/>
        <v>400</v>
      </c>
      <c r="E57" s="21">
        <f t="shared" si="7"/>
        <v>73.197093432981163</v>
      </c>
      <c r="F57" s="21">
        <f t="shared" si="5"/>
        <v>326.80290656701885</v>
      </c>
      <c r="G57" s="21">
        <f t="shared" si="4"/>
        <v>23177.634118048827</v>
      </c>
      <c r="H57" s="21">
        <f t="shared" si="8"/>
        <v>16822.365881951173</v>
      </c>
    </row>
    <row r="58" spans="1:8" x14ac:dyDescent="0.3">
      <c r="A58" s="2">
        <v>46157</v>
      </c>
      <c r="B58" s="23">
        <f t="shared" si="3"/>
        <v>57</v>
      </c>
      <c r="C58" s="3"/>
      <c r="D58" s="4">
        <f t="shared" si="6"/>
        <v>400</v>
      </c>
      <c r="E58" s="4">
        <f t="shared" si="7"/>
        <v>72.179369721449433</v>
      </c>
      <c r="F58" s="4">
        <f t="shared" si="5"/>
        <v>327.82063027855054</v>
      </c>
      <c r="G58" s="4">
        <f t="shared" si="4"/>
        <v>22849.813487770276</v>
      </c>
      <c r="H58" s="4">
        <f t="shared" si="8"/>
        <v>17150.186512229724</v>
      </c>
    </row>
    <row r="59" spans="1:8" x14ac:dyDescent="0.3">
      <c r="A59" s="19">
        <v>46157</v>
      </c>
      <c r="B59" s="24">
        <f t="shared" si="3"/>
        <v>58</v>
      </c>
      <c r="C59" s="20"/>
      <c r="D59" s="21">
        <f t="shared" si="6"/>
        <v>400</v>
      </c>
      <c r="E59" s="21">
        <f t="shared" si="7"/>
        <v>71.158476633109231</v>
      </c>
      <c r="F59" s="21">
        <f t="shared" si="5"/>
        <v>328.84152336689078</v>
      </c>
      <c r="G59" s="21">
        <f t="shared" si="4"/>
        <v>22520.971964403387</v>
      </c>
      <c r="H59" s="21">
        <f t="shared" si="8"/>
        <v>17479.028035596613</v>
      </c>
    </row>
    <row r="60" spans="1:8" x14ac:dyDescent="0.3">
      <c r="A60" s="2">
        <v>46157</v>
      </c>
      <c r="B60" s="23">
        <f t="shared" si="3"/>
        <v>59</v>
      </c>
      <c r="C60" s="3"/>
      <c r="D60" s="4">
        <f t="shared" si="6"/>
        <v>400</v>
      </c>
      <c r="E60" s="4">
        <f t="shared" si="7"/>
        <v>70.134404297944528</v>
      </c>
      <c r="F60" s="4">
        <f t="shared" si="5"/>
        <v>329.86559570205549</v>
      </c>
      <c r="G60" s="4">
        <f t="shared" si="4"/>
        <v>22191.10636870133</v>
      </c>
      <c r="H60" s="4">
        <f t="shared" si="8"/>
        <v>17808.89363129867</v>
      </c>
    </row>
    <row r="61" spans="1:8" x14ac:dyDescent="0.3">
      <c r="A61" s="19">
        <v>46157</v>
      </c>
      <c r="B61" s="24">
        <f t="shared" si="3"/>
        <v>60</v>
      </c>
      <c r="C61" s="20"/>
      <c r="D61" s="21">
        <f t="shared" si="6"/>
        <v>400</v>
      </c>
      <c r="E61" s="21">
        <f t="shared" si="7"/>
        <v>69.107142815202252</v>
      </c>
      <c r="F61" s="21">
        <f t="shared" si="5"/>
        <v>330.89285718479778</v>
      </c>
      <c r="G61" s="21">
        <f t="shared" si="4"/>
        <v>21860.213511516533</v>
      </c>
      <c r="H61" s="21">
        <f t="shared" si="8"/>
        <v>18139.786488483467</v>
      </c>
    </row>
    <row r="62" spans="1:8" x14ac:dyDescent="0.3">
      <c r="A62" s="2">
        <v>46157</v>
      </c>
      <c r="B62" s="23">
        <f t="shared" si="3"/>
        <v>61</v>
      </c>
      <c r="C62" s="3"/>
      <c r="D62" s="4">
        <f t="shared" si="6"/>
        <v>400</v>
      </c>
      <c r="E62" s="4">
        <f t="shared" si="7"/>
        <v>68.076682253296596</v>
      </c>
      <c r="F62" s="4">
        <f t="shared" si="5"/>
        <v>331.92331774670339</v>
      </c>
      <c r="G62" s="4">
        <f t="shared" si="4"/>
        <v>21528.29019376983</v>
      </c>
      <c r="H62" s="4">
        <f t="shared" si="8"/>
        <v>18471.70980623017</v>
      </c>
    </row>
    <row r="63" spans="1:8" x14ac:dyDescent="0.3">
      <c r="A63" s="19">
        <v>46162</v>
      </c>
      <c r="B63" s="24">
        <f t="shared" si="3"/>
        <v>62</v>
      </c>
      <c r="C63" s="20"/>
      <c r="D63" s="21">
        <f t="shared" si="6"/>
        <v>400</v>
      </c>
      <c r="E63" s="21">
        <f t="shared" si="7"/>
        <v>67.043012649712978</v>
      </c>
      <c r="F63" s="21">
        <f t="shared" si="5"/>
        <v>332.95698735028702</v>
      </c>
      <c r="G63" s="21">
        <f t="shared" si="4"/>
        <v>21195.333206419542</v>
      </c>
      <c r="H63" s="21">
        <f t="shared" si="8"/>
        <v>18804.666793580458</v>
      </c>
    </row>
    <row r="64" spans="1:8" x14ac:dyDescent="0.3">
      <c r="A64" s="2">
        <v>46162</v>
      </c>
      <c r="B64" s="23">
        <f t="shared" si="3"/>
        <v>63</v>
      </c>
      <c r="C64" s="3"/>
      <c r="D64" s="4">
        <f t="shared" si="6"/>
        <v>400</v>
      </c>
      <c r="E64" s="4">
        <f t="shared" si="7"/>
        <v>66.006124010911762</v>
      </c>
      <c r="F64" s="4">
        <f t="shared" si="5"/>
        <v>333.99387598908822</v>
      </c>
      <c r="G64" s="4">
        <f t="shared" si="4"/>
        <v>20861.339330430455</v>
      </c>
      <c r="H64" s="4">
        <f t="shared" si="8"/>
        <v>19138.660669569545</v>
      </c>
    </row>
    <row r="65" spans="1:8" x14ac:dyDescent="0.3">
      <c r="A65" s="19">
        <v>46162</v>
      </c>
      <c r="B65" s="24">
        <f t="shared" si="3"/>
        <v>64</v>
      </c>
      <c r="C65" s="20"/>
      <c r="D65" s="21">
        <f t="shared" si="6"/>
        <v>400</v>
      </c>
      <c r="E65" s="21">
        <f t="shared" si="7"/>
        <v>64.966006312231585</v>
      </c>
      <c r="F65" s="21">
        <f t="shared" si="5"/>
        <v>335.03399368776843</v>
      </c>
      <c r="G65" s="21">
        <f t="shared" si="4"/>
        <v>20526.305336742687</v>
      </c>
      <c r="H65" s="21">
        <f t="shared" si="8"/>
        <v>19473.694663257313</v>
      </c>
    </row>
    <row r="66" spans="1:8" x14ac:dyDescent="0.3">
      <c r="A66" s="2">
        <v>46162</v>
      </c>
      <c r="B66" s="23">
        <f t="shared" si="3"/>
        <v>65</v>
      </c>
      <c r="C66" s="3"/>
      <c r="D66" s="4">
        <f t="shared" ref="D66:D97" si="9">IF(AND($A66&lt;&gt;"",$B66&lt;&gt;""),$K$9,"")</f>
        <v>400</v>
      </c>
      <c r="E66" s="4">
        <f t="shared" si="7"/>
        <v>63.922649497792449</v>
      </c>
      <c r="F66" s="4">
        <f t="shared" si="5"/>
        <v>336.07735050220754</v>
      </c>
      <c r="G66" s="4">
        <f t="shared" si="4"/>
        <v>20190.227986240479</v>
      </c>
      <c r="H66" s="4">
        <f t="shared" si="8"/>
        <v>19809.772013759521</v>
      </c>
    </row>
    <row r="67" spans="1:8" x14ac:dyDescent="0.3">
      <c r="A67" s="19">
        <v>46162</v>
      </c>
      <c r="B67" s="24">
        <f t="shared" si="3"/>
        <v>66</v>
      </c>
      <c r="C67" s="20"/>
      <c r="D67" s="21">
        <f t="shared" si="9"/>
        <v>400</v>
      </c>
      <c r="E67" s="21">
        <f t="shared" ref="E67:E98" si="10">IF(AND($A67&lt;&gt;"",$B67&lt;&gt;""),G66*$K$8,"")</f>
        <v>62.87604348039855</v>
      </c>
      <c r="F67" s="21">
        <f t="shared" si="5"/>
        <v>337.12395651960145</v>
      </c>
      <c r="G67" s="21">
        <f t="shared" si="4"/>
        <v>19853.104029720878</v>
      </c>
      <c r="H67" s="21">
        <f t="shared" ref="H67:H98" si="11">IF(AND($A67&lt;&gt;"",$B67&lt;&gt;""),$K$7-G67,"")</f>
        <v>20146.895970279122</v>
      </c>
    </row>
    <row r="68" spans="1:8" x14ac:dyDescent="0.3">
      <c r="A68" s="2">
        <v>46168</v>
      </c>
      <c r="B68" s="23">
        <f t="shared" ref="B68:B121" si="12">IF(A68&lt;&gt;"",B67+1,"")</f>
        <v>67</v>
      </c>
      <c r="C68" s="3"/>
      <c r="D68" s="4">
        <f t="shared" si="9"/>
        <v>400</v>
      </c>
      <c r="E68" s="4">
        <f t="shared" si="10"/>
        <v>61.826178141440714</v>
      </c>
      <c r="F68" s="4">
        <f t="shared" si="5"/>
        <v>338.17382185855928</v>
      </c>
      <c r="G68" s="4">
        <f t="shared" si="4"/>
        <v>19514.930207862319</v>
      </c>
      <c r="H68" s="4">
        <f t="shared" si="11"/>
        <v>20485.069792137681</v>
      </c>
    </row>
    <row r="69" spans="1:8" x14ac:dyDescent="0.3">
      <c r="A69" s="19">
        <v>46168</v>
      </c>
      <c r="B69" s="24">
        <f t="shared" si="12"/>
        <v>68</v>
      </c>
      <c r="C69" s="20"/>
      <c r="D69" s="21">
        <f t="shared" si="9"/>
        <v>400</v>
      </c>
      <c r="E69" s="21">
        <f t="shared" si="10"/>
        <v>60.773043330798551</v>
      </c>
      <c r="F69" s="21">
        <f t="shared" si="5"/>
        <v>339.22695666920146</v>
      </c>
      <c r="G69" s="21">
        <f t="shared" si="4"/>
        <v>19175.703251193117</v>
      </c>
      <c r="H69" s="21">
        <f t="shared" si="11"/>
        <v>20824.296748806883</v>
      </c>
    </row>
    <row r="70" spans="1:8" x14ac:dyDescent="0.3">
      <c r="A70" s="2">
        <v>46168</v>
      </c>
      <c r="B70" s="23">
        <f t="shared" si="12"/>
        <v>69</v>
      </c>
      <c r="C70" s="3"/>
      <c r="D70" s="4">
        <f t="shared" si="9"/>
        <v>400</v>
      </c>
      <c r="E70" s="4">
        <f t="shared" si="10"/>
        <v>59.71662886674239</v>
      </c>
      <c r="F70" s="4">
        <f t="shared" si="5"/>
        <v>340.28337113325762</v>
      </c>
      <c r="G70" s="4">
        <f t="shared" ref="G70:G121" si="13">IF(AND($A70&lt;&gt;"",$B70&lt;&gt;""),G69-F70,"")</f>
        <v>18835.419880059861</v>
      </c>
      <c r="H70" s="4">
        <f t="shared" si="11"/>
        <v>21164.580119940139</v>
      </c>
    </row>
    <row r="71" spans="1:8" x14ac:dyDescent="0.3">
      <c r="A71" s="19">
        <v>46168</v>
      </c>
      <c r="B71" s="24">
        <f t="shared" si="12"/>
        <v>70</v>
      </c>
      <c r="C71" s="20"/>
      <c r="D71" s="21">
        <f t="shared" si="9"/>
        <v>400</v>
      </c>
      <c r="E71" s="21">
        <f t="shared" si="10"/>
        <v>58.656924535834776</v>
      </c>
      <c r="F71" s="21">
        <f t="shared" ref="F71:F121" si="14">IF(AND($A71&lt;&gt;"",$B71&lt;&gt;""),D71-E71,"")</f>
        <v>341.34307546416522</v>
      </c>
      <c r="G71" s="21">
        <f t="shared" si="13"/>
        <v>18494.076804595694</v>
      </c>
      <c r="H71" s="21">
        <f t="shared" si="11"/>
        <v>21505.923195404306</v>
      </c>
    </row>
    <row r="72" spans="1:8" x14ac:dyDescent="0.3">
      <c r="A72" s="2">
        <v>46168</v>
      </c>
      <c r="B72" s="23">
        <f t="shared" si="12"/>
        <v>71</v>
      </c>
      <c r="C72" s="3"/>
      <c r="D72" s="4">
        <f t="shared" si="9"/>
        <v>400</v>
      </c>
      <c r="E72" s="4">
        <f t="shared" si="10"/>
        <v>57.593920092831738</v>
      </c>
      <c r="F72" s="4">
        <f t="shared" si="14"/>
        <v>342.40607990716825</v>
      </c>
      <c r="G72" s="4">
        <f t="shared" si="13"/>
        <v>18151.670724688527</v>
      </c>
      <c r="H72" s="4">
        <f t="shared" si="11"/>
        <v>21848.329275311473</v>
      </c>
    </row>
    <row r="73" spans="1:8" x14ac:dyDescent="0.3">
      <c r="A73" s="19">
        <v>46175</v>
      </c>
      <c r="B73" s="24">
        <f t="shared" si="12"/>
        <v>72</v>
      </c>
      <c r="C73" s="20"/>
      <c r="D73" s="21">
        <f t="shared" si="9"/>
        <v>400</v>
      </c>
      <c r="E73" s="21">
        <f t="shared" si="10"/>
        <v>56.527605260583783</v>
      </c>
      <c r="F73" s="21">
        <f t="shared" si="14"/>
        <v>343.47239473941625</v>
      </c>
      <c r="G73" s="21">
        <f t="shared" si="13"/>
        <v>17808.198329949111</v>
      </c>
      <c r="H73" s="21">
        <f t="shared" si="11"/>
        <v>22191.801670050889</v>
      </c>
    </row>
    <row r="74" spans="1:8" x14ac:dyDescent="0.3">
      <c r="A74" s="2">
        <v>46175</v>
      </c>
      <c r="B74" s="23">
        <f t="shared" si="12"/>
        <v>73</v>
      </c>
      <c r="C74" s="3"/>
      <c r="D74" s="4">
        <f t="shared" si="9"/>
        <v>400</v>
      </c>
      <c r="E74" s="4">
        <f t="shared" si="10"/>
        <v>55.457969729936494</v>
      </c>
      <c r="F74" s="4">
        <f t="shared" si="14"/>
        <v>344.54203027006349</v>
      </c>
      <c r="G74" s="4">
        <f t="shared" si="13"/>
        <v>17463.656299679049</v>
      </c>
      <c r="H74" s="4">
        <f t="shared" si="11"/>
        <v>22536.343700320951</v>
      </c>
    </row>
    <row r="75" spans="1:8" x14ac:dyDescent="0.3">
      <c r="A75" s="19">
        <v>46175</v>
      </c>
      <c r="B75" s="24">
        <f t="shared" si="12"/>
        <v>74</v>
      </c>
      <c r="C75" s="20"/>
      <c r="D75" s="21">
        <f t="shared" si="9"/>
        <v>400</v>
      </c>
      <c r="E75" s="21">
        <f t="shared" si="10"/>
        <v>54.385003159630863</v>
      </c>
      <c r="F75" s="21">
        <f t="shared" si="14"/>
        <v>345.61499684036914</v>
      </c>
      <c r="G75" s="21">
        <f t="shared" si="13"/>
        <v>17118.041302838679</v>
      </c>
      <c r="H75" s="21">
        <f t="shared" si="11"/>
        <v>22881.958697161321</v>
      </c>
    </row>
    <row r="76" spans="1:8" x14ac:dyDescent="0.3">
      <c r="A76" s="2">
        <v>46175</v>
      </c>
      <c r="B76" s="23">
        <f t="shared" si="12"/>
        <v>75</v>
      </c>
      <c r="C76" s="3"/>
      <c r="D76" s="4">
        <f t="shared" si="9"/>
        <v>400</v>
      </c>
      <c r="E76" s="4">
        <f t="shared" si="10"/>
        <v>53.308695176203315</v>
      </c>
      <c r="F76" s="4">
        <f t="shared" si="14"/>
        <v>346.69130482379671</v>
      </c>
      <c r="G76" s="4">
        <f t="shared" si="13"/>
        <v>16771.349998014881</v>
      </c>
      <c r="H76" s="4">
        <f t="shared" si="11"/>
        <v>23228.650001985119</v>
      </c>
    </row>
    <row r="77" spans="1:8" x14ac:dyDescent="0.3">
      <c r="A77" s="19">
        <v>46175</v>
      </c>
      <c r="B77" s="24">
        <f t="shared" si="12"/>
        <v>76</v>
      </c>
      <c r="C77" s="20"/>
      <c r="D77" s="21">
        <f t="shared" si="9"/>
        <v>400</v>
      </c>
      <c r="E77" s="21">
        <f t="shared" si="10"/>
        <v>52.229035373885438</v>
      </c>
      <c r="F77" s="21">
        <f t="shared" si="14"/>
        <v>347.77096462611456</v>
      </c>
      <c r="G77" s="21">
        <f t="shared" si="13"/>
        <v>16423.579033388767</v>
      </c>
      <c r="H77" s="21">
        <f t="shared" si="11"/>
        <v>23576.420966611233</v>
      </c>
    </row>
    <row r="78" spans="1:8" x14ac:dyDescent="0.3">
      <c r="A78" s="2">
        <v>46175</v>
      </c>
      <c r="B78" s="23">
        <f t="shared" si="12"/>
        <v>77</v>
      </c>
      <c r="C78" s="3"/>
      <c r="D78" s="4">
        <f t="shared" si="9"/>
        <v>400</v>
      </c>
      <c r="E78" s="4">
        <f t="shared" si="10"/>
        <v>51.146013314503371</v>
      </c>
      <c r="F78" s="4">
        <f t="shared" si="14"/>
        <v>348.85398668549664</v>
      </c>
      <c r="G78" s="4">
        <f t="shared" si="13"/>
        <v>16074.72504670327</v>
      </c>
      <c r="H78" s="4">
        <f t="shared" si="11"/>
        <v>23925.274953296728</v>
      </c>
    </row>
    <row r="79" spans="1:8" x14ac:dyDescent="0.3">
      <c r="A79" s="19">
        <v>46175</v>
      </c>
      <c r="B79" s="24">
        <f t="shared" si="12"/>
        <v>78</v>
      </c>
      <c r="C79" s="20"/>
      <c r="D79" s="21">
        <f t="shared" si="9"/>
        <v>400</v>
      </c>
      <c r="E79" s="21">
        <f t="shared" si="10"/>
        <v>50.059618527376848</v>
      </c>
      <c r="F79" s="21">
        <f t="shared" si="14"/>
        <v>349.94038147262313</v>
      </c>
      <c r="G79" s="21">
        <f t="shared" si="13"/>
        <v>15724.784665230647</v>
      </c>
      <c r="H79" s="21">
        <f t="shared" si="11"/>
        <v>24275.215334769353</v>
      </c>
    </row>
    <row r="80" spans="1:8" x14ac:dyDescent="0.3">
      <c r="A80" s="2">
        <v>46175</v>
      </c>
      <c r="B80" s="23">
        <f t="shared" si="12"/>
        <v>79</v>
      </c>
      <c r="C80" s="3"/>
      <c r="D80" s="4">
        <f t="shared" si="9"/>
        <v>400</v>
      </c>
      <c r="E80" s="4">
        <f t="shared" si="10"/>
        <v>48.969840509218024</v>
      </c>
      <c r="F80" s="4">
        <f t="shared" si="14"/>
        <v>351.03015949078195</v>
      </c>
      <c r="G80" s="4">
        <f t="shared" si="13"/>
        <v>15373.754505739866</v>
      </c>
      <c r="H80" s="4">
        <f t="shared" si="11"/>
        <v>24626.245494260133</v>
      </c>
    </row>
    <row r="81" spans="1:8" x14ac:dyDescent="0.3">
      <c r="A81" s="19">
        <v>46175</v>
      </c>
      <c r="B81" s="24">
        <f t="shared" si="12"/>
        <v>80</v>
      </c>
      <c r="C81" s="20"/>
      <c r="D81" s="21">
        <f t="shared" si="9"/>
        <v>400</v>
      </c>
      <c r="E81" s="21">
        <f t="shared" si="10"/>
        <v>47.876668724029912</v>
      </c>
      <c r="F81" s="21">
        <f t="shared" si="14"/>
        <v>352.12333127597009</v>
      </c>
      <c r="G81" s="21">
        <f t="shared" si="13"/>
        <v>15021.631174463895</v>
      </c>
      <c r="H81" s="21">
        <f t="shared" si="11"/>
        <v>24978.368825536105</v>
      </c>
    </row>
    <row r="82" spans="1:8" x14ac:dyDescent="0.3">
      <c r="A82" s="2">
        <v>46175</v>
      </c>
      <c r="B82" s="23">
        <f t="shared" si="12"/>
        <v>81</v>
      </c>
      <c r="C82" s="3"/>
      <c r="D82" s="4">
        <f t="shared" si="9"/>
        <v>400</v>
      </c>
      <c r="E82" s="4">
        <f t="shared" si="10"/>
        <v>46.780092603004476</v>
      </c>
      <c r="F82" s="4">
        <f t="shared" si="14"/>
        <v>353.2199073969955</v>
      </c>
      <c r="G82" s="4">
        <f t="shared" si="13"/>
        <v>14668.4112670669</v>
      </c>
      <c r="H82" s="4">
        <f t="shared" si="11"/>
        <v>25331.588732933102</v>
      </c>
    </row>
    <row r="83" spans="1:8" x14ac:dyDescent="0.3">
      <c r="A83" s="19">
        <v>46181</v>
      </c>
      <c r="B83" s="24">
        <f t="shared" si="12"/>
        <v>82</v>
      </c>
      <c r="C83" s="20"/>
      <c r="D83" s="21">
        <f t="shared" si="9"/>
        <v>400</v>
      </c>
      <c r="E83" s="21">
        <f t="shared" si="10"/>
        <v>45.680101544420538</v>
      </c>
      <c r="F83" s="21">
        <f t="shared" si="14"/>
        <v>354.31989845557945</v>
      </c>
      <c r="G83" s="21">
        <f t="shared" si="13"/>
        <v>14314.09136861132</v>
      </c>
      <c r="H83" s="21">
        <f t="shared" si="11"/>
        <v>25685.90863138868</v>
      </c>
    </row>
    <row r="84" spans="1:8" x14ac:dyDescent="0.3">
      <c r="A84" s="2">
        <v>46181</v>
      </c>
      <c r="B84" s="23">
        <f t="shared" si="12"/>
        <v>83</v>
      </c>
      <c r="C84" s="3"/>
      <c r="D84" s="4">
        <f t="shared" si="9"/>
        <v>400</v>
      </c>
      <c r="E84" s="4">
        <f t="shared" si="10"/>
        <v>44.576684913541186</v>
      </c>
      <c r="F84" s="4">
        <f t="shared" si="14"/>
        <v>355.42331508645884</v>
      </c>
      <c r="G84" s="4">
        <f t="shared" si="13"/>
        <v>13958.668053524862</v>
      </c>
      <c r="H84" s="4">
        <f t="shared" si="11"/>
        <v>26041.33194647514</v>
      </c>
    </row>
    <row r="85" spans="1:8" x14ac:dyDescent="0.3">
      <c r="A85" s="19">
        <v>46181</v>
      </c>
      <c r="B85" s="24">
        <f t="shared" si="12"/>
        <v>84</v>
      </c>
      <c r="C85" s="20"/>
      <c r="D85" s="21">
        <f t="shared" si="9"/>
        <v>400</v>
      </c>
      <c r="E85" s="21">
        <f t="shared" si="10"/>
        <v>43.469832042511037</v>
      </c>
      <c r="F85" s="21">
        <f t="shared" si="14"/>
        <v>356.53016795748897</v>
      </c>
      <c r="G85" s="21">
        <f t="shared" si="13"/>
        <v>13602.137885567372</v>
      </c>
      <c r="H85" s="21">
        <f t="shared" si="11"/>
        <v>26397.862114432628</v>
      </c>
    </row>
    <row r="86" spans="1:8" x14ac:dyDescent="0.3">
      <c r="A86" s="2">
        <v>46181</v>
      </c>
      <c r="B86" s="23">
        <f t="shared" si="12"/>
        <v>85</v>
      </c>
      <c r="C86" s="3"/>
      <c r="D86" s="4">
        <f t="shared" si="9"/>
        <v>400</v>
      </c>
      <c r="E86" s="4">
        <f t="shared" si="10"/>
        <v>42.359532230253038</v>
      </c>
      <c r="F86" s="4">
        <f t="shared" si="14"/>
        <v>357.64046776974698</v>
      </c>
      <c r="G86" s="4">
        <f t="shared" si="13"/>
        <v>13244.497417797626</v>
      </c>
      <c r="H86" s="4">
        <f t="shared" si="11"/>
        <v>26755.502582202374</v>
      </c>
    </row>
    <row r="87" spans="1:8" x14ac:dyDescent="0.3">
      <c r="A87" s="19">
        <v>46181</v>
      </c>
      <c r="B87" s="24">
        <f t="shared" si="12"/>
        <v>86</v>
      </c>
      <c r="C87" s="20"/>
      <c r="D87" s="21">
        <f t="shared" si="9"/>
        <v>400</v>
      </c>
      <c r="E87" s="21">
        <f t="shared" si="10"/>
        <v>41.245774742365064</v>
      </c>
      <c r="F87" s="21">
        <f t="shared" si="14"/>
        <v>358.75422525763491</v>
      </c>
      <c r="G87" s="21">
        <f t="shared" si="13"/>
        <v>12885.743192539991</v>
      </c>
      <c r="H87" s="21">
        <f t="shared" si="11"/>
        <v>27114.256807460009</v>
      </c>
    </row>
    <row r="88" spans="1:8" x14ac:dyDescent="0.3">
      <c r="A88" s="2">
        <v>46181</v>
      </c>
      <c r="B88" s="23">
        <f t="shared" si="12"/>
        <v>87</v>
      </c>
      <c r="C88" s="3"/>
      <c r="D88" s="4">
        <f t="shared" si="9"/>
        <v>400</v>
      </c>
      <c r="E88" s="4">
        <f t="shared" si="10"/>
        <v>40.128548811016088</v>
      </c>
      <c r="F88" s="4">
        <f t="shared" si="14"/>
        <v>359.87145118898388</v>
      </c>
      <c r="G88" s="4">
        <f t="shared" si="13"/>
        <v>12525.871741351006</v>
      </c>
      <c r="H88" s="4">
        <f t="shared" si="11"/>
        <v>27474.128258648994</v>
      </c>
    </row>
    <row r="89" spans="1:8" x14ac:dyDescent="0.3">
      <c r="A89" s="19">
        <v>46181</v>
      </c>
      <c r="B89" s="24">
        <f t="shared" si="12"/>
        <v>88</v>
      </c>
      <c r="C89" s="20"/>
      <c r="D89" s="21">
        <f t="shared" si="9"/>
        <v>400</v>
      </c>
      <c r="E89" s="21">
        <f t="shared" si="10"/>
        <v>39.007843634842089</v>
      </c>
      <c r="F89" s="21">
        <f t="shared" si="14"/>
        <v>360.99215636515794</v>
      </c>
      <c r="G89" s="21">
        <f t="shared" si="13"/>
        <v>12164.879584985847</v>
      </c>
      <c r="H89" s="21">
        <f t="shared" si="11"/>
        <v>27835.120415014153</v>
      </c>
    </row>
    <row r="90" spans="1:8" x14ac:dyDescent="0.3">
      <c r="A90" s="2">
        <v>46181</v>
      </c>
      <c r="B90" s="23">
        <f t="shared" si="12"/>
        <v>89</v>
      </c>
      <c r="C90" s="3"/>
      <c r="D90" s="4">
        <f t="shared" si="9"/>
        <v>400</v>
      </c>
      <c r="E90" s="4">
        <f t="shared" si="10"/>
        <v>37.88364837884167</v>
      </c>
      <c r="F90" s="4">
        <f t="shared" si="14"/>
        <v>362.11635162115834</v>
      </c>
      <c r="G90" s="4">
        <f t="shared" si="13"/>
        <v>11802.763233364689</v>
      </c>
      <c r="H90" s="4">
        <f t="shared" si="11"/>
        <v>28197.236766635309</v>
      </c>
    </row>
    <row r="91" spans="1:8" x14ac:dyDescent="0.3">
      <c r="A91" s="19">
        <v>46181</v>
      </c>
      <c r="B91" s="24">
        <f t="shared" si="12"/>
        <v>90</v>
      </c>
      <c r="C91" s="20"/>
      <c r="D91" s="21">
        <f t="shared" si="9"/>
        <v>400</v>
      </c>
      <c r="E91" s="21">
        <f t="shared" si="10"/>
        <v>36.755952174271229</v>
      </c>
      <c r="F91" s="21">
        <f t="shared" si="14"/>
        <v>363.24404782572879</v>
      </c>
      <c r="G91" s="21">
        <f t="shared" si="13"/>
        <v>11439.51918553896</v>
      </c>
      <c r="H91" s="21">
        <f t="shared" si="11"/>
        <v>28560.48081446104</v>
      </c>
    </row>
    <row r="92" spans="1:8" x14ac:dyDescent="0.3">
      <c r="A92" s="2">
        <v>46181</v>
      </c>
      <c r="B92" s="23">
        <f t="shared" si="12"/>
        <v>91</v>
      </c>
      <c r="C92" s="3"/>
      <c r="D92" s="4">
        <f t="shared" si="9"/>
        <v>400</v>
      </c>
      <c r="E92" s="4">
        <f t="shared" si="10"/>
        <v>35.624744118539944</v>
      </c>
      <c r="F92" s="4">
        <f t="shared" si="14"/>
        <v>364.37525588146008</v>
      </c>
      <c r="G92" s="4">
        <f t="shared" si="13"/>
        <v>11075.143929657501</v>
      </c>
      <c r="H92" s="4">
        <f t="shared" si="11"/>
        <v>28924.856070342499</v>
      </c>
    </row>
    <row r="93" spans="1:8" x14ac:dyDescent="0.3">
      <c r="A93" s="19">
        <v>46185</v>
      </c>
      <c r="B93" s="24">
        <f t="shared" si="12"/>
        <v>92</v>
      </c>
      <c r="C93" s="20"/>
      <c r="D93" s="21">
        <f t="shared" si="9"/>
        <v>400</v>
      </c>
      <c r="E93" s="21">
        <f t="shared" si="10"/>
        <v>34.490013275104332</v>
      </c>
      <c r="F93" s="21">
        <f t="shared" si="14"/>
        <v>365.50998672489567</v>
      </c>
      <c r="G93" s="21">
        <f t="shared" si="13"/>
        <v>10709.633942932605</v>
      </c>
      <c r="H93" s="21">
        <f t="shared" si="11"/>
        <v>29290.366057067396</v>
      </c>
    </row>
    <row r="94" spans="1:8" x14ac:dyDescent="0.3">
      <c r="A94" s="2">
        <v>46185</v>
      </c>
      <c r="B94" s="23">
        <f t="shared" si="12"/>
        <v>93</v>
      </c>
      <c r="C94" s="3"/>
      <c r="D94" s="4">
        <f t="shared" si="9"/>
        <v>400</v>
      </c>
      <c r="E94" s="4">
        <f t="shared" si="10"/>
        <v>33.351748673362515</v>
      </c>
      <c r="F94" s="4">
        <f t="shared" si="14"/>
        <v>366.64825132663748</v>
      </c>
      <c r="G94" s="4">
        <f t="shared" si="13"/>
        <v>10342.985691605967</v>
      </c>
      <c r="H94" s="4">
        <f t="shared" si="11"/>
        <v>29657.014308394035</v>
      </c>
    </row>
    <row r="95" spans="1:8" x14ac:dyDescent="0.3">
      <c r="A95" s="19">
        <v>46185</v>
      </c>
      <c r="B95" s="24">
        <f t="shared" si="12"/>
        <v>94</v>
      </c>
      <c r="C95" s="20"/>
      <c r="D95" s="21">
        <f t="shared" si="9"/>
        <v>400</v>
      </c>
      <c r="E95" s="21">
        <f t="shared" si="10"/>
        <v>32.209939308548186</v>
      </c>
      <c r="F95" s="21">
        <f t="shared" si="14"/>
        <v>367.7900606914518</v>
      </c>
      <c r="G95" s="21">
        <f t="shared" si="13"/>
        <v>9975.1956309145153</v>
      </c>
      <c r="H95" s="21">
        <f t="shared" si="11"/>
        <v>30024.804369085483</v>
      </c>
    </row>
    <row r="96" spans="1:8" x14ac:dyDescent="0.3">
      <c r="A96" s="2">
        <v>46185</v>
      </c>
      <c r="B96" s="23">
        <f t="shared" si="12"/>
        <v>95</v>
      </c>
      <c r="C96" s="3"/>
      <c r="D96" s="4">
        <f t="shared" si="9"/>
        <v>400</v>
      </c>
      <c r="E96" s="4">
        <f t="shared" si="10"/>
        <v>31.064574141624174</v>
      </c>
      <c r="F96" s="4">
        <f t="shared" si="14"/>
        <v>368.93542585837582</v>
      </c>
      <c r="G96" s="4">
        <f t="shared" si="13"/>
        <v>9606.26020505614</v>
      </c>
      <c r="H96" s="4">
        <f t="shared" si="11"/>
        <v>30393.73979494386</v>
      </c>
    </row>
    <row r="97" spans="1:8" x14ac:dyDescent="0.3">
      <c r="A97" s="19">
        <v>46185</v>
      </c>
      <c r="B97" s="24">
        <f t="shared" si="12"/>
        <v>96</v>
      </c>
      <c r="C97" s="20"/>
      <c r="D97" s="21">
        <f t="shared" si="9"/>
        <v>400</v>
      </c>
      <c r="E97" s="21">
        <f t="shared" si="10"/>
        <v>29.915642099175752</v>
      </c>
      <c r="F97" s="21">
        <f t="shared" si="14"/>
        <v>370.08435790082427</v>
      </c>
      <c r="G97" s="21">
        <f t="shared" si="13"/>
        <v>9236.1758471553148</v>
      </c>
      <c r="H97" s="21">
        <f t="shared" si="11"/>
        <v>30763.824152844685</v>
      </c>
    </row>
    <row r="98" spans="1:8" x14ac:dyDescent="0.3">
      <c r="A98" s="2">
        <v>46185</v>
      </c>
      <c r="B98" s="23">
        <f t="shared" si="12"/>
        <v>97</v>
      </c>
      <c r="C98" s="3"/>
      <c r="D98" s="4">
        <f t="shared" ref="D98:D121" si="15">IF(AND($A98&lt;&gt;"",$B98&lt;&gt;""),$K$9,"")</f>
        <v>400</v>
      </c>
      <c r="E98" s="4">
        <f t="shared" si="10"/>
        <v>28.763132073303552</v>
      </c>
      <c r="F98" s="4">
        <f t="shared" si="14"/>
        <v>371.23686792669645</v>
      </c>
      <c r="G98" s="4">
        <f t="shared" si="13"/>
        <v>8864.9389792286183</v>
      </c>
      <c r="H98" s="4">
        <f t="shared" si="11"/>
        <v>31135.061020771383</v>
      </c>
    </row>
    <row r="99" spans="1:8" x14ac:dyDescent="0.3">
      <c r="A99" s="19">
        <v>46185</v>
      </c>
      <c r="B99" s="24">
        <f t="shared" si="12"/>
        <v>98</v>
      </c>
      <c r="C99" s="20"/>
      <c r="D99" s="21">
        <f t="shared" si="15"/>
        <v>400</v>
      </c>
      <c r="E99" s="21">
        <f t="shared" ref="E99:E121" si="16">IF(AND($A99&lt;&gt;"",$B99&lt;&gt;""),G98*$K$8,"")</f>
        <v>27.607032921516197</v>
      </c>
      <c r="F99" s="21">
        <f t="shared" si="14"/>
        <v>372.39296707848382</v>
      </c>
      <c r="G99" s="21">
        <f t="shared" si="13"/>
        <v>8492.5460121501346</v>
      </c>
      <c r="H99" s="21">
        <f t="shared" ref="H99:H121" si="17">IF(AND($A99&lt;&gt;"",$B99&lt;&gt;""),$K$7-G99,"")</f>
        <v>31507.453987849865</v>
      </c>
    </row>
    <row r="100" spans="1:8" x14ac:dyDescent="0.3">
      <c r="A100" s="2">
        <v>46185</v>
      </c>
      <c r="B100" s="23">
        <f t="shared" si="12"/>
        <v>99</v>
      </c>
      <c r="C100" s="3"/>
      <c r="D100" s="4">
        <f t="shared" si="15"/>
        <v>400</v>
      </c>
      <c r="E100" s="4">
        <f t="shared" si="16"/>
        <v>26.447333466622556</v>
      </c>
      <c r="F100" s="4">
        <f t="shared" si="14"/>
        <v>373.55266653337742</v>
      </c>
      <c r="G100" s="4">
        <f t="shared" si="13"/>
        <v>8118.9933456167573</v>
      </c>
      <c r="H100" s="4">
        <f t="shared" si="17"/>
        <v>31881.006654383244</v>
      </c>
    </row>
    <row r="101" spans="1:8" x14ac:dyDescent="0.3">
      <c r="A101" s="19">
        <v>46185</v>
      </c>
      <c r="B101" s="24">
        <f t="shared" si="12"/>
        <v>100</v>
      </c>
      <c r="C101" s="20"/>
      <c r="D101" s="21">
        <f t="shared" si="15"/>
        <v>400</v>
      </c>
      <c r="E101" s="21">
        <f t="shared" si="16"/>
        <v>25.284022496623702</v>
      </c>
      <c r="F101" s="21">
        <f t="shared" si="14"/>
        <v>374.71597750337628</v>
      </c>
      <c r="G101" s="21">
        <f t="shared" si="13"/>
        <v>7744.2773681133813</v>
      </c>
      <c r="H101" s="21">
        <f t="shared" si="17"/>
        <v>32255.72263188662</v>
      </c>
    </row>
    <row r="102" spans="1:8" x14ac:dyDescent="0.3">
      <c r="A102" s="2">
        <v>46185</v>
      </c>
      <c r="B102" s="23">
        <f t="shared" si="12"/>
        <v>101</v>
      </c>
      <c r="C102" s="3"/>
      <c r="D102" s="4">
        <f t="shared" si="15"/>
        <v>400</v>
      </c>
      <c r="E102" s="4">
        <f t="shared" si="16"/>
        <v>24.117088764604492</v>
      </c>
      <c r="F102" s="4">
        <f t="shared" si="14"/>
        <v>375.88291123539551</v>
      </c>
      <c r="G102" s="4">
        <f t="shared" si="13"/>
        <v>7368.3944568779862</v>
      </c>
      <c r="H102" s="4">
        <f t="shared" si="17"/>
        <v>32631.605543122016</v>
      </c>
    </row>
    <row r="103" spans="1:8" x14ac:dyDescent="0.3">
      <c r="A103" s="19">
        <v>46185</v>
      </c>
      <c r="B103" s="24">
        <f t="shared" si="12"/>
        <v>102</v>
      </c>
      <c r="C103" s="20"/>
      <c r="D103" s="21">
        <f t="shared" si="15"/>
        <v>400</v>
      </c>
      <c r="E103" s="21">
        <f t="shared" si="16"/>
        <v>22.946520988624847</v>
      </c>
      <c r="F103" s="21">
        <f t="shared" si="14"/>
        <v>377.05347901137515</v>
      </c>
      <c r="G103" s="21">
        <f t="shared" si="13"/>
        <v>6991.340977866611</v>
      </c>
      <c r="H103" s="21">
        <f t="shared" si="17"/>
        <v>33008.65902213339</v>
      </c>
    </row>
    <row r="104" spans="1:8" x14ac:dyDescent="0.3">
      <c r="A104" s="2">
        <v>46185</v>
      </c>
      <c r="B104" s="23">
        <f t="shared" si="12"/>
        <v>103</v>
      </c>
      <c r="C104" s="3"/>
      <c r="D104" s="4">
        <f t="shared" si="15"/>
        <v>400</v>
      </c>
      <c r="E104" s="4">
        <f t="shared" si="16"/>
        <v>21.772307851610673</v>
      </c>
      <c r="F104" s="4">
        <f t="shared" si="14"/>
        <v>378.22769214838934</v>
      </c>
      <c r="G104" s="4">
        <f t="shared" si="13"/>
        <v>6613.113285718222</v>
      </c>
      <c r="H104" s="4">
        <f t="shared" si="17"/>
        <v>33386.886714281776</v>
      </c>
    </row>
    <row r="105" spans="1:8" x14ac:dyDescent="0.3">
      <c r="A105" s="19">
        <v>46185</v>
      </c>
      <c r="B105" s="24">
        <f t="shared" si="12"/>
        <v>104</v>
      </c>
      <c r="C105" s="20"/>
      <c r="D105" s="21">
        <f t="shared" si="15"/>
        <v>400</v>
      </c>
      <c r="E105" s="21">
        <f t="shared" si="16"/>
        <v>20.594438001244455</v>
      </c>
      <c r="F105" s="21">
        <f t="shared" si="14"/>
        <v>379.40556199875556</v>
      </c>
      <c r="G105" s="21">
        <f t="shared" si="13"/>
        <v>6233.7077237194662</v>
      </c>
      <c r="H105" s="21">
        <f t="shared" si="17"/>
        <v>33766.292276280532</v>
      </c>
    </row>
    <row r="106" spans="1:8" x14ac:dyDescent="0.3">
      <c r="A106" s="2">
        <v>46185</v>
      </c>
      <c r="B106" s="23">
        <f t="shared" si="12"/>
        <v>105</v>
      </c>
      <c r="C106" s="3"/>
      <c r="D106" s="4">
        <f t="shared" si="15"/>
        <v>400</v>
      </c>
      <c r="E106" s="4">
        <f t="shared" si="16"/>
        <v>19.412900049855487</v>
      </c>
      <c r="F106" s="4">
        <f t="shared" si="14"/>
        <v>380.58709995014453</v>
      </c>
      <c r="G106" s="4">
        <f t="shared" si="13"/>
        <v>5853.1206237693214</v>
      </c>
      <c r="H106" s="4">
        <f t="shared" si="17"/>
        <v>34146.879376230681</v>
      </c>
    </row>
    <row r="107" spans="1:8" x14ac:dyDescent="0.3">
      <c r="A107" s="19">
        <v>46185</v>
      </c>
      <c r="B107" s="24">
        <f t="shared" si="12"/>
        <v>106</v>
      </c>
      <c r="C107" s="20"/>
      <c r="D107" s="21">
        <f t="shared" si="15"/>
        <v>400</v>
      </c>
      <c r="E107" s="21">
        <f t="shared" si="16"/>
        <v>18.227682574309785</v>
      </c>
      <c r="F107" s="21">
        <f t="shared" si="14"/>
        <v>381.77231742569023</v>
      </c>
      <c r="G107" s="21">
        <f t="shared" si="13"/>
        <v>5471.3483063436315</v>
      </c>
      <c r="H107" s="21">
        <f t="shared" si="17"/>
        <v>34528.651693656371</v>
      </c>
    </row>
    <row r="108" spans="1:8" x14ac:dyDescent="0.3">
      <c r="A108" s="2">
        <v>46185</v>
      </c>
      <c r="B108" s="23">
        <f t="shared" si="12"/>
        <v>107</v>
      </c>
      <c r="C108" s="3"/>
      <c r="D108" s="4">
        <f t="shared" si="15"/>
        <v>400</v>
      </c>
      <c r="E108" s="4">
        <f t="shared" si="16"/>
        <v>17.038774115899656</v>
      </c>
      <c r="F108" s="4">
        <f t="shared" si="14"/>
        <v>382.96122588410037</v>
      </c>
      <c r="G108" s="4">
        <f t="shared" si="13"/>
        <v>5088.3870804595308</v>
      </c>
      <c r="H108" s="4">
        <f t="shared" si="17"/>
        <v>34911.612919540472</v>
      </c>
    </row>
    <row r="109" spans="1:8" x14ac:dyDescent="0.3">
      <c r="A109" s="19">
        <v>46185</v>
      </c>
      <c r="B109" s="24">
        <f t="shared" si="12"/>
        <v>108</v>
      </c>
      <c r="C109" s="20"/>
      <c r="D109" s="21">
        <f t="shared" si="15"/>
        <v>400</v>
      </c>
      <c r="E109" s="21">
        <f t="shared" si="16"/>
        <v>15.846163180232898</v>
      </c>
      <c r="F109" s="21">
        <f t="shared" si="14"/>
        <v>384.15383681976709</v>
      </c>
      <c r="G109" s="21">
        <f t="shared" si="13"/>
        <v>4704.2332436397637</v>
      </c>
      <c r="H109" s="21">
        <f t="shared" si="17"/>
        <v>35295.766756360237</v>
      </c>
    </row>
    <row r="110" spans="1:8" x14ac:dyDescent="0.3">
      <c r="A110" s="2">
        <v>46185</v>
      </c>
      <c r="B110" s="23">
        <f t="shared" si="12"/>
        <v>109</v>
      </c>
      <c r="C110" s="3"/>
      <c r="D110" s="4">
        <f t="shared" si="15"/>
        <v>400</v>
      </c>
      <c r="E110" s="4">
        <f t="shared" si="16"/>
        <v>14.649838237121683</v>
      </c>
      <c r="F110" s="4">
        <f t="shared" si="14"/>
        <v>385.35016176287832</v>
      </c>
      <c r="G110" s="4">
        <f t="shared" si="13"/>
        <v>4318.8830818768856</v>
      </c>
      <c r="H110" s="4">
        <f t="shared" si="17"/>
        <v>35681.116918123116</v>
      </c>
    </row>
    <row r="111" spans="1:8" x14ac:dyDescent="0.3">
      <c r="A111" s="19">
        <v>46185</v>
      </c>
      <c r="B111" s="24">
        <f t="shared" si="12"/>
        <v>110</v>
      </c>
      <c r="C111" s="20"/>
      <c r="D111" s="21">
        <f t="shared" si="15"/>
        <v>400</v>
      </c>
      <c r="E111" s="21">
        <f t="shared" si="16"/>
        <v>13.449787720471081</v>
      </c>
      <c r="F111" s="21">
        <f t="shared" si="14"/>
        <v>386.55021227952892</v>
      </c>
      <c r="G111" s="21">
        <f t="shared" si="13"/>
        <v>3932.3328695973569</v>
      </c>
      <c r="H111" s="21">
        <f t="shared" si="17"/>
        <v>36067.667130402646</v>
      </c>
    </row>
    <row r="112" spans="1:8" x14ac:dyDescent="0.3">
      <c r="A112" s="2">
        <v>46185</v>
      </c>
      <c r="B112" s="23">
        <f t="shared" si="12"/>
        <v>111</v>
      </c>
      <c r="C112" s="3"/>
      <c r="D112" s="4">
        <f t="shared" si="15"/>
        <v>400</v>
      </c>
      <c r="E112" s="4">
        <f t="shared" si="16"/>
        <v>12.246000028167236</v>
      </c>
      <c r="F112" s="4">
        <f t="shared" si="14"/>
        <v>387.75399997183274</v>
      </c>
      <c r="G112" s="4">
        <f t="shared" si="13"/>
        <v>3544.578869625524</v>
      </c>
      <c r="H112" s="4">
        <f t="shared" si="17"/>
        <v>36455.421130374474</v>
      </c>
    </row>
    <row r="113" spans="1:8" x14ac:dyDescent="0.3">
      <c r="A113" s="19">
        <v>46185</v>
      </c>
      <c r="B113" s="24">
        <f t="shared" si="12"/>
        <v>112</v>
      </c>
      <c r="C113" s="20"/>
      <c r="D113" s="21">
        <f t="shared" si="15"/>
        <v>400</v>
      </c>
      <c r="E113" s="21">
        <f t="shared" si="16"/>
        <v>11.038463521965198</v>
      </c>
      <c r="F113" s="21">
        <f t="shared" si="14"/>
        <v>388.96153647803482</v>
      </c>
      <c r="G113" s="21">
        <f t="shared" si="13"/>
        <v>3155.6173331474893</v>
      </c>
      <c r="H113" s="21">
        <f t="shared" si="17"/>
        <v>36844.382666852514</v>
      </c>
    </row>
    <row r="114" spans="1:8" x14ac:dyDescent="0.3">
      <c r="A114" s="2">
        <v>46185</v>
      </c>
      <c r="B114" s="23">
        <f t="shared" si="12"/>
        <v>113</v>
      </c>
      <c r="C114" s="3"/>
      <c r="D114" s="4">
        <f t="shared" si="15"/>
        <v>400</v>
      </c>
      <c r="E114" s="4">
        <f t="shared" si="16"/>
        <v>9.8271665273764093</v>
      </c>
      <c r="F114" s="4">
        <f t="shared" si="14"/>
        <v>390.17283347262361</v>
      </c>
      <c r="G114" s="4">
        <f t="shared" si="13"/>
        <v>2765.4444996748657</v>
      </c>
      <c r="H114" s="4">
        <f t="shared" si="17"/>
        <v>37234.555500325136</v>
      </c>
    </row>
    <row r="115" spans="1:8" x14ac:dyDescent="0.3">
      <c r="A115" s="19">
        <v>46185</v>
      </c>
      <c r="B115" s="24">
        <f t="shared" si="12"/>
        <v>114</v>
      </c>
      <c r="C115" s="20"/>
      <c r="D115" s="21">
        <f t="shared" si="15"/>
        <v>400</v>
      </c>
      <c r="E115" s="21">
        <f t="shared" si="16"/>
        <v>8.6120973335558269</v>
      </c>
      <c r="F115" s="21">
        <f t="shared" si="14"/>
        <v>391.38790266644418</v>
      </c>
      <c r="G115" s="21">
        <f t="shared" si="13"/>
        <v>2374.0565970084217</v>
      </c>
      <c r="H115" s="21">
        <f t="shared" si="17"/>
        <v>37625.943402991579</v>
      </c>
    </row>
    <row r="116" spans="1:8" x14ac:dyDescent="0.3">
      <c r="A116" s="2">
        <v>46185</v>
      </c>
      <c r="B116" s="23">
        <f t="shared" si="12"/>
        <v>115</v>
      </c>
      <c r="C116" s="3"/>
      <c r="D116" s="4">
        <f t="shared" si="15"/>
        <v>400</v>
      </c>
      <c r="E116" s="4">
        <f t="shared" si="16"/>
        <v>7.393244193188707</v>
      </c>
      <c r="F116" s="4">
        <f t="shared" si="14"/>
        <v>392.60675580681129</v>
      </c>
      <c r="G116" s="4">
        <f t="shared" si="13"/>
        <v>1981.4498412016105</v>
      </c>
      <c r="H116" s="4">
        <f t="shared" si="17"/>
        <v>38018.550158798389</v>
      </c>
    </row>
    <row r="117" spans="1:8" x14ac:dyDescent="0.3">
      <c r="A117" s="19">
        <v>46185</v>
      </c>
      <c r="B117" s="24">
        <f t="shared" si="12"/>
        <v>116</v>
      </c>
      <c r="C117" s="20"/>
      <c r="D117" s="21">
        <f t="shared" si="15"/>
        <v>400</v>
      </c>
      <c r="E117" s="21">
        <f t="shared" si="16"/>
        <v>6.1705953223770278</v>
      </c>
      <c r="F117" s="21">
        <f t="shared" si="14"/>
        <v>393.82940467762296</v>
      </c>
      <c r="G117" s="21">
        <f t="shared" si="13"/>
        <v>1587.6204365239876</v>
      </c>
      <c r="H117" s="21">
        <f t="shared" si="17"/>
        <v>38412.37956347601</v>
      </c>
    </row>
    <row r="118" spans="1:8" x14ac:dyDescent="0.3">
      <c r="A118" s="2">
        <v>46185</v>
      </c>
      <c r="B118" s="23">
        <f t="shared" si="12"/>
        <v>117</v>
      </c>
      <c r="C118" s="3"/>
      <c r="D118" s="4">
        <f t="shared" si="15"/>
        <v>400</v>
      </c>
      <c r="E118" s="4">
        <f t="shared" si="16"/>
        <v>4.9441389005255685</v>
      </c>
      <c r="F118" s="4">
        <f t="shared" si="14"/>
        <v>395.05586109947444</v>
      </c>
      <c r="G118" s="4">
        <f t="shared" si="13"/>
        <v>1192.5645754245131</v>
      </c>
      <c r="H118" s="4">
        <f t="shared" si="17"/>
        <v>38807.435424575488</v>
      </c>
    </row>
    <row r="119" spans="1:8" x14ac:dyDescent="0.3">
      <c r="A119" s="19">
        <v>46185</v>
      </c>
      <c r="B119" s="24">
        <f t="shared" si="12"/>
        <v>118</v>
      </c>
      <c r="C119" s="20"/>
      <c r="D119" s="21">
        <f t="shared" si="15"/>
        <v>400</v>
      </c>
      <c r="E119" s="21">
        <f t="shared" si="16"/>
        <v>3.7138630702276219</v>
      </c>
      <c r="F119" s="21">
        <f t="shared" si="14"/>
        <v>396.2861369297724</v>
      </c>
      <c r="G119" s="21">
        <f t="shared" si="13"/>
        <v>796.27843849474073</v>
      </c>
      <c r="H119" s="21">
        <f t="shared" si="17"/>
        <v>39203.721561505263</v>
      </c>
    </row>
    <row r="120" spans="1:8" x14ac:dyDescent="0.3">
      <c r="A120" s="2">
        <v>46185</v>
      </c>
      <c r="B120" s="23">
        <f t="shared" si="12"/>
        <v>119</v>
      </c>
      <c r="C120" s="3"/>
      <c r="D120" s="4">
        <f t="shared" si="15"/>
        <v>400</v>
      </c>
      <c r="E120" s="4">
        <f t="shared" si="16"/>
        <v>2.4797559371503599</v>
      </c>
      <c r="F120" s="4">
        <f t="shared" si="14"/>
        <v>397.52024406284966</v>
      </c>
      <c r="G120" s="4">
        <f t="shared" si="13"/>
        <v>398.75819443189107</v>
      </c>
      <c r="H120" s="4">
        <f t="shared" si="17"/>
        <v>39601.241805568112</v>
      </c>
    </row>
    <row r="121" spans="1:8" x14ac:dyDescent="0.3">
      <c r="A121" s="19">
        <v>46185</v>
      </c>
      <c r="B121" s="24">
        <f t="shared" si="12"/>
        <v>120</v>
      </c>
      <c r="C121" s="20"/>
      <c r="D121" s="21">
        <f t="shared" si="15"/>
        <v>400</v>
      </c>
      <c r="E121" s="21">
        <f t="shared" si="16"/>
        <v>1.2418055699198371</v>
      </c>
      <c r="F121" s="21">
        <f t="shared" si="14"/>
        <v>398.75819443008015</v>
      </c>
      <c r="G121" s="21">
        <f t="shared" si="13"/>
        <v>1.8109176380676217E-9</v>
      </c>
      <c r="H121" s="21">
        <f t="shared" si="17"/>
        <v>39999.999999998188</v>
      </c>
    </row>
  </sheetData>
  <sheetProtection algorithmName="SHA-512" hashValue="j04UVX3sKlzX7EBVMKfFKbnW87uWPnnbq+5ZePfbm+TCPIovWHToPOXGU9S4p6wHDVr3JjM3cWyq2LFa8x2u/w==" saltValue="kxBdFq/fuO2uTkj1db5F3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opLeftCell="A77" workbookViewId="0">
      <selection activeCell="A94" sqref="A1:XFD1048576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46190</v>
      </c>
      <c r="B2" s="23">
        <f>IF(A2&lt;&gt;"",1,"")</f>
        <v>1</v>
      </c>
      <c r="C2" s="3"/>
      <c r="D2" s="4">
        <f t="shared" ref="D2:D65" si="0">IF(AND($A2&lt;&gt;"",$B2&lt;&gt;""),$K$9,"")</f>
        <v>400</v>
      </c>
      <c r="E2" s="4">
        <f>IF(AND($A2&lt;&gt;"",$B2&lt;&gt;""),$K$7*$K$8,"")</f>
        <v>124.56727784004856</v>
      </c>
      <c r="F2" s="4">
        <f>IF(AND($A2&lt;&gt;"",$B2&lt;&gt;""),D2-E2,"")</f>
        <v>275.43272215995142</v>
      </c>
      <c r="G2" s="4">
        <f>IF(AND($A2&lt;&gt;"",$B2&lt;&gt;""),$K$7-F2,"")</f>
        <v>39724.567277840048</v>
      </c>
      <c r="H2" s="4">
        <f>IF(AND($A2&lt;&gt;"",$B2&lt;&gt;""),$K$7-G2,"")</f>
        <v>275.43272215995239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L40000D120-Kamala-N188</v>
      </c>
    </row>
    <row r="3" spans="1:12" x14ac:dyDescent="0.3">
      <c r="A3" s="19">
        <v>46190</v>
      </c>
      <c r="B3" s="24">
        <f>IF(A3&lt;&gt;"",B2+1,"")</f>
        <v>2</v>
      </c>
      <c r="C3" s="20"/>
      <c r="D3" s="21">
        <f t="shared" si="0"/>
        <v>400</v>
      </c>
      <c r="E3" s="21">
        <f t="shared" ref="E3:E66" si="1">IF(AND($A3&lt;&gt;"",$B3&lt;&gt;""),G2*$K$8,"")</f>
        <v>123.70953022936007</v>
      </c>
      <c r="F3" s="21">
        <f>IF(AND($A3&lt;&gt;"",$B3&lt;&gt;""),D3-E3,"")</f>
        <v>276.2904697706399</v>
      </c>
      <c r="G3" s="21">
        <f>IF(AND($A3&lt;&gt;"",$B3&lt;&gt;""),G2-F3,"")</f>
        <v>39448.276808069408</v>
      </c>
      <c r="H3" s="21">
        <f t="shared" ref="H3:H66" si="2">IF(AND($A3&lt;&gt;"",$B3&lt;&gt;""),$K$7-G3,"")</f>
        <v>551.72319193059229</v>
      </c>
      <c r="J3" s="5" t="s">
        <v>10</v>
      </c>
      <c r="K3" s="27" t="s">
        <v>21</v>
      </c>
    </row>
    <row r="4" spans="1:12" x14ac:dyDescent="0.3">
      <c r="A4" s="2">
        <v>46190</v>
      </c>
      <c r="B4" s="23">
        <f t="shared" ref="B4:B67" si="3">IF(A4&lt;&gt;"",B3+1,"")</f>
        <v>3</v>
      </c>
      <c r="C4" s="3"/>
      <c r="D4" s="4">
        <f t="shared" si="0"/>
        <v>400</v>
      </c>
      <c r="E4" s="4">
        <f t="shared" si="1"/>
        <v>122.84911143654816</v>
      </c>
      <c r="F4" s="4">
        <f>IF(AND($A4&lt;&gt;"",$B4&lt;&gt;""),D4-E4,"")</f>
        <v>277.15088856345187</v>
      </c>
      <c r="G4" s="4">
        <f>IF(AND($A4&lt;&gt;"",$B4&lt;&gt;""),G3-F4,"")</f>
        <v>39171.125919505954</v>
      </c>
      <c r="H4" s="4">
        <f t="shared" si="2"/>
        <v>828.87408049404621</v>
      </c>
      <c r="J4" s="5" t="s">
        <v>11</v>
      </c>
      <c r="K4" s="27"/>
    </row>
    <row r="5" spans="1:12" x14ac:dyDescent="0.3">
      <c r="A5" s="19">
        <v>46190</v>
      </c>
      <c r="B5" s="24">
        <f t="shared" si="3"/>
        <v>4</v>
      </c>
      <c r="C5" s="20"/>
      <c r="D5" s="21">
        <f t="shared" si="0"/>
        <v>400</v>
      </c>
      <c r="E5" s="21">
        <f t="shared" si="1"/>
        <v>121.98601314306565</v>
      </c>
      <c r="F5" s="21">
        <f>IF(AND($A5&lt;&gt;"",$B5&lt;&gt;""),D5-E5,"")</f>
        <v>278.01398685693437</v>
      </c>
      <c r="G5" s="21">
        <f>IF(AND($A5&lt;&gt;"",$B5&lt;&gt;""),G4-F5,"")</f>
        <v>38893.111932649022</v>
      </c>
      <c r="H5" s="21">
        <f t="shared" si="2"/>
        <v>1106.8880673509775</v>
      </c>
      <c r="J5" s="5" t="s">
        <v>12</v>
      </c>
      <c r="K5" s="27"/>
    </row>
    <row r="6" spans="1:12" x14ac:dyDescent="0.3">
      <c r="A6" s="2">
        <v>46190</v>
      </c>
      <c r="B6" s="23">
        <f t="shared" si="3"/>
        <v>5</v>
      </c>
      <c r="C6" s="3"/>
      <c r="D6" s="4">
        <f t="shared" si="0"/>
        <v>400</v>
      </c>
      <c r="E6" s="4">
        <f t="shared" si="1"/>
        <v>121.12022700445998</v>
      </c>
      <c r="F6" s="4">
        <f>IF(AND($A6&lt;&gt;"",$B6&lt;&gt;""),D6-E6,"")</f>
        <v>278.87977299554001</v>
      </c>
      <c r="G6" s="4">
        <f t="shared" ref="G6:G69" si="4">IF(AND($A6&lt;&gt;"",$B6&lt;&gt;""),G5-F6,"")</f>
        <v>38614.232159653482</v>
      </c>
      <c r="H6" s="4">
        <f t="shared" si="2"/>
        <v>1385.7678403465179</v>
      </c>
      <c r="J6" s="5" t="s">
        <v>13</v>
      </c>
      <c r="K6" s="27"/>
    </row>
    <row r="7" spans="1:12" x14ac:dyDescent="0.3">
      <c r="A7" s="19">
        <v>46196</v>
      </c>
      <c r="B7" s="24">
        <f t="shared" si="3"/>
        <v>6</v>
      </c>
      <c r="C7" s="20"/>
      <c r="D7" s="21">
        <f t="shared" si="0"/>
        <v>400</v>
      </c>
      <c r="E7" s="21">
        <f t="shared" si="1"/>
        <v>120.25174465029235</v>
      </c>
      <c r="F7" s="21">
        <f t="shared" ref="F7:F70" si="5">IF(AND($A7&lt;&gt;"",$B7&lt;&gt;""),D7-E7,"")</f>
        <v>279.74825534970762</v>
      </c>
      <c r="G7" s="21">
        <f t="shared" si="4"/>
        <v>38334.483904303772</v>
      </c>
      <c r="H7" s="21">
        <f t="shared" si="2"/>
        <v>1665.5160956962281</v>
      </c>
      <c r="J7" s="5" t="s">
        <v>7</v>
      </c>
      <c r="K7" s="28">
        <v>40000</v>
      </c>
    </row>
    <row r="8" spans="1:12" x14ac:dyDescent="0.3">
      <c r="A8" s="2">
        <v>46196</v>
      </c>
      <c r="B8" s="23">
        <f t="shared" si="3"/>
        <v>7</v>
      </c>
      <c r="C8" s="3"/>
      <c r="D8" s="4">
        <f t="shared" si="0"/>
        <v>400</v>
      </c>
      <c r="E8" s="4">
        <f t="shared" si="1"/>
        <v>119.38055768405694</v>
      </c>
      <c r="F8" s="4">
        <f t="shared" si="5"/>
        <v>280.61944231594305</v>
      </c>
      <c r="G8" s="4">
        <f t="shared" si="4"/>
        <v>38053.864461987832</v>
      </c>
      <c r="H8" s="4">
        <f t="shared" si="2"/>
        <v>1946.1355380121677</v>
      </c>
      <c r="J8" s="5" t="s">
        <v>14</v>
      </c>
      <c r="K8" s="29">
        <f>RATE(K10,-K9,K7)</f>
        <v>3.1141819460012141E-3</v>
      </c>
    </row>
    <row r="9" spans="1:12" x14ac:dyDescent="0.3">
      <c r="A9" s="19">
        <v>46196</v>
      </c>
      <c r="B9" s="24">
        <f t="shared" si="3"/>
        <v>8</v>
      </c>
      <c r="C9" s="20"/>
      <c r="D9" s="21">
        <f t="shared" si="0"/>
        <v>400</v>
      </c>
      <c r="E9" s="21">
        <f t="shared" si="1"/>
        <v>118.50665768309972</v>
      </c>
      <c r="F9" s="21">
        <f t="shared" si="5"/>
        <v>281.49334231690028</v>
      </c>
      <c r="G9" s="21">
        <f t="shared" si="4"/>
        <v>37772.371119670934</v>
      </c>
      <c r="H9" s="21">
        <f t="shared" si="2"/>
        <v>2227.6288803290663</v>
      </c>
      <c r="J9" s="5" t="s">
        <v>8</v>
      </c>
      <c r="K9" s="30">
        <v>400</v>
      </c>
    </row>
    <row r="10" spans="1:12" x14ac:dyDescent="0.3">
      <c r="A10" s="2">
        <v>46196</v>
      </c>
      <c r="B10" s="23">
        <f t="shared" si="3"/>
        <v>9</v>
      </c>
      <c r="C10" s="3"/>
      <c r="D10" s="4">
        <f t="shared" si="0"/>
        <v>400</v>
      </c>
      <c r="E10" s="4">
        <f t="shared" si="1"/>
        <v>117.63003619853689</v>
      </c>
      <c r="F10" s="4">
        <f t="shared" si="5"/>
        <v>282.36996380146309</v>
      </c>
      <c r="G10" s="4">
        <f t="shared" si="4"/>
        <v>37490.001155869468</v>
      </c>
      <c r="H10" s="4">
        <f t="shared" si="2"/>
        <v>2509.9988441305322</v>
      </c>
      <c r="J10" s="5" t="s">
        <v>15</v>
      </c>
      <c r="K10" s="31">
        <v>120</v>
      </c>
    </row>
    <row r="11" spans="1:12" ht="17.25" thickBot="1" x14ac:dyDescent="0.35">
      <c r="A11" s="19">
        <v>46196</v>
      </c>
      <c r="B11" s="24">
        <f t="shared" si="3"/>
        <v>10</v>
      </c>
      <c r="C11" s="20"/>
      <c r="D11" s="21">
        <f t="shared" si="0"/>
        <v>400</v>
      </c>
      <c r="E11" s="21">
        <f t="shared" si="1"/>
        <v>116.75068475517335</v>
      </c>
      <c r="F11" s="21">
        <f t="shared" si="5"/>
        <v>283.24931524482668</v>
      </c>
      <c r="G11" s="21">
        <f t="shared" si="4"/>
        <v>37206.751840624638</v>
      </c>
      <c r="H11" s="21">
        <f t="shared" si="2"/>
        <v>2793.2481593753619</v>
      </c>
      <c r="J11" s="8"/>
      <c r="L11" s="22"/>
    </row>
    <row r="12" spans="1:12" x14ac:dyDescent="0.3">
      <c r="A12" s="2">
        <v>46196</v>
      </c>
      <c r="B12" s="23">
        <f t="shared" si="3"/>
        <v>11</v>
      </c>
      <c r="C12" s="3"/>
      <c r="D12" s="4">
        <f t="shared" si="0"/>
        <v>400</v>
      </c>
      <c r="E12" s="4">
        <f t="shared" si="1"/>
        <v>115.8685948514207</v>
      </c>
      <c r="F12" s="4">
        <f t="shared" si="5"/>
        <v>284.13140514857929</v>
      </c>
      <c r="G12" s="4">
        <f t="shared" si="4"/>
        <v>36922.620435476056</v>
      </c>
      <c r="H12" s="4">
        <f t="shared" si="2"/>
        <v>3077.3795645239443</v>
      </c>
      <c r="J12" s="9" t="s">
        <v>16</v>
      </c>
      <c r="K12" s="10">
        <f>IFERROR(MAX($B:$B),"")</f>
        <v>120</v>
      </c>
    </row>
    <row r="13" spans="1:12" x14ac:dyDescent="0.3">
      <c r="A13" s="19">
        <v>46202</v>
      </c>
      <c r="B13" s="24">
        <f t="shared" si="3"/>
        <v>12</v>
      </c>
      <c r="C13" s="20"/>
      <c r="D13" s="21">
        <f t="shared" si="0"/>
        <v>400</v>
      </c>
      <c r="E13" s="21">
        <f t="shared" si="1"/>
        <v>114.98375795921503</v>
      </c>
      <c r="F13" s="21">
        <f t="shared" si="5"/>
        <v>285.01624204078496</v>
      </c>
      <c r="G13" s="21">
        <f t="shared" si="4"/>
        <v>36637.604193435269</v>
      </c>
      <c r="H13" s="21">
        <f t="shared" si="2"/>
        <v>3362.3958065647312</v>
      </c>
      <c r="J13" s="25" t="s">
        <v>22</v>
      </c>
      <c r="K13" s="12">
        <f>(K10*K9)-K9*K12</f>
        <v>0</v>
      </c>
    </row>
    <row r="14" spans="1:12" x14ac:dyDescent="0.3">
      <c r="A14" s="2">
        <v>46202</v>
      </c>
      <c r="B14" s="23">
        <f t="shared" si="3"/>
        <v>13</v>
      </c>
      <c r="C14" s="3"/>
      <c r="D14" s="4">
        <f t="shared" si="0"/>
        <v>400</v>
      </c>
      <c r="E14" s="4">
        <f t="shared" si="1"/>
        <v>114.09616552393449</v>
      </c>
      <c r="F14" s="4">
        <f t="shared" si="5"/>
        <v>285.90383447606553</v>
      </c>
      <c r="G14" s="4">
        <f t="shared" si="4"/>
        <v>36351.700358959206</v>
      </c>
      <c r="H14" s="4">
        <f t="shared" si="2"/>
        <v>3648.2996410407941</v>
      </c>
      <c r="J14" s="11" t="s">
        <v>23</v>
      </c>
      <c r="K14" s="12">
        <f>IF(A2="", K9*K10, IFERROR(INDEX($G:$G, MATCH($K$12, $B:$B, 0)), 0))</f>
        <v>1.8109176380676217E-9</v>
      </c>
    </row>
    <row r="15" spans="1:12" ht="17.25" thickBot="1" x14ac:dyDescent="0.35">
      <c r="A15" s="19">
        <v>46202</v>
      </c>
      <c r="B15" s="24">
        <f t="shared" si="3"/>
        <v>14</v>
      </c>
      <c r="C15" s="20"/>
      <c r="D15" s="21">
        <f t="shared" si="0"/>
        <v>400</v>
      </c>
      <c r="E15" s="21">
        <f t="shared" si="1"/>
        <v>113.20580896431662</v>
      </c>
      <c r="F15" s="21">
        <f t="shared" si="5"/>
        <v>286.79419103568341</v>
      </c>
      <c r="G15" s="21">
        <f t="shared" si="4"/>
        <v>36064.906167923524</v>
      </c>
      <c r="H15" s="21">
        <f t="shared" si="2"/>
        <v>3935.0938320764762</v>
      </c>
      <c r="J15" s="13" t="s">
        <v>6</v>
      </c>
      <c r="K15" s="14">
        <f>IFERROR(INDEX($H:$H, MATCH($K$12, $B:$B, 0)), 0)</f>
        <v>39999.999999998188</v>
      </c>
    </row>
    <row r="16" spans="1:12" x14ac:dyDescent="0.3">
      <c r="A16" s="2">
        <v>46202</v>
      </c>
      <c r="B16" s="23">
        <f t="shared" si="3"/>
        <v>15</v>
      </c>
      <c r="C16" s="3"/>
      <c r="D16" s="4">
        <f t="shared" si="0"/>
        <v>400</v>
      </c>
      <c r="E16" s="4">
        <f t="shared" si="1"/>
        <v>112.31267967237527</v>
      </c>
      <c r="F16" s="4">
        <f t="shared" si="5"/>
        <v>287.68732032762472</v>
      </c>
      <c r="G16" s="4">
        <f t="shared" si="4"/>
        <v>35777.218847595897</v>
      </c>
      <c r="H16" s="4">
        <f t="shared" si="2"/>
        <v>4222.7811524041026</v>
      </c>
      <c r="J16" s="15" t="s">
        <v>18</v>
      </c>
      <c r="K16" s="16">
        <f>IF(A2,A2, "")</f>
        <v>46190</v>
      </c>
    </row>
    <row r="17" spans="1:11" x14ac:dyDescent="0.3">
      <c r="A17" s="19">
        <v>46202</v>
      </c>
      <c r="B17" s="24">
        <f t="shared" si="3"/>
        <v>16</v>
      </c>
      <c r="C17" s="20"/>
      <c r="D17" s="21">
        <f t="shared" si="0"/>
        <v>400</v>
      </c>
      <c r="E17" s="21">
        <f t="shared" si="1"/>
        <v>111.41676901331751</v>
      </c>
      <c r="F17" s="21">
        <f t="shared" si="5"/>
        <v>288.58323098668251</v>
      </c>
      <c r="G17" s="21">
        <f t="shared" si="4"/>
        <v>35488.635616609216</v>
      </c>
      <c r="H17" s="21">
        <f t="shared" si="2"/>
        <v>4511.3643833907845</v>
      </c>
      <c r="J17" s="17" t="s">
        <v>19</v>
      </c>
      <c r="K17" s="18">
        <f xml:space="preserve"> IF(A2,(K16 + 120),"")</f>
        <v>46310</v>
      </c>
    </row>
    <row r="18" spans="1:11" x14ac:dyDescent="0.3">
      <c r="A18" s="2">
        <v>46202</v>
      </c>
      <c r="B18" s="23">
        <f t="shared" si="3"/>
        <v>17</v>
      </c>
      <c r="C18" s="3"/>
      <c r="D18" s="4">
        <f t="shared" si="0"/>
        <v>400</v>
      </c>
      <c r="E18" s="4">
        <f t="shared" si="1"/>
        <v>110.51806832546009</v>
      </c>
      <c r="F18" s="4">
        <f t="shared" si="5"/>
        <v>289.48193167453991</v>
      </c>
      <c r="G18" s="4">
        <f t="shared" si="4"/>
        <v>35199.153684934674</v>
      </c>
      <c r="H18" s="4">
        <f t="shared" si="2"/>
        <v>4800.8463150653261</v>
      </c>
    </row>
    <row r="19" spans="1:11" x14ac:dyDescent="0.3">
      <c r="A19" s="19">
        <v>46208</v>
      </c>
      <c r="B19" s="24">
        <f t="shared" si="3"/>
        <v>18</v>
      </c>
      <c r="C19" s="20"/>
      <c r="D19" s="21">
        <f t="shared" si="0"/>
        <v>400</v>
      </c>
      <c r="E19" s="21">
        <f t="shared" si="1"/>
        <v>109.61656892014567</v>
      </c>
      <c r="F19" s="21">
        <f t="shared" si="5"/>
        <v>290.38343107985435</v>
      </c>
      <c r="G19" s="21">
        <f t="shared" si="4"/>
        <v>34908.770253854818</v>
      </c>
      <c r="H19" s="21">
        <f t="shared" si="2"/>
        <v>5091.2297461451817</v>
      </c>
    </row>
    <row r="20" spans="1:11" x14ac:dyDescent="0.3">
      <c r="A20" s="2">
        <v>46208</v>
      </c>
      <c r="B20" s="23">
        <f t="shared" si="3"/>
        <v>19</v>
      </c>
      <c r="C20" s="3"/>
      <c r="D20" s="4">
        <f t="shared" si="0"/>
        <v>400</v>
      </c>
      <c r="E20" s="4">
        <f t="shared" si="1"/>
        <v>108.71226208165889</v>
      </c>
      <c r="F20" s="4">
        <f t="shared" si="5"/>
        <v>291.28773791834112</v>
      </c>
      <c r="G20" s="4">
        <f t="shared" si="4"/>
        <v>34617.482515936477</v>
      </c>
      <c r="H20" s="4">
        <f t="shared" si="2"/>
        <v>5382.5174840635227</v>
      </c>
      <c r="J20" s="22"/>
      <c r="K20" s="22"/>
    </row>
    <row r="21" spans="1:11" x14ac:dyDescent="0.3">
      <c r="A21" s="19">
        <v>46208</v>
      </c>
      <c r="B21" s="24">
        <f t="shared" si="3"/>
        <v>20</v>
      </c>
      <c r="C21" s="20"/>
      <c r="D21" s="21">
        <f t="shared" si="0"/>
        <v>400</v>
      </c>
      <c r="E21" s="21">
        <f t="shared" si="1"/>
        <v>107.80513906714206</v>
      </c>
      <c r="F21" s="21">
        <f t="shared" si="5"/>
        <v>292.19486093285792</v>
      </c>
      <c r="G21" s="21">
        <f t="shared" si="4"/>
        <v>34325.287655003616</v>
      </c>
      <c r="H21" s="21">
        <f t="shared" si="2"/>
        <v>5674.7123449963838</v>
      </c>
    </row>
    <row r="22" spans="1:11" x14ac:dyDescent="0.3">
      <c r="A22" s="2">
        <v>46208</v>
      </c>
      <c r="B22" s="23">
        <f t="shared" si="3"/>
        <v>21</v>
      </c>
      <c r="C22" s="3"/>
      <c r="D22" s="4">
        <f t="shared" si="0"/>
        <v>400</v>
      </c>
      <c r="E22" s="4">
        <f t="shared" si="1"/>
        <v>106.89519110651061</v>
      </c>
      <c r="F22" s="4">
        <f t="shared" si="5"/>
        <v>293.10480889348941</v>
      </c>
      <c r="G22" s="4">
        <f t="shared" si="4"/>
        <v>34032.182846110125</v>
      </c>
      <c r="H22" s="4">
        <f t="shared" si="2"/>
        <v>5967.817153889875</v>
      </c>
    </row>
    <row r="23" spans="1:11" x14ac:dyDescent="0.3">
      <c r="A23" s="19">
        <v>46208</v>
      </c>
      <c r="B23" s="24">
        <f t="shared" si="3"/>
        <v>22</v>
      </c>
      <c r="C23" s="20"/>
      <c r="D23" s="21">
        <f t="shared" si="0"/>
        <v>400</v>
      </c>
      <c r="E23" s="21">
        <f t="shared" si="1"/>
        <v>105.98240940236836</v>
      </c>
      <c r="F23" s="21">
        <f t="shared" si="5"/>
        <v>294.01759059763162</v>
      </c>
      <c r="G23" s="21">
        <f t="shared" si="4"/>
        <v>33738.165255512497</v>
      </c>
      <c r="H23" s="21">
        <f t="shared" si="2"/>
        <v>6261.8347444875035</v>
      </c>
    </row>
    <row r="24" spans="1:11" x14ac:dyDescent="0.3">
      <c r="A24" s="2">
        <v>46208</v>
      </c>
      <c r="B24" s="23">
        <f t="shared" si="3"/>
        <v>23</v>
      </c>
      <c r="C24" s="3"/>
      <c r="D24" s="4">
        <f t="shared" si="0"/>
        <v>400</v>
      </c>
      <c r="E24" s="4">
        <f t="shared" si="1"/>
        <v>105.06678512992245</v>
      </c>
      <c r="F24" s="4">
        <f t="shared" si="5"/>
        <v>294.93321487007756</v>
      </c>
      <c r="G24" s="4">
        <f t="shared" si="4"/>
        <v>33443.232040642419</v>
      </c>
      <c r="H24" s="4">
        <f t="shared" si="2"/>
        <v>6556.7679593575813</v>
      </c>
    </row>
    <row r="25" spans="1:11" x14ac:dyDescent="0.3">
      <c r="A25" s="19">
        <v>46214</v>
      </c>
      <c r="B25" s="24">
        <f t="shared" si="3"/>
        <v>24</v>
      </c>
      <c r="C25" s="20"/>
      <c r="D25" s="21">
        <f t="shared" si="0"/>
        <v>400</v>
      </c>
      <c r="E25" s="21">
        <f t="shared" si="1"/>
        <v>104.14830943689796</v>
      </c>
      <c r="F25" s="21">
        <f t="shared" si="5"/>
        <v>295.85169056310201</v>
      </c>
      <c r="G25" s="21">
        <f t="shared" si="4"/>
        <v>33147.380350079315</v>
      </c>
      <c r="H25" s="21">
        <f t="shared" si="2"/>
        <v>6852.6196499206853</v>
      </c>
    </row>
    <row r="26" spans="1:11" x14ac:dyDescent="0.3">
      <c r="A26" s="2">
        <v>46214</v>
      </c>
      <c r="B26" s="23">
        <f t="shared" si="3"/>
        <v>25</v>
      </c>
      <c r="C26" s="3"/>
      <c r="D26" s="4">
        <f t="shared" si="0"/>
        <v>400</v>
      </c>
      <c r="E26" s="4">
        <f t="shared" si="1"/>
        <v>103.22697344345241</v>
      </c>
      <c r="F26" s="4">
        <f t="shared" si="5"/>
        <v>296.77302655654762</v>
      </c>
      <c r="G26" s="4">
        <f t="shared" si="4"/>
        <v>32850.607323522767</v>
      </c>
      <c r="H26" s="4">
        <f t="shared" si="2"/>
        <v>7149.3926764772332</v>
      </c>
    </row>
    <row r="27" spans="1:11" x14ac:dyDescent="0.3">
      <c r="A27" s="19">
        <v>46214</v>
      </c>
      <c r="B27" s="24">
        <f t="shared" si="3"/>
        <v>26</v>
      </c>
      <c r="C27" s="20"/>
      <c r="D27" s="21">
        <f t="shared" si="0"/>
        <v>400</v>
      </c>
      <c r="E27" s="21">
        <f t="shared" si="1"/>
        <v>102.30276824208987</v>
      </c>
      <c r="F27" s="21">
        <f t="shared" si="5"/>
        <v>297.69723175791012</v>
      </c>
      <c r="G27" s="21">
        <f t="shared" si="4"/>
        <v>32552.910091764857</v>
      </c>
      <c r="H27" s="21">
        <f t="shared" si="2"/>
        <v>7447.0899082351425</v>
      </c>
    </row>
    <row r="28" spans="1:11" x14ac:dyDescent="0.3">
      <c r="A28" s="2">
        <v>46214</v>
      </c>
      <c r="B28" s="23">
        <f t="shared" si="3"/>
        <v>27</v>
      </c>
      <c r="C28" s="3"/>
      <c r="D28" s="4">
        <f t="shared" si="0"/>
        <v>400</v>
      </c>
      <c r="E28" s="4">
        <f t="shared" si="1"/>
        <v>101.37568489757484</v>
      </c>
      <c r="F28" s="4">
        <f t="shared" si="5"/>
        <v>298.62431510242516</v>
      </c>
      <c r="G28" s="4">
        <f t="shared" si="4"/>
        <v>32254.285776662433</v>
      </c>
      <c r="H28" s="4">
        <f t="shared" si="2"/>
        <v>7745.7142233375671</v>
      </c>
    </row>
    <row r="29" spans="1:11" x14ac:dyDescent="0.3">
      <c r="A29" s="19">
        <v>46214</v>
      </c>
      <c r="B29" s="24">
        <f t="shared" si="3"/>
        <v>28</v>
      </c>
      <c r="C29" s="20"/>
      <c r="D29" s="21">
        <f t="shared" si="0"/>
        <v>400</v>
      </c>
      <c r="E29" s="21">
        <f t="shared" si="1"/>
        <v>100.4457144468459</v>
      </c>
      <c r="F29" s="21">
        <f t="shared" si="5"/>
        <v>299.5542855531541</v>
      </c>
      <c r="G29" s="21">
        <f t="shared" si="4"/>
        <v>31954.73149110928</v>
      </c>
      <c r="H29" s="21">
        <f t="shared" si="2"/>
        <v>8045.2685088907201</v>
      </c>
    </row>
    <row r="30" spans="1:11" x14ac:dyDescent="0.3">
      <c r="A30" s="2">
        <v>46214</v>
      </c>
      <c r="B30" s="23">
        <f t="shared" si="3"/>
        <v>29</v>
      </c>
      <c r="C30" s="3"/>
      <c r="D30" s="4">
        <f t="shared" si="0"/>
        <v>400</v>
      </c>
      <c r="E30" s="4">
        <f t="shared" si="1"/>
        <v>99.512847898928982</v>
      </c>
      <c r="F30" s="4">
        <f t="shared" si="5"/>
        <v>300.48715210107105</v>
      </c>
      <c r="G30" s="4">
        <f t="shared" si="4"/>
        <v>31654.244339008208</v>
      </c>
      <c r="H30" s="4">
        <f t="shared" si="2"/>
        <v>8345.755660991792</v>
      </c>
    </row>
    <row r="31" spans="1:11" x14ac:dyDescent="0.3">
      <c r="A31" s="19">
        <v>46222</v>
      </c>
      <c r="B31" s="24">
        <f t="shared" si="3"/>
        <v>30</v>
      </c>
      <c r="C31" s="20"/>
      <c r="D31" s="21">
        <f t="shared" si="0"/>
        <v>400</v>
      </c>
      <c r="E31" s="21">
        <f t="shared" si="1"/>
        <v>98.577076234850495</v>
      </c>
      <c r="F31" s="21">
        <f t="shared" si="5"/>
        <v>301.42292376514951</v>
      </c>
      <c r="G31" s="21">
        <f t="shared" si="4"/>
        <v>31352.821415243059</v>
      </c>
      <c r="H31" s="21">
        <f t="shared" si="2"/>
        <v>8647.1785847569408</v>
      </c>
    </row>
    <row r="32" spans="1:11" x14ac:dyDescent="0.3">
      <c r="A32" s="2">
        <v>46222</v>
      </c>
      <c r="B32" s="23">
        <f t="shared" si="3"/>
        <v>31</v>
      </c>
      <c r="C32" s="3"/>
      <c r="D32" s="4">
        <f t="shared" si="0"/>
        <v>400</v>
      </c>
      <c r="E32" s="4">
        <f t="shared" si="1"/>
        <v>97.638390407550176</v>
      </c>
      <c r="F32" s="4">
        <f t="shared" si="5"/>
        <v>302.36160959244984</v>
      </c>
      <c r="G32" s="4">
        <f t="shared" si="4"/>
        <v>31050.459805650611</v>
      </c>
      <c r="H32" s="4">
        <f t="shared" si="2"/>
        <v>8949.5401943493889</v>
      </c>
    </row>
    <row r="33" spans="1:8" x14ac:dyDescent="0.3">
      <c r="A33" s="19">
        <v>46222</v>
      </c>
      <c r="B33" s="24">
        <f t="shared" si="3"/>
        <v>32</v>
      </c>
      <c r="C33" s="20"/>
      <c r="D33" s="21">
        <f t="shared" si="0"/>
        <v>400</v>
      </c>
      <c r="E33" s="21">
        <f t="shared" si="1"/>
        <v>96.696781341793496</v>
      </c>
      <c r="F33" s="21">
        <f t="shared" si="5"/>
        <v>303.3032186582065</v>
      </c>
      <c r="G33" s="21">
        <f t="shared" si="4"/>
        <v>30747.156586992405</v>
      </c>
      <c r="H33" s="21">
        <f t="shared" si="2"/>
        <v>9252.8434130075948</v>
      </c>
    </row>
    <row r="34" spans="1:8" x14ac:dyDescent="0.3">
      <c r="A34" s="2">
        <v>46222</v>
      </c>
      <c r="B34" s="23">
        <f t="shared" si="3"/>
        <v>33</v>
      </c>
      <c r="C34" s="3"/>
      <c r="D34" s="4">
        <f t="shared" si="0"/>
        <v>400</v>
      </c>
      <c r="E34" s="4">
        <f t="shared" si="1"/>
        <v>95.752239934084059</v>
      </c>
      <c r="F34" s="4">
        <f t="shared" si="5"/>
        <v>304.24776006591594</v>
      </c>
      <c r="G34" s="4">
        <f t="shared" si="4"/>
        <v>30442.90882692649</v>
      </c>
      <c r="H34" s="4">
        <f t="shared" si="2"/>
        <v>9557.0911730735097</v>
      </c>
    </row>
    <row r="35" spans="1:8" x14ac:dyDescent="0.3">
      <c r="A35" s="19">
        <v>46222</v>
      </c>
      <c r="B35" s="24">
        <f t="shared" si="3"/>
        <v>34</v>
      </c>
      <c r="C35" s="20"/>
      <c r="D35" s="21">
        <f t="shared" si="0"/>
        <v>400</v>
      </c>
      <c r="E35" s="21">
        <f t="shared" si="1"/>
        <v>94.804757052575482</v>
      </c>
      <c r="F35" s="21">
        <f t="shared" si="5"/>
        <v>305.1952429474245</v>
      </c>
      <c r="G35" s="21">
        <f t="shared" si="4"/>
        <v>30137.713583979064</v>
      </c>
      <c r="H35" s="21">
        <f t="shared" si="2"/>
        <v>9862.2864160209356</v>
      </c>
    </row>
    <row r="36" spans="1:8" x14ac:dyDescent="0.3">
      <c r="A36" s="2">
        <v>46222</v>
      </c>
      <c r="B36" s="23">
        <f t="shared" si="3"/>
        <v>35</v>
      </c>
      <c r="C36" s="3"/>
      <c r="D36" s="4">
        <f t="shared" si="0"/>
        <v>400</v>
      </c>
      <c r="E36" s="4">
        <f t="shared" si="1"/>
        <v>93.854323536983145</v>
      </c>
      <c r="F36" s="4">
        <f t="shared" si="5"/>
        <v>306.14567646301685</v>
      </c>
      <c r="G36" s="4">
        <f t="shared" si="4"/>
        <v>29831.567907516048</v>
      </c>
      <c r="H36" s="4">
        <f t="shared" si="2"/>
        <v>10168.432092483952</v>
      </c>
    </row>
    <row r="37" spans="1:8" x14ac:dyDescent="0.3">
      <c r="A37" s="19">
        <v>46228</v>
      </c>
      <c r="B37" s="24">
        <f t="shared" si="3"/>
        <v>36</v>
      </c>
      <c r="C37" s="20"/>
      <c r="D37" s="21">
        <f t="shared" si="0"/>
        <v>400</v>
      </c>
      <c r="E37" s="21">
        <f t="shared" si="1"/>
        <v>92.900930198495701</v>
      </c>
      <c r="F37" s="21">
        <f t="shared" si="5"/>
        <v>307.0990698015043</v>
      </c>
      <c r="G37" s="21">
        <f t="shared" si="4"/>
        <v>29524.468837714543</v>
      </c>
      <c r="H37" s="21">
        <f t="shared" si="2"/>
        <v>10475.531162285457</v>
      </c>
    </row>
    <row r="38" spans="1:8" x14ac:dyDescent="0.3">
      <c r="A38" s="2">
        <v>46228</v>
      </c>
      <c r="B38" s="23">
        <f t="shared" si="3"/>
        <v>37</v>
      </c>
      <c r="C38" s="3"/>
      <c r="D38" s="4">
        <f t="shared" si="0"/>
        <v>400</v>
      </c>
      <c r="E38" s="4">
        <f t="shared" si="1"/>
        <v>91.944567819686085</v>
      </c>
      <c r="F38" s="4">
        <f t="shared" si="5"/>
        <v>308.05543218031391</v>
      </c>
      <c r="G38" s="4">
        <f t="shared" si="4"/>
        <v>29216.413405534229</v>
      </c>
      <c r="H38" s="4">
        <f t="shared" si="2"/>
        <v>10783.586594465771</v>
      </c>
    </row>
    <row r="39" spans="1:8" x14ac:dyDescent="0.3">
      <c r="A39" s="19">
        <v>46228</v>
      </c>
      <c r="B39" s="24">
        <f t="shared" si="3"/>
        <v>38</v>
      </c>
      <c r="C39" s="20"/>
      <c r="D39" s="21">
        <f t="shared" si="0"/>
        <v>400</v>
      </c>
      <c r="E39" s="21">
        <f t="shared" si="1"/>
        <v>90.985227154422546</v>
      </c>
      <c r="F39" s="21">
        <f t="shared" si="5"/>
        <v>309.01477284557745</v>
      </c>
      <c r="G39" s="21">
        <f t="shared" si="4"/>
        <v>28907.398632688652</v>
      </c>
      <c r="H39" s="21">
        <f t="shared" si="2"/>
        <v>11092.601367311348</v>
      </c>
    </row>
    <row r="40" spans="1:8" x14ac:dyDescent="0.3">
      <c r="A40" s="2">
        <v>46228</v>
      </c>
      <c r="B40" s="23">
        <f t="shared" si="3"/>
        <v>39</v>
      </c>
      <c r="C40" s="3"/>
      <c r="D40" s="4">
        <f t="shared" si="0"/>
        <v>400</v>
      </c>
      <c r="E40" s="4">
        <f t="shared" si="1"/>
        <v>90.022898927779181</v>
      </c>
      <c r="F40" s="4">
        <f t="shared" si="5"/>
        <v>309.97710107222082</v>
      </c>
      <c r="G40" s="4">
        <f t="shared" si="4"/>
        <v>28597.42153161643</v>
      </c>
      <c r="H40" s="4">
        <f t="shared" si="2"/>
        <v>11402.57846838357</v>
      </c>
    </row>
    <row r="41" spans="1:8" x14ac:dyDescent="0.3">
      <c r="A41" s="19">
        <v>46228</v>
      </c>
      <c r="B41" s="24">
        <f t="shared" si="3"/>
        <v>40</v>
      </c>
      <c r="C41" s="20"/>
      <c r="D41" s="21">
        <f t="shared" si="0"/>
        <v>400</v>
      </c>
      <c r="E41" s="21">
        <f t="shared" si="1"/>
        <v>89.057573835946272</v>
      </c>
      <c r="F41" s="21">
        <f t="shared" si="5"/>
        <v>310.9424261640537</v>
      </c>
      <c r="G41" s="21">
        <f t="shared" si="4"/>
        <v>28286.479105452378</v>
      </c>
      <c r="H41" s="21">
        <f t="shared" si="2"/>
        <v>11713.520894547622</v>
      </c>
    </row>
    <row r="42" spans="1:8" x14ac:dyDescent="0.3">
      <c r="A42" s="2">
        <v>46228</v>
      </c>
      <c r="B42" s="23">
        <f t="shared" si="3"/>
        <v>41</v>
      </c>
      <c r="C42" s="3"/>
      <c r="D42" s="4">
        <f t="shared" si="0"/>
        <v>400</v>
      </c>
      <c r="E42" s="4">
        <f t="shared" si="1"/>
        <v>88.089242546140369</v>
      </c>
      <c r="F42" s="4">
        <f t="shared" si="5"/>
        <v>311.91075745385962</v>
      </c>
      <c r="G42" s="4">
        <f t="shared" si="4"/>
        <v>27974.568347998516</v>
      </c>
      <c r="H42" s="4">
        <f t="shared" si="2"/>
        <v>12025.431652001484</v>
      </c>
    </row>
    <row r="43" spans="1:8" x14ac:dyDescent="0.3">
      <c r="A43" s="19">
        <v>46234</v>
      </c>
      <c r="B43" s="24">
        <f t="shared" si="3"/>
        <v>42</v>
      </c>
      <c r="C43" s="20"/>
      <c r="D43" s="21">
        <f t="shared" si="0"/>
        <v>400</v>
      </c>
      <c r="E43" s="21">
        <f t="shared" si="1"/>
        <v>87.117895696513983</v>
      </c>
      <c r="F43" s="21">
        <f t="shared" si="5"/>
        <v>312.88210430348602</v>
      </c>
      <c r="G43" s="21">
        <f t="shared" si="4"/>
        <v>27661.686243695029</v>
      </c>
      <c r="H43" s="21">
        <f t="shared" si="2"/>
        <v>12338.313756304971</v>
      </c>
    </row>
    <row r="44" spans="1:8" x14ac:dyDescent="0.3">
      <c r="A44" s="2">
        <v>46234</v>
      </c>
      <c r="B44" s="23">
        <f t="shared" si="3"/>
        <v>43</v>
      </c>
      <c r="C44" s="3"/>
      <c r="D44" s="4">
        <f t="shared" si="0"/>
        <v>400</v>
      </c>
      <c r="E44" s="4">
        <f t="shared" si="1"/>
        <v>86.143523896065204</v>
      </c>
      <c r="F44" s="4">
        <f t="shared" si="5"/>
        <v>313.85647610393482</v>
      </c>
      <c r="G44" s="4">
        <f t="shared" si="4"/>
        <v>27347.829767591094</v>
      </c>
      <c r="H44" s="4">
        <f t="shared" si="2"/>
        <v>12652.170232408906</v>
      </c>
    </row>
    <row r="45" spans="1:8" x14ac:dyDescent="0.3">
      <c r="A45" s="19">
        <v>46234</v>
      </c>
      <c r="B45" s="24">
        <f t="shared" si="3"/>
        <v>44</v>
      </c>
      <c r="C45" s="20"/>
      <c r="D45" s="21">
        <f t="shared" si="0"/>
        <v>400</v>
      </c>
      <c r="E45" s="21">
        <f t="shared" si="1"/>
        <v>85.166117724546766</v>
      </c>
      <c r="F45" s="21">
        <f t="shared" si="5"/>
        <v>314.83388227545322</v>
      </c>
      <c r="G45" s="21">
        <f t="shared" si="4"/>
        <v>27032.995885315642</v>
      </c>
      <c r="H45" s="21">
        <f t="shared" si="2"/>
        <v>12967.004114684358</v>
      </c>
    </row>
    <row r="46" spans="1:8" x14ac:dyDescent="0.3">
      <c r="A46" s="2">
        <v>46234</v>
      </c>
      <c r="B46" s="23">
        <f t="shared" si="3"/>
        <v>45</v>
      </c>
      <c r="C46" s="3"/>
      <c r="D46" s="4">
        <f t="shared" si="0"/>
        <v>400</v>
      </c>
      <c r="E46" s="4">
        <f t="shared" si="1"/>
        <v>84.18566773237508</v>
      </c>
      <c r="F46" s="4">
        <f t="shared" si="5"/>
        <v>315.81433226762493</v>
      </c>
      <c r="G46" s="4">
        <f t="shared" si="4"/>
        <v>26717.181553048016</v>
      </c>
      <c r="H46" s="4">
        <f t="shared" si="2"/>
        <v>13282.818446951984</v>
      </c>
    </row>
    <row r="47" spans="1:8" x14ac:dyDescent="0.3">
      <c r="A47" s="19">
        <v>46234</v>
      </c>
      <c r="B47" s="24">
        <f t="shared" si="3"/>
        <v>46</v>
      </c>
      <c r="C47" s="20"/>
      <c r="D47" s="21">
        <f t="shared" si="0"/>
        <v>400</v>
      </c>
      <c r="E47" s="21">
        <f t="shared" si="1"/>
        <v>83.202164440538809</v>
      </c>
      <c r="F47" s="21">
        <f t="shared" si="5"/>
        <v>316.79783555946119</v>
      </c>
      <c r="G47" s="21">
        <f t="shared" si="4"/>
        <v>26400.383717488556</v>
      </c>
      <c r="H47" s="21">
        <f t="shared" si="2"/>
        <v>13599.616282511444</v>
      </c>
    </row>
    <row r="48" spans="1:8" x14ac:dyDescent="0.3">
      <c r="A48" s="2">
        <v>46234</v>
      </c>
      <c r="B48" s="23">
        <f t="shared" si="3"/>
        <v>47</v>
      </c>
      <c r="C48" s="3"/>
      <c r="D48" s="4">
        <f t="shared" si="0"/>
        <v>400</v>
      </c>
      <c r="E48" s="4">
        <f t="shared" si="1"/>
        <v>82.215598340507285</v>
      </c>
      <c r="F48" s="4">
        <f t="shared" si="5"/>
        <v>317.78440165949269</v>
      </c>
      <c r="G48" s="4">
        <f t="shared" si="4"/>
        <v>26082.599315829062</v>
      </c>
      <c r="H48" s="4">
        <f t="shared" si="2"/>
        <v>13917.400684170938</v>
      </c>
    </row>
    <row r="49" spans="1:8" x14ac:dyDescent="0.3">
      <c r="A49" s="19">
        <v>46240</v>
      </c>
      <c r="B49" s="24">
        <f t="shared" si="3"/>
        <v>48</v>
      </c>
      <c r="C49" s="20"/>
      <c r="D49" s="21">
        <f t="shared" si="0"/>
        <v>400</v>
      </c>
      <c r="E49" s="21">
        <f t="shared" si="1"/>
        <v>81.225959894138484</v>
      </c>
      <c r="F49" s="21">
        <f t="shared" si="5"/>
        <v>318.7740401058615</v>
      </c>
      <c r="G49" s="21">
        <f t="shared" si="4"/>
        <v>25763.8252757232</v>
      </c>
      <c r="H49" s="21">
        <f t="shared" si="2"/>
        <v>14236.1747242768</v>
      </c>
    </row>
    <row r="50" spans="1:8" x14ac:dyDescent="0.3">
      <c r="A50" s="2">
        <v>46240</v>
      </c>
      <c r="B50" s="23">
        <f t="shared" si="3"/>
        <v>49</v>
      </c>
      <c r="C50" s="3"/>
      <c r="D50" s="4">
        <f t="shared" si="0"/>
        <v>400</v>
      </c>
      <c r="E50" s="4">
        <f t="shared" si="1"/>
        <v>80.233239533586939</v>
      </c>
      <c r="F50" s="4">
        <f t="shared" si="5"/>
        <v>319.76676046641307</v>
      </c>
      <c r="G50" s="4">
        <f t="shared" si="4"/>
        <v>25444.058515256787</v>
      </c>
      <c r="H50" s="4">
        <f t="shared" si="2"/>
        <v>14555.941484743213</v>
      </c>
    </row>
    <row r="51" spans="1:8" x14ac:dyDescent="0.3">
      <c r="A51" s="19">
        <v>46240</v>
      </c>
      <c r="B51" s="24">
        <f t="shared" si="3"/>
        <v>50</v>
      </c>
      <c r="C51" s="20"/>
      <c r="D51" s="21">
        <f t="shared" si="0"/>
        <v>400</v>
      </c>
      <c r="E51" s="21">
        <f t="shared" si="1"/>
        <v>79.237427661211143</v>
      </c>
      <c r="F51" s="21">
        <f t="shared" si="5"/>
        <v>320.76257233878886</v>
      </c>
      <c r="G51" s="21">
        <f t="shared" si="4"/>
        <v>25123.295942917997</v>
      </c>
      <c r="H51" s="21">
        <f t="shared" si="2"/>
        <v>14876.704057082003</v>
      </c>
    </row>
    <row r="52" spans="1:8" x14ac:dyDescent="0.3">
      <c r="A52" s="2">
        <v>46240</v>
      </c>
      <c r="B52" s="23">
        <f t="shared" si="3"/>
        <v>51</v>
      </c>
      <c r="C52" s="3"/>
      <c r="D52" s="4">
        <f t="shared" si="0"/>
        <v>400</v>
      </c>
      <c r="E52" s="4">
        <f t="shared" si="1"/>
        <v>78.238514649480777</v>
      </c>
      <c r="F52" s="4">
        <f t="shared" si="5"/>
        <v>321.76148535051925</v>
      </c>
      <c r="G52" s="4">
        <f t="shared" si="4"/>
        <v>24801.534457567479</v>
      </c>
      <c r="H52" s="4">
        <f t="shared" si="2"/>
        <v>15198.465542432521</v>
      </c>
    </row>
    <row r="53" spans="1:8" x14ac:dyDescent="0.3">
      <c r="A53" s="19">
        <v>46240</v>
      </c>
      <c r="B53" s="24">
        <f t="shared" si="3"/>
        <v>52</v>
      </c>
      <c r="C53" s="20"/>
      <c r="D53" s="21">
        <f t="shared" si="0"/>
        <v>400</v>
      </c>
      <c r="E53" s="21">
        <f t="shared" si="1"/>
        <v>77.236490840883661</v>
      </c>
      <c r="F53" s="21">
        <f t="shared" si="5"/>
        <v>322.76350915911632</v>
      </c>
      <c r="G53" s="21">
        <f t="shared" si="4"/>
        <v>24478.770948408364</v>
      </c>
      <c r="H53" s="21">
        <f t="shared" si="2"/>
        <v>15521.229051591636</v>
      </c>
    </row>
    <row r="54" spans="1:8" x14ac:dyDescent="0.3">
      <c r="A54" s="2">
        <v>46240</v>
      </c>
      <c r="B54" s="23">
        <f t="shared" si="3"/>
        <v>53</v>
      </c>
      <c r="C54" s="3"/>
      <c r="D54" s="4">
        <f t="shared" si="0"/>
        <v>400</v>
      </c>
      <c r="E54" s="4">
        <f t="shared" si="1"/>
        <v>76.231346547832345</v>
      </c>
      <c r="F54" s="4">
        <f t="shared" si="5"/>
        <v>323.76865345216765</v>
      </c>
      <c r="G54" s="4">
        <f t="shared" si="4"/>
        <v>24155.002294956197</v>
      </c>
      <c r="H54" s="4">
        <f t="shared" si="2"/>
        <v>15844.997705043803</v>
      </c>
    </row>
    <row r="55" spans="1:8" x14ac:dyDescent="0.3">
      <c r="A55" s="19">
        <v>46245</v>
      </c>
      <c r="B55" s="24">
        <f t="shared" si="3"/>
        <v>54</v>
      </c>
      <c r="C55" s="20"/>
      <c r="D55" s="21">
        <f t="shared" si="0"/>
        <v>400</v>
      </c>
      <c r="E55" s="21">
        <f t="shared" si="1"/>
        <v>75.223072052570487</v>
      </c>
      <c r="F55" s="21">
        <f t="shared" si="5"/>
        <v>324.7769279474295</v>
      </c>
      <c r="G55" s="21">
        <f t="shared" si="4"/>
        <v>23830.225367008767</v>
      </c>
      <c r="H55" s="21">
        <f t="shared" si="2"/>
        <v>16169.774632991233</v>
      </c>
    </row>
    <row r="56" spans="1:8" x14ac:dyDescent="0.3">
      <c r="A56" s="2">
        <v>46245</v>
      </c>
      <c r="B56" s="23">
        <f t="shared" si="3"/>
        <v>55</v>
      </c>
      <c r="C56" s="3"/>
      <c r="D56" s="4">
        <f t="shared" si="0"/>
        <v>400</v>
      </c>
      <c r="E56" s="4">
        <f t="shared" si="1"/>
        <v>74.211657607078862</v>
      </c>
      <c r="F56" s="4">
        <f t="shared" si="5"/>
        <v>325.78834239292115</v>
      </c>
      <c r="G56" s="4">
        <f t="shared" si="4"/>
        <v>23504.437024615847</v>
      </c>
      <c r="H56" s="4">
        <f t="shared" si="2"/>
        <v>16495.562975384153</v>
      </c>
    </row>
    <row r="57" spans="1:8" x14ac:dyDescent="0.3">
      <c r="A57" s="19">
        <v>46245</v>
      </c>
      <c r="B57" s="24">
        <f t="shared" si="3"/>
        <v>56</v>
      </c>
      <c r="C57" s="20"/>
      <c r="D57" s="21">
        <f t="shared" si="0"/>
        <v>400</v>
      </c>
      <c r="E57" s="21">
        <f t="shared" si="1"/>
        <v>73.197093432981163</v>
      </c>
      <c r="F57" s="21">
        <f t="shared" si="5"/>
        <v>326.80290656701885</v>
      </c>
      <c r="G57" s="21">
        <f t="shared" si="4"/>
        <v>23177.634118048827</v>
      </c>
      <c r="H57" s="21">
        <f t="shared" si="2"/>
        <v>16822.365881951173</v>
      </c>
    </row>
    <row r="58" spans="1:8" x14ac:dyDescent="0.3">
      <c r="A58" s="2">
        <v>46245</v>
      </c>
      <c r="B58" s="23">
        <f t="shared" si="3"/>
        <v>57</v>
      </c>
      <c r="C58" s="3"/>
      <c r="D58" s="4">
        <f t="shared" si="0"/>
        <v>400</v>
      </c>
      <c r="E58" s="4">
        <f t="shared" si="1"/>
        <v>72.179369721449433</v>
      </c>
      <c r="F58" s="4">
        <f t="shared" si="5"/>
        <v>327.82063027855054</v>
      </c>
      <c r="G58" s="4">
        <f t="shared" si="4"/>
        <v>22849.813487770276</v>
      </c>
      <c r="H58" s="4">
        <f t="shared" si="2"/>
        <v>17150.186512229724</v>
      </c>
    </row>
    <row r="59" spans="1:8" x14ac:dyDescent="0.3">
      <c r="A59" s="19">
        <v>46245</v>
      </c>
      <c r="B59" s="24">
        <f t="shared" si="3"/>
        <v>58</v>
      </c>
      <c r="C59" s="20"/>
      <c r="D59" s="21">
        <f t="shared" si="0"/>
        <v>400</v>
      </c>
      <c r="E59" s="21">
        <f t="shared" si="1"/>
        <v>71.158476633109231</v>
      </c>
      <c r="F59" s="21">
        <f t="shared" si="5"/>
        <v>328.84152336689078</v>
      </c>
      <c r="G59" s="21">
        <f t="shared" si="4"/>
        <v>22520.971964403387</v>
      </c>
      <c r="H59" s="21">
        <f t="shared" si="2"/>
        <v>17479.028035596613</v>
      </c>
    </row>
    <row r="60" spans="1:8" x14ac:dyDescent="0.3">
      <c r="A60" s="2">
        <v>46250</v>
      </c>
      <c r="B60" s="23">
        <f t="shared" si="3"/>
        <v>59</v>
      </c>
      <c r="C60" s="3"/>
      <c r="D60" s="4">
        <f t="shared" si="0"/>
        <v>400</v>
      </c>
      <c r="E60" s="4">
        <f t="shared" si="1"/>
        <v>70.134404297944528</v>
      </c>
      <c r="F60" s="4">
        <f t="shared" si="5"/>
        <v>329.86559570205549</v>
      </c>
      <c r="G60" s="4">
        <f t="shared" si="4"/>
        <v>22191.10636870133</v>
      </c>
      <c r="H60" s="4">
        <f t="shared" si="2"/>
        <v>17808.89363129867</v>
      </c>
    </row>
    <row r="61" spans="1:8" x14ac:dyDescent="0.3">
      <c r="A61" s="19">
        <v>46250</v>
      </c>
      <c r="B61" s="24">
        <f t="shared" si="3"/>
        <v>60</v>
      </c>
      <c r="C61" s="20"/>
      <c r="D61" s="21">
        <f t="shared" si="0"/>
        <v>400</v>
      </c>
      <c r="E61" s="21">
        <f t="shared" si="1"/>
        <v>69.107142815202252</v>
      </c>
      <c r="F61" s="21">
        <f t="shared" si="5"/>
        <v>330.89285718479778</v>
      </c>
      <c r="G61" s="21">
        <f t="shared" si="4"/>
        <v>21860.213511516533</v>
      </c>
      <c r="H61" s="21">
        <f t="shared" si="2"/>
        <v>18139.786488483467</v>
      </c>
    </row>
    <row r="62" spans="1:8" x14ac:dyDescent="0.3">
      <c r="A62" s="2">
        <v>46250</v>
      </c>
      <c r="B62" s="23">
        <f t="shared" si="3"/>
        <v>61</v>
      </c>
      <c r="C62" s="3"/>
      <c r="D62" s="4">
        <f t="shared" si="0"/>
        <v>400</v>
      </c>
      <c r="E62" s="4">
        <f t="shared" si="1"/>
        <v>68.076682253296596</v>
      </c>
      <c r="F62" s="4">
        <f t="shared" si="5"/>
        <v>331.92331774670339</v>
      </c>
      <c r="G62" s="4">
        <f t="shared" si="4"/>
        <v>21528.29019376983</v>
      </c>
      <c r="H62" s="4">
        <f t="shared" si="2"/>
        <v>18471.70980623017</v>
      </c>
    </row>
    <row r="63" spans="1:8" x14ac:dyDescent="0.3">
      <c r="A63" s="19">
        <v>46250</v>
      </c>
      <c r="B63" s="24">
        <f t="shared" si="3"/>
        <v>62</v>
      </c>
      <c r="C63" s="20"/>
      <c r="D63" s="21">
        <f t="shared" si="0"/>
        <v>400</v>
      </c>
      <c r="E63" s="21">
        <f t="shared" si="1"/>
        <v>67.043012649712978</v>
      </c>
      <c r="F63" s="21">
        <f t="shared" si="5"/>
        <v>332.95698735028702</v>
      </c>
      <c r="G63" s="21">
        <f t="shared" si="4"/>
        <v>21195.333206419542</v>
      </c>
      <c r="H63" s="21">
        <f t="shared" si="2"/>
        <v>18804.666793580458</v>
      </c>
    </row>
    <row r="64" spans="1:8" x14ac:dyDescent="0.3">
      <c r="A64" s="2">
        <v>46250</v>
      </c>
      <c r="B64" s="23">
        <f t="shared" si="3"/>
        <v>63</v>
      </c>
      <c r="C64" s="3"/>
      <c r="D64" s="4">
        <f t="shared" si="0"/>
        <v>400</v>
      </c>
      <c r="E64" s="4">
        <f t="shared" si="1"/>
        <v>66.006124010911762</v>
      </c>
      <c r="F64" s="4">
        <f t="shared" si="5"/>
        <v>333.99387598908822</v>
      </c>
      <c r="G64" s="4">
        <f t="shared" si="4"/>
        <v>20861.339330430455</v>
      </c>
      <c r="H64" s="4">
        <f t="shared" si="2"/>
        <v>19138.660669569545</v>
      </c>
    </row>
    <row r="65" spans="1:8" x14ac:dyDescent="0.3">
      <c r="A65" s="19">
        <v>46250</v>
      </c>
      <c r="B65" s="24">
        <f t="shared" si="3"/>
        <v>64</v>
      </c>
      <c r="C65" s="20"/>
      <c r="D65" s="21">
        <f t="shared" si="0"/>
        <v>400</v>
      </c>
      <c r="E65" s="21">
        <f t="shared" si="1"/>
        <v>64.966006312231585</v>
      </c>
      <c r="F65" s="21">
        <f t="shared" si="5"/>
        <v>335.03399368776843</v>
      </c>
      <c r="G65" s="21">
        <f t="shared" si="4"/>
        <v>20526.305336742687</v>
      </c>
      <c r="H65" s="21">
        <f t="shared" si="2"/>
        <v>19473.694663257313</v>
      </c>
    </row>
    <row r="66" spans="1:8" x14ac:dyDescent="0.3">
      <c r="A66" s="2">
        <v>46257</v>
      </c>
      <c r="B66" s="23">
        <f t="shared" si="3"/>
        <v>65</v>
      </c>
      <c r="C66" s="3"/>
      <c r="D66" s="4">
        <f t="shared" ref="D66:D121" si="6">IF(AND($A66&lt;&gt;"",$B66&lt;&gt;""),$K$9,"")</f>
        <v>400</v>
      </c>
      <c r="E66" s="4">
        <f t="shared" si="1"/>
        <v>63.922649497792449</v>
      </c>
      <c r="F66" s="4">
        <f t="shared" si="5"/>
        <v>336.07735050220754</v>
      </c>
      <c r="G66" s="4">
        <f t="shared" si="4"/>
        <v>20190.227986240479</v>
      </c>
      <c r="H66" s="4">
        <f t="shared" si="2"/>
        <v>19809.772013759521</v>
      </c>
    </row>
    <row r="67" spans="1:8" x14ac:dyDescent="0.3">
      <c r="A67" s="19">
        <v>46257</v>
      </c>
      <c r="B67" s="24">
        <f t="shared" si="3"/>
        <v>66</v>
      </c>
      <c r="C67" s="20"/>
      <c r="D67" s="21">
        <f t="shared" si="6"/>
        <v>400</v>
      </c>
      <c r="E67" s="21">
        <f t="shared" ref="E67:E121" si="7">IF(AND($A67&lt;&gt;"",$B67&lt;&gt;""),G66*$K$8,"")</f>
        <v>62.87604348039855</v>
      </c>
      <c r="F67" s="21">
        <f t="shared" si="5"/>
        <v>337.12395651960145</v>
      </c>
      <c r="G67" s="21">
        <f t="shared" si="4"/>
        <v>19853.104029720878</v>
      </c>
      <c r="H67" s="21">
        <f t="shared" ref="H67:H121" si="8">IF(AND($A67&lt;&gt;"",$B67&lt;&gt;""),$K$7-G67,"")</f>
        <v>20146.895970279122</v>
      </c>
    </row>
    <row r="68" spans="1:8" x14ac:dyDescent="0.3">
      <c r="A68" s="2">
        <v>46257</v>
      </c>
      <c r="B68" s="23">
        <f t="shared" ref="B68:B121" si="9">IF(A68&lt;&gt;"",B67+1,"")</f>
        <v>67</v>
      </c>
      <c r="C68" s="3"/>
      <c r="D68" s="4">
        <f t="shared" si="6"/>
        <v>400</v>
      </c>
      <c r="E68" s="4">
        <f t="shared" si="7"/>
        <v>61.826178141440714</v>
      </c>
      <c r="F68" s="4">
        <f t="shared" si="5"/>
        <v>338.17382185855928</v>
      </c>
      <c r="G68" s="4">
        <f t="shared" si="4"/>
        <v>19514.930207862319</v>
      </c>
      <c r="H68" s="4">
        <f t="shared" si="8"/>
        <v>20485.069792137681</v>
      </c>
    </row>
    <row r="69" spans="1:8" x14ac:dyDescent="0.3">
      <c r="A69" s="19">
        <v>46257</v>
      </c>
      <c r="B69" s="24">
        <f t="shared" si="9"/>
        <v>68</v>
      </c>
      <c r="C69" s="20"/>
      <c r="D69" s="21">
        <f t="shared" si="6"/>
        <v>400</v>
      </c>
      <c r="E69" s="21">
        <f t="shared" si="7"/>
        <v>60.773043330798551</v>
      </c>
      <c r="F69" s="21">
        <f t="shared" si="5"/>
        <v>339.22695666920146</v>
      </c>
      <c r="G69" s="21">
        <f t="shared" si="4"/>
        <v>19175.703251193117</v>
      </c>
      <c r="H69" s="21">
        <f t="shared" si="8"/>
        <v>20824.296748806883</v>
      </c>
    </row>
    <row r="70" spans="1:8" x14ac:dyDescent="0.3">
      <c r="A70" s="2">
        <v>46257</v>
      </c>
      <c r="B70" s="23">
        <f t="shared" si="9"/>
        <v>69</v>
      </c>
      <c r="C70" s="3"/>
      <c r="D70" s="4">
        <f t="shared" si="6"/>
        <v>400</v>
      </c>
      <c r="E70" s="4">
        <f t="shared" si="7"/>
        <v>59.71662886674239</v>
      </c>
      <c r="F70" s="4">
        <f t="shared" si="5"/>
        <v>340.28337113325762</v>
      </c>
      <c r="G70" s="4">
        <f t="shared" ref="G70:G121" si="10">IF(AND($A70&lt;&gt;"",$B70&lt;&gt;""),G69-F70,"")</f>
        <v>18835.419880059861</v>
      </c>
      <c r="H70" s="4">
        <f t="shared" si="8"/>
        <v>21164.580119940139</v>
      </c>
    </row>
    <row r="71" spans="1:8" x14ac:dyDescent="0.3">
      <c r="A71" s="19">
        <v>46262</v>
      </c>
      <c r="B71" s="24">
        <f t="shared" si="9"/>
        <v>70</v>
      </c>
      <c r="C71" s="20"/>
      <c r="D71" s="21">
        <f t="shared" si="6"/>
        <v>400</v>
      </c>
      <c r="E71" s="21">
        <f t="shared" si="7"/>
        <v>58.656924535834776</v>
      </c>
      <c r="F71" s="21">
        <f t="shared" ref="F71:F121" si="11">IF(AND($A71&lt;&gt;"",$B71&lt;&gt;""),D71-E71,"")</f>
        <v>341.34307546416522</v>
      </c>
      <c r="G71" s="21">
        <f t="shared" si="10"/>
        <v>18494.076804595694</v>
      </c>
      <c r="H71" s="21">
        <f t="shared" si="8"/>
        <v>21505.923195404306</v>
      </c>
    </row>
    <row r="72" spans="1:8" x14ac:dyDescent="0.3">
      <c r="A72" s="2">
        <v>46262</v>
      </c>
      <c r="B72" s="23">
        <f t="shared" si="9"/>
        <v>71</v>
      </c>
      <c r="C72" s="3"/>
      <c r="D72" s="4">
        <f t="shared" si="6"/>
        <v>400</v>
      </c>
      <c r="E72" s="4">
        <f t="shared" si="7"/>
        <v>57.593920092831738</v>
      </c>
      <c r="F72" s="4">
        <f t="shared" si="11"/>
        <v>342.40607990716825</v>
      </c>
      <c r="G72" s="4">
        <f t="shared" si="10"/>
        <v>18151.670724688527</v>
      </c>
      <c r="H72" s="4">
        <f t="shared" si="8"/>
        <v>21848.329275311473</v>
      </c>
    </row>
    <row r="73" spans="1:8" x14ac:dyDescent="0.3">
      <c r="A73" s="19">
        <v>46262</v>
      </c>
      <c r="B73" s="24">
        <f t="shared" si="9"/>
        <v>72</v>
      </c>
      <c r="C73" s="20"/>
      <c r="D73" s="21">
        <f t="shared" si="6"/>
        <v>400</v>
      </c>
      <c r="E73" s="21">
        <f t="shared" si="7"/>
        <v>56.527605260583783</v>
      </c>
      <c r="F73" s="21">
        <f t="shared" si="11"/>
        <v>343.47239473941625</v>
      </c>
      <c r="G73" s="21">
        <f t="shared" si="10"/>
        <v>17808.198329949111</v>
      </c>
      <c r="H73" s="21">
        <f t="shared" si="8"/>
        <v>22191.801670050889</v>
      </c>
    </row>
    <row r="74" spans="1:8" x14ac:dyDescent="0.3">
      <c r="A74" s="2">
        <v>46262</v>
      </c>
      <c r="B74" s="23">
        <f t="shared" si="9"/>
        <v>73</v>
      </c>
      <c r="C74" s="3"/>
      <c r="D74" s="4">
        <f t="shared" si="6"/>
        <v>400</v>
      </c>
      <c r="E74" s="4">
        <f t="shared" si="7"/>
        <v>55.457969729936494</v>
      </c>
      <c r="F74" s="4">
        <f t="shared" si="11"/>
        <v>344.54203027006349</v>
      </c>
      <c r="G74" s="4">
        <f t="shared" si="10"/>
        <v>17463.656299679049</v>
      </c>
      <c r="H74" s="4">
        <f t="shared" si="8"/>
        <v>22536.343700320951</v>
      </c>
    </row>
    <row r="75" spans="1:8" x14ac:dyDescent="0.3">
      <c r="A75" s="19">
        <v>46262</v>
      </c>
      <c r="B75" s="24">
        <f t="shared" si="9"/>
        <v>74</v>
      </c>
      <c r="C75" s="20"/>
      <c r="D75" s="21">
        <f t="shared" si="6"/>
        <v>400</v>
      </c>
      <c r="E75" s="21">
        <f t="shared" si="7"/>
        <v>54.385003159630863</v>
      </c>
      <c r="F75" s="21">
        <f t="shared" si="11"/>
        <v>345.61499684036914</v>
      </c>
      <c r="G75" s="21">
        <f t="shared" si="10"/>
        <v>17118.041302838679</v>
      </c>
      <c r="H75" s="21">
        <f t="shared" si="8"/>
        <v>22881.958697161321</v>
      </c>
    </row>
    <row r="76" spans="1:8" x14ac:dyDescent="0.3">
      <c r="A76" s="2">
        <v>46269</v>
      </c>
      <c r="B76" s="23">
        <f t="shared" si="9"/>
        <v>75</v>
      </c>
      <c r="C76" s="3"/>
      <c r="D76" s="4">
        <f t="shared" si="6"/>
        <v>400</v>
      </c>
      <c r="E76" s="4">
        <f t="shared" si="7"/>
        <v>53.308695176203315</v>
      </c>
      <c r="F76" s="4">
        <f t="shared" si="11"/>
        <v>346.69130482379671</v>
      </c>
      <c r="G76" s="4">
        <f t="shared" si="10"/>
        <v>16771.349998014881</v>
      </c>
      <c r="H76" s="4">
        <f t="shared" si="8"/>
        <v>23228.650001985119</v>
      </c>
    </row>
    <row r="77" spans="1:8" x14ac:dyDescent="0.3">
      <c r="A77" s="19">
        <v>46269</v>
      </c>
      <c r="B77" s="24">
        <f t="shared" si="9"/>
        <v>76</v>
      </c>
      <c r="C77" s="20"/>
      <c r="D77" s="21">
        <f t="shared" si="6"/>
        <v>400</v>
      </c>
      <c r="E77" s="21">
        <f t="shared" si="7"/>
        <v>52.229035373885438</v>
      </c>
      <c r="F77" s="21">
        <f t="shared" si="11"/>
        <v>347.77096462611456</v>
      </c>
      <c r="G77" s="21">
        <f t="shared" si="10"/>
        <v>16423.579033388767</v>
      </c>
      <c r="H77" s="21">
        <f t="shared" si="8"/>
        <v>23576.420966611233</v>
      </c>
    </row>
    <row r="78" spans="1:8" x14ac:dyDescent="0.3">
      <c r="A78" s="2">
        <v>46269</v>
      </c>
      <c r="B78" s="23">
        <f t="shared" si="9"/>
        <v>77</v>
      </c>
      <c r="C78" s="3"/>
      <c r="D78" s="4">
        <f t="shared" si="6"/>
        <v>400</v>
      </c>
      <c r="E78" s="4">
        <f t="shared" si="7"/>
        <v>51.146013314503371</v>
      </c>
      <c r="F78" s="4">
        <f t="shared" si="11"/>
        <v>348.85398668549664</v>
      </c>
      <c r="G78" s="4">
        <f t="shared" si="10"/>
        <v>16074.72504670327</v>
      </c>
      <c r="H78" s="4">
        <f t="shared" si="8"/>
        <v>23925.274953296728</v>
      </c>
    </row>
    <row r="79" spans="1:8" x14ac:dyDescent="0.3">
      <c r="A79" s="19">
        <v>46269</v>
      </c>
      <c r="B79" s="24">
        <f t="shared" si="9"/>
        <v>78</v>
      </c>
      <c r="C79" s="20"/>
      <c r="D79" s="21">
        <f t="shared" si="6"/>
        <v>400</v>
      </c>
      <c r="E79" s="21">
        <f t="shared" si="7"/>
        <v>50.059618527376848</v>
      </c>
      <c r="F79" s="21">
        <f t="shared" si="11"/>
        <v>349.94038147262313</v>
      </c>
      <c r="G79" s="21">
        <f t="shared" si="10"/>
        <v>15724.784665230647</v>
      </c>
      <c r="H79" s="21">
        <f t="shared" si="8"/>
        <v>24275.215334769353</v>
      </c>
    </row>
    <row r="80" spans="1:8" x14ac:dyDescent="0.3">
      <c r="A80" s="2">
        <v>46269</v>
      </c>
      <c r="B80" s="23">
        <f t="shared" si="9"/>
        <v>79</v>
      </c>
      <c r="C80" s="3"/>
      <c r="D80" s="4">
        <f t="shared" si="6"/>
        <v>400</v>
      </c>
      <c r="E80" s="4">
        <f t="shared" si="7"/>
        <v>48.969840509218024</v>
      </c>
      <c r="F80" s="4">
        <f t="shared" si="11"/>
        <v>351.03015949078195</v>
      </c>
      <c r="G80" s="4">
        <f t="shared" si="10"/>
        <v>15373.754505739866</v>
      </c>
      <c r="H80" s="4">
        <f t="shared" si="8"/>
        <v>24626.245494260133</v>
      </c>
    </row>
    <row r="81" spans="1:8" x14ac:dyDescent="0.3">
      <c r="A81" s="19">
        <v>46269</v>
      </c>
      <c r="B81" s="24">
        <f t="shared" si="9"/>
        <v>80</v>
      </c>
      <c r="C81" s="20"/>
      <c r="D81" s="21">
        <f t="shared" si="6"/>
        <v>400</v>
      </c>
      <c r="E81" s="21">
        <f t="shared" si="7"/>
        <v>47.876668724029912</v>
      </c>
      <c r="F81" s="21">
        <f t="shared" si="11"/>
        <v>352.12333127597009</v>
      </c>
      <c r="G81" s="21">
        <f t="shared" si="10"/>
        <v>15021.631174463895</v>
      </c>
      <c r="H81" s="21">
        <f t="shared" si="8"/>
        <v>24978.368825536105</v>
      </c>
    </row>
    <row r="82" spans="1:8" x14ac:dyDescent="0.3">
      <c r="A82" s="2">
        <v>46274</v>
      </c>
      <c r="B82" s="23">
        <f t="shared" si="9"/>
        <v>81</v>
      </c>
      <c r="C82" s="3"/>
      <c r="D82" s="4">
        <f t="shared" si="6"/>
        <v>400</v>
      </c>
      <c r="E82" s="4">
        <f t="shared" si="7"/>
        <v>46.780092603004476</v>
      </c>
      <c r="F82" s="4">
        <f t="shared" si="11"/>
        <v>353.2199073969955</v>
      </c>
      <c r="G82" s="4">
        <f t="shared" si="10"/>
        <v>14668.4112670669</v>
      </c>
      <c r="H82" s="4">
        <f t="shared" si="8"/>
        <v>25331.588732933102</v>
      </c>
    </row>
    <row r="83" spans="1:8" x14ac:dyDescent="0.3">
      <c r="A83" s="19">
        <v>46274</v>
      </c>
      <c r="B83" s="24">
        <f t="shared" si="9"/>
        <v>82</v>
      </c>
      <c r="C83" s="20"/>
      <c r="D83" s="21">
        <f t="shared" si="6"/>
        <v>400</v>
      </c>
      <c r="E83" s="21">
        <f t="shared" si="7"/>
        <v>45.680101544420538</v>
      </c>
      <c r="F83" s="21">
        <f t="shared" si="11"/>
        <v>354.31989845557945</v>
      </c>
      <c r="G83" s="21">
        <f t="shared" si="10"/>
        <v>14314.09136861132</v>
      </c>
      <c r="H83" s="21">
        <f t="shared" si="8"/>
        <v>25685.90863138868</v>
      </c>
    </row>
    <row r="84" spans="1:8" x14ac:dyDescent="0.3">
      <c r="A84" s="2">
        <v>46274</v>
      </c>
      <c r="B84" s="23">
        <f t="shared" si="9"/>
        <v>83</v>
      </c>
      <c r="C84" s="3"/>
      <c r="D84" s="4">
        <f t="shared" si="6"/>
        <v>400</v>
      </c>
      <c r="E84" s="4">
        <f t="shared" si="7"/>
        <v>44.576684913541186</v>
      </c>
      <c r="F84" s="4">
        <f t="shared" si="11"/>
        <v>355.42331508645884</v>
      </c>
      <c r="G84" s="4">
        <f t="shared" si="10"/>
        <v>13958.668053524862</v>
      </c>
      <c r="H84" s="4">
        <f t="shared" si="8"/>
        <v>26041.33194647514</v>
      </c>
    </row>
    <row r="85" spans="1:8" x14ac:dyDescent="0.3">
      <c r="A85" s="19">
        <v>46274</v>
      </c>
      <c r="B85" s="24">
        <f t="shared" si="9"/>
        <v>84</v>
      </c>
      <c r="C85" s="20"/>
      <c r="D85" s="21">
        <f t="shared" si="6"/>
        <v>400</v>
      </c>
      <c r="E85" s="21">
        <f t="shared" si="7"/>
        <v>43.469832042511037</v>
      </c>
      <c r="F85" s="21">
        <f t="shared" si="11"/>
        <v>356.53016795748897</v>
      </c>
      <c r="G85" s="21">
        <f t="shared" si="10"/>
        <v>13602.137885567372</v>
      </c>
      <c r="H85" s="21">
        <f t="shared" si="8"/>
        <v>26397.862114432628</v>
      </c>
    </row>
    <row r="86" spans="1:8" x14ac:dyDescent="0.3">
      <c r="A86" s="2">
        <v>46274</v>
      </c>
      <c r="B86" s="23">
        <f t="shared" si="9"/>
        <v>85</v>
      </c>
      <c r="C86" s="3"/>
      <c r="D86" s="4">
        <f t="shared" si="6"/>
        <v>400</v>
      </c>
      <c r="E86" s="4">
        <f t="shared" si="7"/>
        <v>42.359532230253038</v>
      </c>
      <c r="F86" s="4">
        <f t="shared" si="11"/>
        <v>357.64046776974698</v>
      </c>
      <c r="G86" s="4">
        <f t="shared" si="10"/>
        <v>13244.497417797626</v>
      </c>
      <c r="H86" s="4">
        <f t="shared" si="8"/>
        <v>26755.502582202374</v>
      </c>
    </row>
    <row r="87" spans="1:8" x14ac:dyDescent="0.3">
      <c r="A87" s="19">
        <v>46280</v>
      </c>
      <c r="B87" s="24">
        <f t="shared" si="9"/>
        <v>86</v>
      </c>
      <c r="C87" s="20"/>
      <c r="D87" s="21">
        <f t="shared" si="6"/>
        <v>400</v>
      </c>
      <c r="E87" s="21">
        <f t="shared" si="7"/>
        <v>41.245774742365064</v>
      </c>
      <c r="F87" s="21">
        <f t="shared" si="11"/>
        <v>358.75422525763491</v>
      </c>
      <c r="G87" s="21">
        <f t="shared" si="10"/>
        <v>12885.743192539991</v>
      </c>
      <c r="H87" s="21">
        <f t="shared" si="8"/>
        <v>27114.256807460009</v>
      </c>
    </row>
    <row r="88" spans="1:8" x14ac:dyDescent="0.3">
      <c r="A88" s="2">
        <v>46280</v>
      </c>
      <c r="B88" s="23">
        <f t="shared" si="9"/>
        <v>87</v>
      </c>
      <c r="C88" s="3"/>
      <c r="D88" s="4">
        <f t="shared" si="6"/>
        <v>400</v>
      </c>
      <c r="E88" s="4">
        <f t="shared" si="7"/>
        <v>40.128548811016088</v>
      </c>
      <c r="F88" s="4">
        <f t="shared" si="11"/>
        <v>359.87145118898388</v>
      </c>
      <c r="G88" s="4">
        <f t="shared" si="10"/>
        <v>12525.871741351006</v>
      </c>
      <c r="H88" s="4">
        <f t="shared" si="8"/>
        <v>27474.128258648994</v>
      </c>
    </row>
    <row r="89" spans="1:8" x14ac:dyDescent="0.3">
      <c r="A89" s="19">
        <v>46280</v>
      </c>
      <c r="B89" s="24">
        <f t="shared" si="9"/>
        <v>88</v>
      </c>
      <c r="C89" s="20"/>
      <c r="D89" s="21">
        <f t="shared" si="6"/>
        <v>400</v>
      </c>
      <c r="E89" s="21">
        <f t="shared" si="7"/>
        <v>39.007843634842089</v>
      </c>
      <c r="F89" s="21">
        <f t="shared" si="11"/>
        <v>360.99215636515794</v>
      </c>
      <c r="G89" s="21">
        <f t="shared" si="10"/>
        <v>12164.879584985847</v>
      </c>
      <c r="H89" s="21">
        <f t="shared" si="8"/>
        <v>27835.120415014153</v>
      </c>
    </row>
    <row r="90" spans="1:8" x14ac:dyDescent="0.3">
      <c r="A90" s="2">
        <v>46280</v>
      </c>
      <c r="B90" s="23">
        <f t="shared" si="9"/>
        <v>89</v>
      </c>
      <c r="C90" s="3"/>
      <c r="D90" s="4">
        <f t="shared" si="6"/>
        <v>400</v>
      </c>
      <c r="E90" s="4">
        <f t="shared" si="7"/>
        <v>37.88364837884167</v>
      </c>
      <c r="F90" s="4">
        <f t="shared" si="11"/>
        <v>362.11635162115834</v>
      </c>
      <c r="G90" s="4">
        <f t="shared" si="10"/>
        <v>11802.763233364689</v>
      </c>
      <c r="H90" s="4">
        <f t="shared" si="8"/>
        <v>28197.236766635309</v>
      </c>
    </row>
    <row r="91" spans="1:8" x14ac:dyDescent="0.3">
      <c r="A91" s="19">
        <v>46280</v>
      </c>
      <c r="B91" s="24">
        <f t="shared" si="9"/>
        <v>90</v>
      </c>
      <c r="C91" s="20"/>
      <c r="D91" s="21">
        <f t="shared" si="6"/>
        <v>400</v>
      </c>
      <c r="E91" s="21">
        <f t="shared" si="7"/>
        <v>36.755952174271229</v>
      </c>
      <c r="F91" s="21">
        <f t="shared" si="11"/>
        <v>363.24404782572879</v>
      </c>
      <c r="G91" s="21">
        <f t="shared" si="10"/>
        <v>11439.51918553896</v>
      </c>
      <c r="H91" s="21">
        <f t="shared" si="8"/>
        <v>28560.48081446104</v>
      </c>
    </row>
    <row r="92" spans="1:8" x14ac:dyDescent="0.3">
      <c r="A92" s="2">
        <v>46280</v>
      </c>
      <c r="B92" s="23">
        <f t="shared" si="9"/>
        <v>91</v>
      </c>
      <c r="C92" s="3"/>
      <c r="D92" s="4">
        <f t="shared" si="6"/>
        <v>400</v>
      </c>
      <c r="E92" s="4">
        <f t="shared" si="7"/>
        <v>35.624744118539944</v>
      </c>
      <c r="F92" s="4">
        <f t="shared" si="11"/>
        <v>364.37525588146008</v>
      </c>
      <c r="G92" s="4">
        <f t="shared" si="10"/>
        <v>11075.143929657501</v>
      </c>
      <c r="H92" s="4">
        <f t="shared" si="8"/>
        <v>28924.856070342499</v>
      </c>
    </row>
    <row r="93" spans="1:8" x14ac:dyDescent="0.3">
      <c r="A93" s="19">
        <v>46283</v>
      </c>
      <c r="B93" s="24">
        <f t="shared" si="9"/>
        <v>92</v>
      </c>
      <c r="C93" s="20"/>
      <c r="D93" s="21">
        <f t="shared" si="6"/>
        <v>400</v>
      </c>
      <c r="E93" s="21">
        <f t="shared" si="7"/>
        <v>34.490013275104332</v>
      </c>
      <c r="F93" s="21">
        <f t="shared" si="11"/>
        <v>365.50998672489567</v>
      </c>
      <c r="G93" s="21">
        <f t="shared" si="10"/>
        <v>10709.633942932605</v>
      </c>
      <c r="H93" s="21">
        <f t="shared" si="8"/>
        <v>29290.366057067396</v>
      </c>
    </row>
    <row r="94" spans="1:8" x14ac:dyDescent="0.3">
      <c r="A94" s="2">
        <v>46283</v>
      </c>
      <c r="B94" s="23">
        <f t="shared" si="9"/>
        <v>93</v>
      </c>
      <c r="C94" s="3"/>
      <c r="D94" s="4">
        <f t="shared" si="6"/>
        <v>400</v>
      </c>
      <c r="E94" s="4">
        <f t="shared" si="7"/>
        <v>33.351748673362515</v>
      </c>
      <c r="F94" s="4">
        <f t="shared" si="11"/>
        <v>366.64825132663748</v>
      </c>
      <c r="G94" s="4">
        <f t="shared" si="10"/>
        <v>10342.985691605967</v>
      </c>
      <c r="H94" s="4">
        <f t="shared" si="8"/>
        <v>29657.014308394035</v>
      </c>
    </row>
    <row r="95" spans="1:8" x14ac:dyDescent="0.3">
      <c r="A95" s="19">
        <v>46283</v>
      </c>
      <c r="B95" s="24">
        <f t="shared" si="9"/>
        <v>94</v>
      </c>
      <c r="C95" s="20"/>
      <c r="D95" s="21">
        <f t="shared" si="6"/>
        <v>400</v>
      </c>
      <c r="E95" s="21">
        <f t="shared" si="7"/>
        <v>32.209939308548186</v>
      </c>
      <c r="F95" s="21">
        <f t="shared" si="11"/>
        <v>367.7900606914518</v>
      </c>
      <c r="G95" s="21">
        <f t="shared" si="10"/>
        <v>9975.1956309145153</v>
      </c>
      <c r="H95" s="21">
        <f t="shared" si="8"/>
        <v>30024.804369085483</v>
      </c>
    </row>
    <row r="96" spans="1:8" x14ac:dyDescent="0.3">
      <c r="A96" s="2">
        <v>46283</v>
      </c>
      <c r="B96" s="23">
        <f t="shared" si="9"/>
        <v>95</v>
      </c>
      <c r="C96" s="3"/>
      <c r="D96" s="4">
        <f t="shared" si="6"/>
        <v>400</v>
      </c>
      <c r="E96" s="4">
        <f t="shared" si="7"/>
        <v>31.064574141624174</v>
      </c>
      <c r="F96" s="4">
        <f t="shared" si="11"/>
        <v>368.93542585837582</v>
      </c>
      <c r="G96" s="4">
        <f t="shared" si="10"/>
        <v>9606.26020505614</v>
      </c>
      <c r="H96" s="4">
        <f t="shared" si="8"/>
        <v>30393.73979494386</v>
      </c>
    </row>
    <row r="97" spans="1:8" x14ac:dyDescent="0.3">
      <c r="A97" s="19">
        <v>46283</v>
      </c>
      <c r="B97" s="24">
        <f t="shared" si="9"/>
        <v>96</v>
      </c>
      <c r="C97" s="20"/>
      <c r="D97" s="21">
        <f t="shared" si="6"/>
        <v>400</v>
      </c>
      <c r="E97" s="21">
        <f t="shared" si="7"/>
        <v>29.915642099175752</v>
      </c>
      <c r="F97" s="21">
        <f t="shared" si="11"/>
        <v>370.08435790082427</v>
      </c>
      <c r="G97" s="21">
        <f t="shared" si="10"/>
        <v>9236.1758471553148</v>
      </c>
      <c r="H97" s="21">
        <f t="shared" si="8"/>
        <v>30763.824152844685</v>
      </c>
    </row>
    <row r="98" spans="1:8" x14ac:dyDescent="0.3">
      <c r="A98" s="2">
        <v>46283</v>
      </c>
      <c r="B98" s="23">
        <f t="shared" si="9"/>
        <v>97</v>
      </c>
      <c r="C98" s="3"/>
      <c r="D98" s="4">
        <f t="shared" si="6"/>
        <v>400</v>
      </c>
      <c r="E98" s="4">
        <f t="shared" si="7"/>
        <v>28.763132073303552</v>
      </c>
      <c r="F98" s="4">
        <f t="shared" si="11"/>
        <v>371.23686792669645</v>
      </c>
      <c r="G98" s="4">
        <f t="shared" si="10"/>
        <v>8864.9389792286183</v>
      </c>
      <c r="H98" s="4">
        <f t="shared" si="8"/>
        <v>31135.061020771383</v>
      </c>
    </row>
    <row r="99" spans="1:8" x14ac:dyDescent="0.3">
      <c r="A99" s="19">
        <v>46283</v>
      </c>
      <c r="B99" s="24">
        <f t="shared" si="9"/>
        <v>98</v>
      </c>
      <c r="C99" s="20"/>
      <c r="D99" s="21">
        <f t="shared" si="6"/>
        <v>400</v>
      </c>
      <c r="E99" s="21">
        <f t="shared" si="7"/>
        <v>27.607032921516197</v>
      </c>
      <c r="F99" s="21">
        <f t="shared" si="11"/>
        <v>372.39296707848382</v>
      </c>
      <c r="G99" s="21">
        <f t="shared" si="10"/>
        <v>8492.5460121501346</v>
      </c>
      <c r="H99" s="21">
        <f t="shared" si="8"/>
        <v>31507.453987849865</v>
      </c>
    </row>
    <row r="100" spans="1:8" x14ac:dyDescent="0.3">
      <c r="A100" s="2">
        <v>46283</v>
      </c>
      <c r="B100" s="23">
        <f t="shared" si="9"/>
        <v>99</v>
      </c>
      <c r="C100" s="3"/>
      <c r="D100" s="4">
        <f t="shared" si="6"/>
        <v>400</v>
      </c>
      <c r="E100" s="4">
        <f t="shared" si="7"/>
        <v>26.447333466622556</v>
      </c>
      <c r="F100" s="4">
        <f t="shared" si="11"/>
        <v>373.55266653337742</v>
      </c>
      <c r="G100" s="4">
        <f t="shared" si="10"/>
        <v>8118.9933456167573</v>
      </c>
      <c r="H100" s="4">
        <f t="shared" si="8"/>
        <v>31881.006654383244</v>
      </c>
    </row>
    <row r="101" spans="1:8" x14ac:dyDescent="0.3">
      <c r="A101" s="19">
        <v>46283</v>
      </c>
      <c r="B101" s="24">
        <f t="shared" si="9"/>
        <v>100</v>
      </c>
      <c r="C101" s="20"/>
      <c r="D101" s="21">
        <f t="shared" si="6"/>
        <v>400</v>
      </c>
      <c r="E101" s="21">
        <f t="shared" si="7"/>
        <v>25.284022496623702</v>
      </c>
      <c r="F101" s="21">
        <f t="shared" si="11"/>
        <v>374.71597750337628</v>
      </c>
      <c r="G101" s="21">
        <f t="shared" si="10"/>
        <v>7744.2773681133813</v>
      </c>
      <c r="H101" s="21">
        <f t="shared" si="8"/>
        <v>32255.72263188662</v>
      </c>
    </row>
    <row r="102" spans="1:8" x14ac:dyDescent="0.3">
      <c r="A102" s="2">
        <v>46283</v>
      </c>
      <c r="B102" s="23">
        <f t="shared" si="9"/>
        <v>101</v>
      </c>
      <c r="C102" s="3"/>
      <c r="D102" s="4">
        <f t="shared" si="6"/>
        <v>400</v>
      </c>
      <c r="E102" s="4">
        <f t="shared" si="7"/>
        <v>24.117088764604492</v>
      </c>
      <c r="F102" s="4">
        <f t="shared" si="11"/>
        <v>375.88291123539551</v>
      </c>
      <c r="G102" s="4">
        <f t="shared" si="10"/>
        <v>7368.3944568779862</v>
      </c>
      <c r="H102" s="4">
        <f t="shared" si="8"/>
        <v>32631.605543122016</v>
      </c>
    </row>
    <row r="103" spans="1:8" x14ac:dyDescent="0.3">
      <c r="A103" s="19">
        <v>46283</v>
      </c>
      <c r="B103" s="24">
        <f t="shared" si="9"/>
        <v>102</v>
      </c>
      <c r="C103" s="20"/>
      <c r="D103" s="21">
        <f t="shared" si="6"/>
        <v>400</v>
      </c>
      <c r="E103" s="21">
        <f t="shared" si="7"/>
        <v>22.946520988624847</v>
      </c>
      <c r="F103" s="21">
        <f t="shared" si="11"/>
        <v>377.05347901137515</v>
      </c>
      <c r="G103" s="21">
        <f t="shared" si="10"/>
        <v>6991.340977866611</v>
      </c>
      <c r="H103" s="21">
        <f t="shared" si="8"/>
        <v>33008.65902213339</v>
      </c>
    </row>
    <row r="104" spans="1:8" x14ac:dyDescent="0.3">
      <c r="A104" s="2">
        <v>46283</v>
      </c>
      <c r="B104" s="23">
        <f t="shared" si="9"/>
        <v>103</v>
      </c>
      <c r="C104" s="3"/>
      <c r="D104" s="4">
        <f t="shared" si="6"/>
        <v>400</v>
      </c>
      <c r="E104" s="4">
        <f t="shared" si="7"/>
        <v>21.772307851610673</v>
      </c>
      <c r="F104" s="4">
        <f t="shared" si="11"/>
        <v>378.22769214838934</v>
      </c>
      <c r="G104" s="4">
        <f t="shared" si="10"/>
        <v>6613.113285718222</v>
      </c>
      <c r="H104" s="4">
        <f t="shared" si="8"/>
        <v>33386.886714281776</v>
      </c>
    </row>
    <row r="105" spans="1:8" x14ac:dyDescent="0.3">
      <c r="A105" s="19">
        <v>46283</v>
      </c>
      <c r="B105" s="24">
        <f t="shared" si="9"/>
        <v>104</v>
      </c>
      <c r="C105" s="20"/>
      <c r="D105" s="21">
        <f t="shared" si="6"/>
        <v>400</v>
      </c>
      <c r="E105" s="21">
        <f t="shared" si="7"/>
        <v>20.594438001244455</v>
      </c>
      <c r="F105" s="21">
        <f t="shared" si="11"/>
        <v>379.40556199875556</v>
      </c>
      <c r="G105" s="21">
        <f t="shared" si="10"/>
        <v>6233.7077237194662</v>
      </c>
      <c r="H105" s="21">
        <f t="shared" si="8"/>
        <v>33766.292276280532</v>
      </c>
    </row>
    <row r="106" spans="1:8" x14ac:dyDescent="0.3">
      <c r="A106" s="2">
        <v>46283</v>
      </c>
      <c r="B106" s="23">
        <f t="shared" si="9"/>
        <v>105</v>
      </c>
      <c r="C106" s="3"/>
      <c r="D106" s="4">
        <f t="shared" si="6"/>
        <v>400</v>
      </c>
      <c r="E106" s="4">
        <f t="shared" si="7"/>
        <v>19.412900049855487</v>
      </c>
      <c r="F106" s="4">
        <f t="shared" si="11"/>
        <v>380.58709995014453</v>
      </c>
      <c r="G106" s="4">
        <f t="shared" si="10"/>
        <v>5853.1206237693214</v>
      </c>
      <c r="H106" s="4">
        <f t="shared" si="8"/>
        <v>34146.879376230681</v>
      </c>
    </row>
    <row r="107" spans="1:8" x14ac:dyDescent="0.3">
      <c r="A107" s="19">
        <v>46283</v>
      </c>
      <c r="B107" s="24">
        <f t="shared" si="9"/>
        <v>106</v>
      </c>
      <c r="C107" s="20"/>
      <c r="D107" s="21">
        <f t="shared" si="6"/>
        <v>400</v>
      </c>
      <c r="E107" s="21">
        <f t="shared" si="7"/>
        <v>18.227682574309785</v>
      </c>
      <c r="F107" s="21">
        <f t="shared" si="11"/>
        <v>381.77231742569023</v>
      </c>
      <c r="G107" s="21">
        <f t="shared" si="10"/>
        <v>5471.3483063436315</v>
      </c>
      <c r="H107" s="21">
        <f t="shared" si="8"/>
        <v>34528.651693656371</v>
      </c>
    </row>
    <row r="108" spans="1:8" x14ac:dyDescent="0.3">
      <c r="A108" s="2">
        <v>46283</v>
      </c>
      <c r="B108" s="23">
        <f t="shared" si="9"/>
        <v>107</v>
      </c>
      <c r="C108" s="3"/>
      <c r="D108" s="4">
        <f t="shared" si="6"/>
        <v>400</v>
      </c>
      <c r="E108" s="4">
        <f t="shared" si="7"/>
        <v>17.038774115899656</v>
      </c>
      <c r="F108" s="4">
        <f t="shared" si="11"/>
        <v>382.96122588410037</v>
      </c>
      <c r="G108" s="4">
        <f t="shared" si="10"/>
        <v>5088.3870804595308</v>
      </c>
      <c r="H108" s="4">
        <f t="shared" si="8"/>
        <v>34911.612919540472</v>
      </c>
    </row>
    <row r="109" spans="1:8" x14ac:dyDescent="0.3">
      <c r="A109" s="19">
        <v>46283</v>
      </c>
      <c r="B109" s="24">
        <f t="shared" si="9"/>
        <v>108</v>
      </c>
      <c r="C109" s="20"/>
      <c r="D109" s="21">
        <f t="shared" si="6"/>
        <v>400</v>
      </c>
      <c r="E109" s="21">
        <f t="shared" si="7"/>
        <v>15.846163180232898</v>
      </c>
      <c r="F109" s="21">
        <f t="shared" si="11"/>
        <v>384.15383681976709</v>
      </c>
      <c r="G109" s="21">
        <f t="shared" si="10"/>
        <v>4704.2332436397637</v>
      </c>
      <c r="H109" s="21">
        <f t="shared" si="8"/>
        <v>35295.766756360237</v>
      </c>
    </row>
    <row r="110" spans="1:8" x14ac:dyDescent="0.3">
      <c r="A110" s="2">
        <v>46283</v>
      </c>
      <c r="B110" s="23">
        <f t="shared" si="9"/>
        <v>109</v>
      </c>
      <c r="C110" s="3"/>
      <c r="D110" s="4">
        <f t="shared" si="6"/>
        <v>400</v>
      </c>
      <c r="E110" s="4">
        <f t="shared" si="7"/>
        <v>14.649838237121683</v>
      </c>
      <c r="F110" s="4">
        <f t="shared" si="11"/>
        <v>385.35016176287832</v>
      </c>
      <c r="G110" s="4">
        <f t="shared" si="10"/>
        <v>4318.8830818768856</v>
      </c>
      <c r="H110" s="4">
        <f t="shared" si="8"/>
        <v>35681.116918123116</v>
      </c>
    </row>
    <row r="111" spans="1:8" x14ac:dyDescent="0.3">
      <c r="A111" s="19">
        <v>46283</v>
      </c>
      <c r="B111" s="24">
        <f t="shared" si="9"/>
        <v>110</v>
      </c>
      <c r="C111" s="20"/>
      <c r="D111" s="21">
        <f t="shared" si="6"/>
        <v>400</v>
      </c>
      <c r="E111" s="21">
        <f t="shared" si="7"/>
        <v>13.449787720471081</v>
      </c>
      <c r="F111" s="21">
        <f t="shared" si="11"/>
        <v>386.55021227952892</v>
      </c>
      <c r="G111" s="21">
        <f t="shared" si="10"/>
        <v>3932.3328695973569</v>
      </c>
      <c r="H111" s="21">
        <f t="shared" si="8"/>
        <v>36067.667130402646</v>
      </c>
    </row>
    <row r="112" spans="1:8" x14ac:dyDescent="0.3">
      <c r="A112" s="2">
        <v>46283</v>
      </c>
      <c r="B112" s="23">
        <f t="shared" si="9"/>
        <v>111</v>
      </c>
      <c r="C112" s="3"/>
      <c r="D112" s="4">
        <f t="shared" si="6"/>
        <v>400</v>
      </c>
      <c r="E112" s="4">
        <f t="shared" si="7"/>
        <v>12.246000028167236</v>
      </c>
      <c r="F112" s="4">
        <f t="shared" si="11"/>
        <v>387.75399997183274</v>
      </c>
      <c r="G112" s="4">
        <f t="shared" si="10"/>
        <v>3544.578869625524</v>
      </c>
      <c r="H112" s="4">
        <f t="shared" si="8"/>
        <v>36455.421130374474</v>
      </c>
    </row>
    <row r="113" spans="1:8" x14ac:dyDescent="0.3">
      <c r="A113" s="19">
        <v>46283</v>
      </c>
      <c r="B113" s="24">
        <f t="shared" si="9"/>
        <v>112</v>
      </c>
      <c r="C113" s="20"/>
      <c r="D113" s="21">
        <f t="shared" si="6"/>
        <v>400</v>
      </c>
      <c r="E113" s="21">
        <f t="shared" si="7"/>
        <v>11.038463521965198</v>
      </c>
      <c r="F113" s="21">
        <f t="shared" si="11"/>
        <v>388.96153647803482</v>
      </c>
      <c r="G113" s="21">
        <f t="shared" si="10"/>
        <v>3155.6173331474893</v>
      </c>
      <c r="H113" s="21">
        <f t="shared" si="8"/>
        <v>36844.382666852514</v>
      </c>
    </row>
    <row r="114" spans="1:8" x14ac:dyDescent="0.3">
      <c r="A114" s="2">
        <v>46283</v>
      </c>
      <c r="B114" s="23">
        <f t="shared" si="9"/>
        <v>113</v>
      </c>
      <c r="C114" s="3"/>
      <c r="D114" s="4">
        <f t="shared" si="6"/>
        <v>400</v>
      </c>
      <c r="E114" s="4">
        <f t="shared" si="7"/>
        <v>9.8271665273764093</v>
      </c>
      <c r="F114" s="4">
        <f t="shared" si="11"/>
        <v>390.17283347262361</v>
      </c>
      <c r="G114" s="4">
        <f t="shared" si="10"/>
        <v>2765.4444996748657</v>
      </c>
      <c r="H114" s="4">
        <f t="shared" si="8"/>
        <v>37234.555500325136</v>
      </c>
    </row>
    <row r="115" spans="1:8" x14ac:dyDescent="0.3">
      <c r="A115" s="19">
        <v>46283</v>
      </c>
      <c r="B115" s="24">
        <f t="shared" si="9"/>
        <v>114</v>
      </c>
      <c r="C115" s="20"/>
      <c r="D115" s="21">
        <f t="shared" si="6"/>
        <v>400</v>
      </c>
      <c r="E115" s="21">
        <f t="shared" si="7"/>
        <v>8.6120973335558269</v>
      </c>
      <c r="F115" s="21">
        <f t="shared" si="11"/>
        <v>391.38790266644418</v>
      </c>
      <c r="G115" s="21">
        <f t="shared" si="10"/>
        <v>2374.0565970084217</v>
      </c>
      <c r="H115" s="21">
        <f t="shared" si="8"/>
        <v>37625.943402991579</v>
      </c>
    </row>
    <row r="116" spans="1:8" x14ac:dyDescent="0.3">
      <c r="A116" s="2">
        <v>46283</v>
      </c>
      <c r="B116" s="23">
        <f t="shared" si="9"/>
        <v>115</v>
      </c>
      <c r="C116" s="3"/>
      <c r="D116" s="4">
        <f t="shared" si="6"/>
        <v>400</v>
      </c>
      <c r="E116" s="4">
        <f t="shared" si="7"/>
        <v>7.393244193188707</v>
      </c>
      <c r="F116" s="4">
        <f t="shared" si="11"/>
        <v>392.60675580681129</v>
      </c>
      <c r="G116" s="4">
        <f t="shared" si="10"/>
        <v>1981.4498412016105</v>
      </c>
      <c r="H116" s="4">
        <f t="shared" si="8"/>
        <v>38018.550158798389</v>
      </c>
    </row>
    <row r="117" spans="1:8" x14ac:dyDescent="0.3">
      <c r="A117" s="19">
        <v>46283</v>
      </c>
      <c r="B117" s="24">
        <f t="shared" si="9"/>
        <v>116</v>
      </c>
      <c r="C117" s="20"/>
      <c r="D117" s="21">
        <f t="shared" si="6"/>
        <v>400</v>
      </c>
      <c r="E117" s="21">
        <f t="shared" si="7"/>
        <v>6.1705953223770278</v>
      </c>
      <c r="F117" s="21">
        <f t="shared" si="11"/>
        <v>393.82940467762296</v>
      </c>
      <c r="G117" s="21">
        <f t="shared" si="10"/>
        <v>1587.6204365239876</v>
      </c>
      <c r="H117" s="21">
        <f t="shared" si="8"/>
        <v>38412.37956347601</v>
      </c>
    </row>
    <row r="118" spans="1:8" x14ac:dyDescent="0.3">
      <c r="A118" s="2">
        <v>46283</v>
      </c>
      <c r="B118" s="23">
        <f t="shared" si="9"/>
        <v>117</v>
      </c>
      <c r="C118" s="3"/>
      <c r="D118" s="4">
        <f t="shared" si="6"/>
        <v>400</v>
      </c>
      <c r="E118" s="4">
        <f t="shared" si="7"/>
        <v>4.9441389005255685</v>
      </c>
      <c r="F118" s="4">
        <f t="shared" si="11"/>
        <v>395.05586109947444</v>
      </c>
      <c r="G118" s="4">
        <f t="shared" si="10"/>
        <v>1192.5645754245131</v>
      </c>
      <c r="H118" s="4">
        <f t="shared" si="8"/>
        <v>38807.435424575488</v>
      </c>
    </row>
    <row r="119" spans="1:8" x14ac:dyDescent="0.3">
      <c r="A119" s="19">
        <v>46283</v>
      </c>
      <c r="B119" s="24">
        <f t="shared" si="9"/>
        <v>118</v>
      </c>
      <c r="C119" s="20"/>
      <c r="D119" s="21">
        <f t="shared" si="6"/>
        <v>400</v>
      </c>
      <c r="E119" s="21">
        <f t="shared" si="7"/>
        <v>3.7138630702276219</v>
      </c>
      <c r="F119" s="21">
        <f t="shared" si="11"/>
        <v>396.2861369297724</v>
      </c>
      <c r="G119" s="21">
        <f t="shared" si="10"/>
        <v>796.27843849474073</v>
      </c>
      <c r="H119" s="21">
        <f t="shared" si="8"/>
        <v>39203.721561505263</v>
      </c>
    </row>
    <row r="120" spans="1:8" x14ac:dyDescent="0.3">
      <c r="A120" s="2">
        <v>46283</v>
      </c>
      <c r="B120" s="23">
        <f t="shared" si="9"/>
        <v>119</v>
      </c>
      <c r="C120" s="3"/>
      <c r="D120" s="4">
        <f t="shared" si="6"/>
        <v>400</v>
      </c>
      <c r="E120" s="4">
        <f t="shared" si="7"/>
        <v>2.4797559371503599</v>
      </c>
      <c r="F120" s="4">
        <f t="shared" si="11"/>
        <v>397.52024406284966</v>
      </c>
      <c r="G120" s="4">
        <f t="shared" si="10"/>
        <v>398.75819443189107</v>
      </c>
      <c r="H120" s="4">
        <f t="shared" si="8"/>
        <v>39601.241805568112</v>
      </c>
    </row>
    <row r="121" spans="1:8" x14ac:dyDescent="0.3">
      <c r="A121" s="19">
        <v>46283</v>
      </c>
      <c r="B121" s="24">
        <f t="shared" si="9"/>
        <v>120</v>
      </c>
      <c r="C121" s="20"/>
      <c r="D121" s="21">
        <f t="shared" si="6"/>
        <v>400</v>
      </c>
      <c r="E121" s="21">
        <f t="shared" si="7"/>
        <v>1.2418055699198371</v>
      </c>
      <c r="F121" s="21">
        <f t="shared" si="11"/>
        <v>398.75819443008015</v>
      </c>
      <c r="G121" s="21">
        <f t="shared" si="10"/>
        <v>1.8109176380676217E-9</v>
      </c>
      <c r="H121" s="21">
        <f t="shared" si="8"/>
        <v>39999.999999998188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B11" sqref="B1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28515625" style="1" customWidth="1"/>
    <col min="10" max="10" width="23.28515625" style="1" customWidth="1"/>
    <col min="11" max="11" width="23.140625" style="1" customWidth="1"/>
    <col min="12" max="12" width="12.7109375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24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6" t="s">
        <v>9</v>
      </c>
      <c r="K1" s="6"/>
    </row>
    <row r="2" spans="1:12" x14ac:dyDescent="0.3">
      <c r="A2" s="2">
        <v>46241</v>
      </c>
      <c r="B2" s="23">
        <f>IF(A2&lt;&gt;"",1,"")</f>
        <v>1</v>
      </c>
      <c r="C2" s="3"/>
      <c r="D2" s="4">
        <f t="shared" ref="D2:D18" si="0">IF(AND($A2&lt;&gt;"",$B2&lt;&gt;""),$K$9,"")</f>
        <v>1400</v>
      </c>
      <c r="E2" s="4">
        <f>IF(AND($A2&lt;&gt;"",$B2&lt;&gt;""),$K$7*$K$8,"")</f>
        <v>401.03124158893064</v>
      </c>
      <c r="F2" s="4">
        <f>IF(AND($A2&lt;&gt;"",$B2&lt;&gt;""),D2-E2,"")</f>
        <v>998.9687584110693</v>
      </c>
      <c r="G2" s="4">
        <f>IF(AND($A2&lt;&gt;"",$B2&lt;&gt;""),$K$7-F2,"")</f>
        <v>19001.031241588931</v>
      </c>
      <c r="H2" s="4">
        <f>IF(AND($A2&lt;&gt;"",$B2&lt;&gt;""),$K$7-G2,"")</f>
        <v>998.96875841106885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L20000W17-kamala-N204</v>
      </c>
    </row>
    <row r="3" spans="1:12" x14ac:dyDescent="0.3">
      <c r="A3" s="19">
        <v>46248</v>
      </c>
      <c r="B3" s="24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5" t="s">
        <v>10</v>
      </c>
      <c r="K3" s="27" t="s">
        <v>28</v>
      </c>
    </row>
    <row r="4" spans="1:12" x14ac:dyDescent="0.3">
      <c r="A4" s="2">
        <v>46255</v>
      </c>
      <c r="B4" s="23">
        <f t="shared" ref="B4:B18" si="3">IF(A4&lt;&gt;"",B3+1,"")</f>
        <v>3</v>
      </c>
      <c r="C4" s="3"/>
      <c r="D4" s="4">
        <f t="shared" si="0"/>
        <v>1400</v>
      </c>
      <c r="E4" s="4">
        <f t="shared" si="1"/>
        <v>360.56782292398606</v>
      </c>
      <c r="F4" s="4">
        <f t="shared" ref="F4:F18" si="4">IF(AND($A4&lt;&gt;"",$B4&lt;&gt;""),D4-E4,"")</f>
        <v>1039.4321770760139</v>
      </c>
      <c r="G4" s="4">
        <f t="shared" ref="G4:G18" si="5">IF(AND($A4&lt;&gt;"",$B4&lt;&gt;""),G3-F4,"")</f>
        <v>16942.599422027139</v>
      </c>
      <c r="H4" s="4">
        <f t="shared" si="2"/>
        <v>3057.4005779728614</v>
      </c>
      <c r="J4" s="5" t="s">
        <v>11</v>
      </c>
      <c r="K4" s="27"/>
    </row>
    <row r="5" spans="1:12" x14ac:dyDescent="0.3">
      <c r="A5" s="19">
        <v>46262</v>
      </c>
      <c r="B5" s="24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5" t="s">
        <v>12</v>
      </c>
      <c r="K5" s="27"/>
    </row>
    <row r="6" spans="1:12" x14ac:dyDescent="0.3">
      <c r="A6" s="2">
        <v>46269</v>
      </c>
      <c r="B6" s="23">
        <f t="shared" si="3"/>
        <v>5</v>
      </c>
      <c r="C6" s="3"/>
      <c r="D6" s="4">
        <f t="shared" si="0"/>
        <v>1400</v>
      </c>
      <c r="E6" s="4">
        <f t="shared" si="1"/>
        <v>318.4654258262637</v>
      </c>
      <c r="F6" s="4">
        <f t="shared" si="4"/>
        <v>1081.5345741737362</v>
      </c>
      <c r="G6" s="4">
        <f t="shared" si="5"/>
        <v>14800.790431951375</v>
      </c>
      <c r="H6" s="4">
        <f t="shared" si="2"/>
        <v>5199.2095680486254</v>
      </c>
      <c r="J6" s="5" t="s">
        <v>13</v>
      </c>
      <c r="K6" s="27"/>
    </row>
    <row r="7" spans="1:12" x14ac:dyDescent="0.3">
      <c r="A7" s="19">
        <v>46276</v>
      </c>
      <c r="B7" s="24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5" t="s">
        <v>7</v>
      </c>
      <c r="K7" s="28">
        <v>20000</v>
      </c>
    </row>
    <row r="8" spans="1:12" x14ac:dyDescent="0.3">
      <c r="A8" s="2">
        <v>46283</v>
      </c>
      <c r="B8" s="23">
        <f t="shared" si="3"/>
        <v>7</v>
      </c>
      <c r="C8" s="3"/>
      <c r="D8" s="4">
        <f t="shared" si="0"/>
        <v>1400</v>
      </c>
      <c r="E8" s="4">
        <f t="shared" si="1"/>
        <v>274.657663164084</v>
      </c>
      <c r="F8" s="4">
        <f t="shared" si="4"/>
        <v>1125.3423368359161</v>
      </c>
      <c r="G8" s="4">
        <f t="shared" si="5"/>
        <v>12572.227063286609</v>
      </c>
      <c r="H8" s="4">
        <f t="shared" si="2"/>
        <v>7427.7729367133907</v>
      </c>
      <c r="J8" s="5" t="s">
        <v>25</v>
      </c>
      <c r="K8" s="29">
        <f>RATE(K10,-K9,K7)</f>
        <v>2.0051562079446531E-2</v>
      </c>
    </row>
    <row r="9" spans="1:12" x14ac:dyDescent="0.3">
      <c r="A9" s="19">
        <v>46290</v>
      </c>
      <c r="B9" s="24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5" t="s">
        <v>8</v>
      </c>
      <c r="K9" s="30">
        <v>1400</v>
      </c>
      <c r="L9" s="22"/>
    </row>
    <row r="10" spans="1:12" x14ac:dyDescent="0.3">
      <c r="A10" s="2">
        <v>46297</v>
      </c>
      <c r="B10" s="23">
        <f t="shared" si="3"/>
        <v>9</v>
      </c>
      <c r="C10" s="3"/>
      <c r="D10" s="4">
        <f t="shared" si="0"/>
        <v>1400</v>
      </c>
      <c r="E10" s="4">
        <f t="shared" si="1"/>
        <v>229.07545878243178</v>
      </c>
      <c r="F10" s="4">
        <f t="shared" si="4"/>
        <v>1170.9245412175683</v>
      </c>
      <c r="G10" s="4">
        <f t="shared" si="5"/>
        <v>10253.395313505431</v>
      </c>
      <c r="H10" s="4">
        <f t="shared" si="2"/>
        <v>9746.6046864945693</v>
      </c>
      <c r="J10" s="5" t="s">
        <v>26</v>
      </c>
      <c r="K10" s="31">
        <v>17</v>
      </c>
    </row>
    <row r="11" spans="1:12" ht="17.25" thickBot="1" x14ac:dyDescent="0.35">
      <c r="A11" s="19">
        <v>46304</v>
      </c>
      <c r="B11" s="24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8"/>
    </row>
    <row r="12" spans="1:12" x14ac:dyDescent="0.3">
      <c r="A12" s="2"/>
      <c r="B12" s="23" t="str">
        <f t="shared" si="3"/>
        <v/>
      </c>
      <c r="C12" s="3"/>
      <c r="D12" s="4" t="str">
        <f t="shared" si="0"/>
        <v/>
      </c>
      <c r="E12" s="4" t="str">
        <f t="shared" si="1"/>
        <v/>
      </c>
      <c r="F12" s="4" t="str">
        <f t="shared" si="4"/>
        <v/>
      </c>
      <c r="G12" s="4" t="str">
        <f t="shared" si="5"/>
        <v/>
      </c>
      <c r="H12" s="4" t="str">
        <f t="shared" si="2"/>
        <v/>
      </c>
      <c r="J12" s="9" t="s">
        <v>27</v>
      </c>
      <c r="K12" s="10">
        <f>IFERROR(MAX($B:$B),"")</f>
        <v>10</v>
      </c>
    </row>
    <row r="13" spans="1:12" x14ac:dyDescent="0.3">
      <c r="A13" s="19"/>
      <c r="B13" s="24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5" t="s">
        <v>22</v>
      </c>
      <c r="K13" s="12">
        <f>(K10*K9)-K9*K12</f>
        <v>9800</v>
      </c>
    </row>
    <row r="14" spans="1:12" x14ac:dyDescent="0.3">
      <c r="A14" s="2"/>
      <c r="B14" s="23" t="str">
        <f t="shared" si="3"/>
        <v/>
      </c>
      <c r="C14" s="3"/>
      <c r="D14" s="4" t="str">
        <f t="shared" si="0"/>
        <v/>
      </c>
      <c r="E14" s="4" t="str">
        <f t="shared" si="1"/>
        <v/>
      </c>
      <c r="F14" s="4" t="str">
        <f t="shared" si="4"/>
        <v/>
      </c>
      <c r="G14" s="4" t="str">
        <f t="shared" si="5"/>
        <v/>
      </c>
      <c r="H14" s="4" t="str">
        <f t="shared" si="2"/>
        <v/>
      </c>
      <c r="J14" s="11" t="s">
        <v>23</v>
      </c>
      <c r="K14" s="12">
        <f>IF(A2="", K9*K10, IFERROR(INDEX($G:$G, MATCH($K$12, $B:$B, 0)), 0))</f>
        <v>9058.9919061592918</v>
      </c>
    </row>
    <row r="15" spans="1:12" ht="17.25" thickBot="1" x14ac:dyDescent="0.35">
      <c r="A15" s="19"/>
      <c r="B15" s="24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3" t="s">
        <v>6</v>
      </c>
      <c r="K15" s="14">
        <f>IFERROR(INDEX($H:$H, MATCH($K$12, $B:$B, 0)), 0)</f>
        <v>10941.008093840708</v>
      </c>
    </row>
    <row r="16" spans="1:12" x14ac:dyDescent="0.3">
      <c r="A16" s="2"/>
      <c r="B16" s="23" t="str">
        <f t="shared" si="3"/>
        <v/>
      </c>
      <c r="C16" s="3"/>
      <c r="D16" s="4" t="str">
        <f t="shared" si="0"/>
        <v/>
      </c>
      <c r="E16" s="4" t="str">
        <f t="shared" si="1"/>
        <v/>
      </c>
      <c r="F16" s="4" t="str">
        <f t="shared" si="4"/>
        <v/>
      </c>
      <c r="G16" s="4" t="str">
        <f t="shared" si="5"/>
        <v/>
      </c>
      <c r="H16" s="4" t="str">
        <f t="shared" si="2"/>
        <v/>
      </c>
      <c r="J16" s="15" t="s">
        <v>18</v>
      </c>
      <c r="K16" s="16">
        <f>IF(A2,A2, "")</f>
        <v>46241</v>
      </c>
    </row>
    <row r="17" spans="1:11" x14ac:dyDescent="0.3">
      <c r="A17" s="19"/>
      <c r="B17" s="24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46360</v>
      </c>
    </row>
    <row r="18" spans="1:11" x14ac:dyDescent="0.3">
      <c r="A18" s="2"/>
      <c r="B18" s="23" t="str">
        <f t="shared" si="3"/>
        <v/>
      </c>
      <c r="C18" s="3"/>
      <c r="D18" s="4" t="str">
        <f t="shared" si="0"/>
        <v/>
      </c>
      <c r="E18" s="4" t="str">
        <f t="shared" si="1"/>
        <v/>
      </c>
      <c r="F18" s="4" t="str">
        <f t="shared" si="4"/>
        <v/>
      </c>
      <c r="G18" s="4" t="str">
        <f t="shared" si="5"/>
        <v/>
      </c>
      <c r="H18" s="4" t="str">
        <f t="shared" si="2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topLeftCell="A7" workbookViewId="0">
      <selection activeCell="A19" sqref="A19:A22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46288</v>
      </c>
      <c r="B2" s="23">
        <f>IF(A2&lt;&gt;"",1,"")</f>
        <v>1</v>
      </c>
      <c r="C2" s="3"/>
      <c r="D2" s="4">
        <f t="shared" ref="D2:D65" si="0">IF(AND($A2&lt;&gt;"",$B2&lt;&gt;""),$K$9,"")</f>
        <v>500</v>
      </c>
      <c r="E2" s="4">
        <f>IF(AND($A2&lt;&gt;"",$B2&lt;&gt;""),$K$7*$K$8,"")</f>
        <v>155.70909730003726</v>
      </c>
      <c r="F2" s="4">
        <f>IF(AND($A2&lt;&gt;"",$B2&lt;&gt;""),D2-E2,"")</f>
        <v>344.29090269996277</v>
      </c>
      <c r="G2" s="4">
        <f>IF(AND($A2&lt;&gt;"",$B2&lt;&gt;""),$K$7-F2,"")</f>
        <v>49655.709097300038</v>
      </c>
      <c r="H2" s="4">
        <f>IF(AND($A2&lt;&gt;"",$B2&lt;&gt;""),$K$7-G2,"")</f>
        <v>344.29090269996232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L50000D120-Kamala-N224</v>
      </c>
    </row>
    <row r="3" spans="1:12" x14ac:dyDescent="0.3">
      <c r="A3" s="19">
        <v>46288</v>
      </c>
      <c r="B3" s="24">
        <f>IF(A3&lt;&gt;"",B2+1,"")</f>
        <v>2</v>
      </c>
      <c r="C3" s="20"/>
      <c r="D3" s="21">
        <f t="shared" si="0"/>
        <v>500</v>
      </c>
      <c r="E3" s="21">
        <f t="shared" ref="E3:E66" si="1">IF(AND($A3&lt;&gt;"",$B3&lt;&gt;""),G2*$K$8,"")</f>
        <v>154.63691278667673</v>
      </c>
      <c r="F3" s="21">
        <f>IF(AND($A3&lt;&gt;"",$B3&lt;&gt;""),D3-E3,"")</f>
        <v>345.3630872133233</v>
      </c>
      <c r="G3" s="21">
        <f>IF(AND($A3&lt;&gt;"",$B3&lt;&gt;""),G2-F3,"")</f>
        <v>49310.346010086716</v>
      </c>
      <c r="H3" s="21">
        <f t="shared" ref="H3:H66" si="2">IF(AND($A3&lt;&gt;"",$B3&lt;&gt;""),$K$7-G3,"")</f>
        <v>689.65398991328402</v>
      </c>
      <c r="J3" s="5" t="s">
        <v>10</v>
      </c>
      <c r="K3" s="27" t="s">
        <v>21</v>
      </c>
    </row>
    <row r="4" spans="1:12" x14ac:dyDescent="0.3">
      <c r="A4" s="2">
        <v>46288</v>
      </c>
      <c r="B4" s="23">
        <f t="shared" ref="B4:B67" si="3">IF(A4&lt;&gt;"",B3+1,"")</f>
        <v>3</v>
      </c>
      <c r="C4" s="3"/>
      <c r="D4" s="4">
        <f t="shared" si="0"/>
        <v>500</v>
      </c>
      <c r="E4" s="4">
        <f t="shared" si="1"/>
        <v>153.56138929566194</v>
      </c>
      <c r="F4" s="4">
        <f>IF(AND($A4&lt;&gt;"",$B4&lt;&gt;""),D4-E4,"")</f>
        <v>346.43861070433809</v>
      </c>
      <c r="G4" s="4">
        <f>IF(AND($A4&lt;&gt;"",$B4&lt;&gt;""),G3-F4,"")</f>
        <v>48963.907399382377</v>
      </c>
      <c r="H4" s="4">
        <f t="shared" si="2"/>
        <v>1036.0926006176232</v>
      </c>
      <c r="J4" s="5" t="s">
        <v>11</v>
      </c>
      <c r="K4" s="27"/>
    </row>
    <row r="5" spans="1:12" x14ac:dyDescent="0.3">
      <c r="A5" s="19">
        <v>46288</v>
      </c>
      <c r="B5" s="24">
        <f t="shared" si="3"/>
        <v>4</v>
      </c>
      <c r="C5" s="20"/>
      <c r="D5" s="21">
        <f t="shared" si="0"/>
        <v>500</v>
      </c>
      <c r="E5" s="21">
        <f t="shared" si="1"/>
        <v>152.48251642880891</v>
      </c>
      <c r="F5" s="21">
        <f>IF(AND($A5&lt;&gt;"",$B5&lt;&gt;""),D5-E5,"")</f>
        <v>347.51748357119106</v>
      </c>
      <c r="G5" s="21">
        <f>IF(AND($A5&lt;&gt;"",$B5&lt;&gt;""),G4-F5,"")</f>
        <v>48616.389915811189</v>
      </c>
      <c r="H5" s="21">
        <f t="shared" si="2"/>
        <v>1383.610084188811</v>
      </c>
      <c r="J5" s="5" t="s">
        <v>12</v>
      </c>
      <c r="K5" s="27"/>
    </row>
    <row r="6" spans="1:12" x14ac:dyDescent="0.3">
      <c r="A6" s="2">
        <v>46288</v>
      </c>
      <c r="B6" s="23">
        <f t="shared" si="3"/>
        <v>5</v>
      </c>
      <c r="C6" s="3"/>
      <c r="D6" s="4">
        <f t="shared" si="0"/>
        <v>500</v>
      </c>
      <c r="E6" s="4">
        <f t="shared" si="1"/>
        <v>151.4002837555519</v>
      </c>
      <c r="F6" s="4">
        <f>IF(AND($A6&lt;&gt;"",$B6&lt;&gt;""),D6-E6,"")</f>
        <v>348.59971624444813</v>
      </c>
      <c r="G6" s="4">
        <f t="shared" ref="G6:G69" si="4">IF(AND($A6&lt;&gt;"",$B6&lt;&gt;""),G5-F6,"")</f>
        <v>48267.790199566742</v>
      </c>
      <c r="H6" s="4">
        <f t="shared" si="2"/>
        <v>1732.2098004332584</v>
      </c>
      <c r="J6" s="5" t="s">
        <v>13</v>
      </c>
      <c r="K6" s="27"/>
    </row>
    <row r="7" spans="1:12" x14ac:dyDescent="0.3">
      <c r="A7" s="19">
        <v>46295</v>
      </c>
      <c r="B7" s="24">
        <f t="shared" si="3"/>
        <v>6</v>
      </c>
      <c r="C7" s="20"/>
      <c r="D7" s="21">
        <f t="shared" si="0"/>
        <v>500</v>
      </c>
      <c r="E7" s="21">
        <f t="shared" si="1"/>
        <v>150.31468081284245</v>
      </c>
      <c r="F7" s="21">
        <f t="shared" ref="F7:F70" si="5">IF(AND($A7&lt;&gt;"",$B7&lt;&gt;""),D7-E7,"")</f>
        <v>349.68531918715757</v>
      </c>
      <c r="G7" s="21">
        <f t="shared" si="4"/>
        <v>47918.104880379586</v>
      </c>
      <c r="H7" s="21">
        <f t="shared" si="2"/>
        <v>2081.8951196204143</v>
      </c>
      <c r="J7" s="5" t="s">
        <v>7</v>
      </c>
      <c r="K7" s="28">
        <v>50000</v>
      </c>
    </row>
    <row r="8" spans="1:12" x14ac:dyDescent="0.3">
      <c r="A8" s="2">
        <v>46295</v>
      </c>
      <c r="B8" s="23">
        <f t="shared" si="3"/>
        <v>7</v>
      </c>
      <c r="C8" s="3"/>
      <c r="D8" s="4">
        <f t="shared" si="0"/>
        <v>500</v>
      </c>
      <c r="E8" s="4">
        <f t="shared" si="1"/>
        <v>149.22569710504831</v>
      </c>
      <c r="F8" s="4">
        <f t="shared" si="5"/>
        <v>350.77430289495169</v>
      </c>
      <c r="G8" s="4">
        <f t="shared" si="4"/>
        <v>47567.330577484638</v>
      </c>
      <c r="H8" s="4">
        <f t="shared" si="2"/>
        <v>2432.6694225153624</v>
      </c>
      <c r="J8" s="5" t="s">
        <v>14</v>
      </c>
      <c r="K8" s="29">
        <f>RATE(K10,-K9,K7)</f>
        <v>3.1141819460007453E-3</v>
      </c>
    </row>
    <row r="9" spans="1:12" x14ac:dyDescent="0.3">
      <c r="A9" s="19">
        <v>46295</v>
      </c>
      <c r="B9" s="24">
        <f t="shared" si="3"/>
        <v>8</v>
      </c>
      <c r="C9" s="20"/>
      <c r="D9" s="21">
        <f t="shared" si="0"/>
        <v>500</v>
      </c>
      <c r="E9" s="21">
        <f t="shared" si="1"/>
        <v>148.13332210385187</v>
      </c>
      <c r="F9" s="21">
        <f t="shared" si="5"/>
        <v>351.86667789614813</v>
      </c>
      <c r="G9" s="21">
        <f t="shared" si="4"/>
        <v>47215.463899588489</v>
      </c>
      <c r="H9" s="21">
        <f t="shared" si="2"/>
        <v>2784.5361004115111</v>
      </c>
      <c r="J9" s="5" t="s">
        <v>8</v>
      </c>
      <c r="K9" s="30">
        <v>500</v>
      </c>
    </row>
    <row r="10" spans="1:12" x14ac:dyDescent="0.3">
      <c r="A10" s="2">
        <v>46295</v>
      </c>
      <c r="B10" s="23">
        <f t="shared" si="3"/>
        <v>9</v>
      </c>
      <c r="C10" s="3"/>
      <c r="D10" s="4">
        <f t="shared" si="0"/>
        <v>500</v>
      </c>
      <c r="E10" s="4">
        <f t="shared" si="1"/>
        <v>147.03754524814843</v>
      </c>
      <c r="F10" s="4">
        <f t="shared" si="5"/>
        <v>352.96245475185157</v>
      </c>
      <c r="G10" s="4">
        <f t="shared" si="4"/>
        <v>46862.501444836635</v>
      </c>
      <c r="H10" s="4">
        <f t="shared" si="2"/>
        <v>3137.4985551633654</v>
      </c>
      <c r="J10" s="5" t="s">
        <v>15</v>
      </c>
      <c r="K10" s="31">
        <v>120</v>
      </c>
    </row>
    <row r="11" spans="1:12" ht="17.25" thickBot="1" x14ac:dyDescent="0.35">
      <c r="A11" s="19">
        <v>46295</v>
      </c>
      <c r="B11" s="24">
        <f t="shared" si="3"/>
        <v>10</v>
      </c>
      <c r="C11" s="20"/>
      <c r="D11" s="21">
        <f t="shared" si="0"/>
        <v>500</v>
      </c>
      <c r="E11" s="21">
        <f t="shared" si="1"/>
        <v>145.93835594394409</v>
      </c>
      <c r="F11" s="21">
        <f t="shared" si="5"/>
        <v>354.06164405605591</v>
      </c>
      <c r="G11" s="21">
        <f t="shared" si="4"/>
        <v>46508.439800780579</v>
      </c>
      <c r="H11" s="21">
        <f t="shared" si="2"/>
        <v>3491.5601992194206</v>
      </c>
      <c r="J11" s="8"/>
      <c r="L11" s="22"/>
    </row>
    <row r="12" spans="1:12" x14ac:dyDescent="0.3">
      <c r="A12" s="2">
        <v>46295</v>
      </c>
      <c r="B12" s="23">
        <f t="shared" si="3"/>
        <v>11</v>
      </c>
      <c r="C12" s="3"/>
      <c r="D12" s="4">
        <f t="shared" si="0"/>
        <v>500</v>
      </c>
      <c r="E12" s="4">
        <f t="shared" si="1"/>
        <v>144.83574356425339</v>
      </c>
      <c r="F12" s="4">
        <f t="shared" si="5"/>
        <v>355.16425643574661</v>
      </c>
      <c r="G12" s="4">
        <f t="shared" si="4"/>
        <v>46153.275544344833</v>
      </c>
      <c r="H12" s="4">
        <f t="shared" si="2"/>
        <v>3846.7244556551668</v>
      </c>
      <c r="J12" s="9" t="s">
        <v>16</v>
      </c>
      <c r="K12" s="10">
        <f>IFERROR(MAX($B:$B),"")</f>
        <v>21</v>
      </c>
    </row>
    <row r="13" spans="1:12" x14ac:dyDescent="0.3">
      <c r="A13" s="19">
        <v>46300</v>
      </c>
      <c r="B13" s="24">
        <f t="shared" si="3"/>
        <v>12</v>
      </c>
      <c r="C13" s="20"/>
      <c r="D13" s="21">
        <f t="shared" si="0"/>
        <v>500</v>
      </c>
      <c r="E13" s="21">
        <f t="shared" si="1"/>
        <v>143.7296974489964</v>
      </c>
      <c r="F13" s="21">
        <f t="shared" si="5"/>
        <v>356.27030255100362</v>
      </c>
      <c r="G13" s="21">
        <f t="shared" si="4"/>
        <v>45797.005241793828</v>
      </c>
      <c r="H13" s="21">
        <f t="shared" si="2"/>
        <v>4202.9947582061723</v>
      </c>
      <c r="J13" s="25" t="s">
        <v>22</v>
      </c>
      <c r="K13" s="12">
        <f>(K10*K9)-K9*K12</f>
        <v>49500</v>
      </c>
    </row>
    <row r="14" spans="1:12" x14ac:dyDescent="0.3">
      <c r="A14" s="2">
        <v>46300</v>
      </c>
      <c r="B14" s="23">
        <f t="shared" si="3"/>
        <v>13</v>
      </c>
      <c r="C14" s="3"/>
      <c r="D14" s="4">
        <f t="shared" si="0"/>
        <v>500</v>
      </c>
      <c r="E14" s="4">
        <f t="shared" si="1"/>
        <v>142.62020690489584</v>
      </c>
      <c r="F14" s="4">
        <f t="shared" si="5"/>
        <v>357.37979309510416</v>
      </c>
      <c r="G14" s="4">
        <f t="shared" si="4"/>
        <v>45439.625448698724</v>
      </c>
      <c r="H14" s="4">
        <f t="shared" si="2"/>
        <v>4560.3745513012764</v>
      </c>
      <c r="J14" s="11" t="s">
        <v>23</v>
      </c>
      <c r="K14" s="12">
        <f>IF(A2="", K9*K10, IFERROR(INDEX($G:$G, MATCH($K$12, $B:$B, 0)), 0))</f>
        <v>42540.228557637194</v>
      </c>
    </row>
    <row r="15" spans="1:12" ht="17.25" thickBot="1" x14ac:dyDescent="0.35">
      <c r="A15" s="19">
        <v>46300</v>
      </c>
      <c r="B15" s="24">
        <f t="shared" si="3"/>
        <v>14</v>
      </c>
      <c r="C15" s="20"/>
      <c r="D15" s="21">
        <f t="shared" si="0"/>
        <v>500</v>
      </c>
      <c r="E15" s="21">
        <f t="shared" si="1"/>
        <v>141.5072612053736</v>
      </c>
      <c r="F15" s="21">
        <f t="shared" si="5"/>
        <v>358.4927387946264</v>
      </c>
      <c r="G15" s="21">
        <f t="shared" si="4"/>
        <v>45081.132709904094</v>
      </c>
      <c r="H15" s="21">
        <f t="shared" si="2"/>
        <v>4918.8672900959064</v>
      </c>
      <c r="J15" s="13" t="s">
        <v>6</v>
      </c>
      <c r="K15" s="14">
        <f>IFERROR(INDEX($H:$H, MATCH($K$12, $B:$B, 0)), 0)</f>
        <v>7459.7714423628058</v>
      </c>
    </row>
    <row r="16" spans="1:12" x14ac:dyDescent="0.3">
      <c r="A16" s="2">
        <v>46300</v>
      </c>
      <c r="B16" s="23">
        <f t="shared" si="3"/>
        <v>15</v>
      </c>
      <c r="C16" s="3"/>
      <c r="D16" s="4">
        <f t="shared" si="0"/>
        <v>500</v>
      </c>
      <c r="E16" s="4">
        <f t="shared" si="1"/>
        <v>140.39084959044698</v>
      </c>
      <c r="F16" s="4">
        <f t="shared" si="5"/>
        <v>359.60915040955302</v>
      </c>
      <c r="G16" s="4">
        <f t="shared" si="4"/>
        <v>44721.523559494541</v>
      </c>
      <c r="H16" s="4">
        <f t="shared" si="2"/>
        <v>5278.4764405054593</v>
      </c>
      <c r="J16" s="15" t="s">
        <v>18</v>
      </c>
      <c r="K16" s="16">
        <f>IF(A2,A2, "")</f>
        <v>46288</v>
      </c>
    </row>
    <row r="17" spans="1:11" x14ac:dyDescent="0.3">
      <c r="A17" s="19">
        <v>46300</v>
      </c>
      <c r="B17" s="24">
        <f t="shared" si="3"/>
        <v>16</v>
      </c>
      <c r="C17" s="20"/>
      <c r="D17" s="21">
        <f t="shared" si="0"/>
        <v>500</v>
      </c>
      <c r="E17" s="21">
        <f t="shared" si="1"/>
        <v>139.27096126662488</v>
      </c>
      <c r="F17" s="21">
        <f t="shared" si="5"/>
        <v>360.72903873337509</v>
      </c>
      <c r="G17" s="21">
        <f t="shared" si="4"/>
        <v>44360.794520761163</v>
      </c>
      <c r="H17" s="21">
        <f t="shared" si="2"/>
        <v>5639.2054792388371</v>
      </c>
      <c r="J17" s="17" t="s">
        <v>19</v>
      </c>
      <c r="K17" s="18">
        <f xml:space="preserve"> IF(A2,(K16 + 120),"")</f>
        <v>46408</v>
      </c>
    </row>
    <row r="18" spans="1:11" x14ac:dyDescent="0.3">
      <c r="A18" s="2">
        <v>46305</v>
      </c>
      <c r="B18" s="23">
        <f t="shared" si="3"/>
        <v>17</v>
      </c>
      <c r="C18" s="3"/>
      <c r="D18" s="4">
        <f t="shared" si="0"/>
        <v>500</v>
      </c>
      <c r="E18" s="4">
        <f t="shared" si="1"/>
        <v>138.14758540680319</v>
      </c>
      <c r="F18" s="4">
        <f t="shared" si="5"/>
        <v>361.85241459319684</v>
      </c>
      <c r="G18" s="4">
        <f t="shared" si="4"/>
        <v>43998.942106167968</v>
      </c>
      <c r="H18" s="4">
        <f t="shared" si="2"/>
        <v>6001.0578938320323</v>
      </c>
    </row>
    <row r="19" spans="1:11" x14ac:dyDescent="0.3">
      <c r="A19" s="19">
        <v>46305</v>
      </c>
      <c r="B19" s="24">
        <f t="shared" si="3"/>
        <v>18</v>
      </c>
      <c r="C19" s="20"/>
      <c r="D19" s="21">
        <f t="shared" si="0"/>
        <v>500</v>
      </c>
      <c r="E19" s="21">
        <f t="shared" si="1"/>
        <v>137.02071115016028</v>
      </c>
      <c r="F19" s="21">
        <f t="shared" si="5"/>
        <v>362.97928884983969</v>
      </c>
      <c r="G19" s="21">
        <f t="shared" si="4"/>
        <v>43635.962817318126</v>
      </c>
      <c r="H19" s="21">
        <f t="shared" si="2"/>
        <v>6364.0371826818737</v>
      </c>
    </row>
    <row r="20" spans="1:11" x14ac:dyDescent="0.3">
      <c r="A20" s="2">
        <v>46305</v>
      </c>
      <c r="B20" s="23">
        <f t="shared" si="3"/>
        <v>19</v>
      </c>
      <c r="C20" s="3"/>
      <c r="D20" s="4">
        <f t="shared" si="0"/>
        <v>500</v>
      </c>
      <c r="E20" s="4">
        <f t="shared" si="1"/>
        <v>135.89032760205194</v>
      </c>
      <c r="F20" s="4">
        <f t="shared" si="5"/>
        <v>364.10967239794809</v>
      </c>
      <c r="G20" s="4">
        <f t="shared" si="4"/>
        <v>43271.853144920176</v>
      </c>
      <c r="H20" s="4">
        <f t="shared" si="2"/>
        <v>6728.1468550798236</v>
      </c>
      <c r="J20" s="22"/>
      <c r="K20" s="22"/>
    </row>
    <row r="21" spans="1:11" x14ac:dyDescent="0.3">
      <c r="A21" s="19">
        <v>46305</v>
      </c>
      <c r="B21" s="24">
        <f t="shared" si="3"/>
        <v>20</v>
      </c>
      <c r="C21" s="20"/>
      <c r="D21" s="21">
        <f t="shared" si="0"/>
        <v>500</v>
      </c>
      <c r="E21" s="21">
        <f t="shared" si="1"/>
        <v>134.75642383390598</v>
      </c>
      <c r="F21" s="21">
        <f t="shared" si="5"/>
        <v>365.24357616609404</v>
      </c>
      <c r="G21" s="21">
        <f t="shared" si="4"/>
        <v>42906.60956875408</v>
      </c>
      <c r="H21" s="21">
        <f t="shared" si="2"/>
        <v>7093.3904312459199</v>
      </c>
    </row>
    <row r="22" spans="1:11" x14ac:dyDescent="0.3">
      <c r="A22" s="2">
        <v>46305</v>
      </c>
      <c r="B22" s="23">
        <f t="shared" si="3"/>
        <v>21</v>
      </c>
      <c r="C22" s="3"/>
      <c r="D22" s="4">
        <f t="shared" si="0"/>
        <v>500</v>
      </c>
      <c r="E22" s="4">
        <f t="shared" si="1"/>
        <v>133.61898888311677</v>
      </c>
      <c r="F22" s="4">
        <f t="shared" si="5"/>
        <v>366.3810111168832</v>
      </c>
      <c r="G22" s="4">
        <f t="shared" si="4"/>
        <v>42540.228557637194</v>
      </c>
      <c r="H22" s="4">
        <f t="shared" si="2"/>
        <v>7459.7714423628058</v>
      </c>
    </row>
    <row r="23" spans="1:11" x14ac:dyDescent="0.3">
      <c r="A23" s="19"/>
      <c r="B23" s="24" t="str">
        <f t="shared" si="3"/>
        <v/>
      </c>
      <c r="C23" s="20"/>
      <c r="D23" s="21" t="str">
        <f t="shared" si="0"/>
        <v/>
      </c>
      <c r="E23" s="21" t="str">
        <f t="shared" si="1"/>
        <v/>
      </c>
      <c r="F23" s="21" t="str">
        <f t="shared" si="5"/>
        <v/>
      </c>
      <c r="G23" s="21" t="str">
        <f t="shared" si="4"/>
        <v/>
      </c>
      <c r="H23" s="21" t="str">
        <f t="shared" si="2"/>
        <v/>
      </c>
    </row>
    <row r="24" spans="1:11" x14ac:dyDescent="0.3">
      <c r="A24" s="2"/>
      <c r="B24" s="23" t="str">
        <f t="shared" si="3"/>
        <v/>
      </c>
      <c r="C24" s="3"/>
      <c r="D24" s="4" t="str">
        <f t="shared" si="0"/>
        <v/>
      </c>
      <c r="E24" s="4" t="str">
        <f t="shared" si="1"/>
        <v/>
      </c>
      <c r="F24" s="4" t="str">
        <f t="shared" si="5"/>
        <v/>
      </c>
      <c r="G24" s="4" t="str">
        <f t="shared" si="4"/>
        <v/>
      </c>
      <c r="H24" s="4" t="str">
        <f t="shared" si="2"/>
        <v/>
      </c>
    </row>
    <row r="25" spans="1:11" x14ac:dyDescent="0.3">
      <c r="A25" s="19"/>
      <c r="B25" s="24" t="str">
        <f t="shared" si="3"/>
        <v/>
      </c>
      <c r="C25" s="20"/>
      <c r="D25" s="21" t="str">
        <f t="shared" si="0"/>
        <v/>
      </c>
      <c r="E25" s="21" t="str">
        <f t="shared" si="1"/>
        <v/>
      </c>
      <c r="F25" s="21" t="str">
        <f t="shared" si="5"/>
        <v/>
      </c>
      <c r="G25" s="21" t="str">
        <f t="shared" si="4"/>
        <v/>
      </c>
      <c r="H25" s="21" t="str">
        <f t="shared" si="2"/>
        <v/>
      </c>
    </row>
    <row r="26" spans="1:11" x14ac:dyDescent="0.3">
      <c r="A26" s="2"/>
      <c r="B26" s="23" t="str">
        <f t="shared" si="3"/>
        <v/>
      </c>
      <c r="C26" s="3"/>
      <c r="D26" s="4" t="str">
        <f t="shared" si="0"/>
        <v/>
      </c>
      <c r="E26" s="4" t="str">
        <f t="shared" si="1"/>
        <v/>
      </c>
      <c r="F26" s="4" t="str">
        <f t="shared" si="5"/>
        <v/>
      </c>
      <c r="G26" s="4" t="str">
        <f t="shared" si="4"/>
        <v/>
      </c>
      <c r="H26" s="4" t="str">
        <f t="shared" si="2"/>
        <v/>
      </c>
    </row>
    <row r="27" spans="1:11" x14ac:dyDescent="0.3">
      <c r="A27" s="19"/>
      <c r="B27" s="24" t="str">
        <f t="shared" si="3"/>
        <v/>
      </c>
      <c r="C27" s="20"/>
      <c r="D27" s="21" t="str">
        <f t="shared" si="0"/>
        <v/>
      </c>
      <c r="E27" s="21" t="str">
        <f t="shared" si="1"/>
        <v/>
      </c>
      <c r="F27" s="21" t="str">
        <f t="shared" si="5"/>
        <v/>
      </c>
      <c r="G27" s="21" t="str">
        <f t="shared" si="4"/>
        <v/>
      </c>
      <c r="H27" s="21" t="str">
        <f t="shared" si="2"/>
        <v/>
      </c>
    </row>
    <row r="28" spans="1:11" x14ac:dyDescent="0.3">
      <c r="A28" s="2"/>
      <c r="B28" s="23" t="str">
        <f t="shared" si="3"/>
        <v/>
      </c>
      <c r="C28" s="3"/>
      <c r="D28" s="4" t="str">
        <f t="shared" si="0"/>
        <v/>
      </c>
      <c r="E28" s="4" t="str">
        <f t="shared" si="1"/>
        <v/>
      </c>
      <c r="F28" s="4" t="str">
        <f t="shared" si="5"/>
        <v/>
      </c>
      <c r="G28" s="4" t="str">
        <f t="shared" si="4"/>
        <v/>
      </c>
      <c r="H28" s="4" t="str">
        <f t="shared" si="2"/>
        <v/>
      </c>
    </row>
    <row r="29" spans="1:11" x14ac:dyDescent="0.3">
      <c r="A29" s="19"/>
      <c r="B29" s="24" t="str">
        <f t="shared" si="3"/>
        <v/>
      </c>
      <c r="C29" s="20"/>
      <c r="D29" s="21" t="str">
        <f t="shared" si="0"/>
        <v/>
      </c>
      <c r="E29" s="21" t="str">
        <f t="shared" si="1"/>
        <v/>
      </c>
      <c r="F29" s="21" t="str">
        <f t="shared" si="5"/>
        <v/>
      </c>
      <c r="G29" s="21" t="str">
        <f t="shared" si="4"/>
        <v/>
      </c>
      <c r="H29" s="21" t="str">
        <f t="shared" si="2"/>
        <v/>
      </c>
    </row>
    <row r="30" spans="1:11" x14ac:dyDescent="0.3">
      <c r="A30" s="2"/>
      <c r="B30" s="23" t="str">
        <f t="shared" si="3"/>
        <v/>
      </c>
      <c r="C30" s="3"/>
      <c r="D30" s="4" t="str">
        <f t="shared" si="0"/>
        <v/>
      </c>
      <c r="E30" s="4" t="str">
        <f t="shared" si="1"/>
        <v/>
      </c>
      <c r="F30" s="4" t="str">
        <f t="shared" si="5"/>
        <v/>
      </c>
      <c r="G30" s="4" t="str">
        <f t="shared" si="4"/>
        <v/>
      </c>
      <c r="H30" s="4" t="str">
        <f t="shared" si="2"/>
        <v/>
      </c>
    </row>
    <row r="31" spans="1:11" x14ac:dyDescent="0.3">
      <c r="A31" s="19"/>
      <c r="B31" s="24" t="str">
        <f t="shared" si="3"/>
        <v/>
      </c>
      <c r="C31" s="20"/>
      <c r="D31" s="21" t="str">
        <f t="shared" si="0"/>
        <v/>
      </c>
      <c r="E31" s="21" t="str">
        <f t="shared" si="1"/>
        <v/>
      </c>
      <c r="F31" s="21" t="str">
        <f t="shared" si="5"/>
        <v/>
      </c>
      <c r="G31" s="21" t="str">
        <f t="shared" si="4"/>
        <v/>
      </c>
      <c r="H31" s="21" t="str">
        <f t="shared" si="2"/>
        <v/>
      </c>
    </row>
    <row r="32" spans="1:11" x14ac:dyDescent="0.3">
      <c r="A32" s="2"/>
      <c r="B32" s="23" t="str">
        <f t="shared" si="3"/>
        <v/>
      </c>
      <c r="C32" s="3"/>
      <c r="D32" s="4" t="str">
        <f t="shared" si="0"/>
        <v/>
      </c>
      <c r="E32" s="4" t="str">
        <f t="shared" si="1"/>
        <v/>
      </c>
      <c r="F32" s="4" t="str">
        <f t="shared" si="5"/>
        <v/>
      </c>
      <c r="G32" s="4" t="str">
        <f t="shared" si="4"/>
        <v/>
      </c>
      <c r="H32" s="4" t="str">
        <f t="shared" si="2"/>
        <v/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si="0"/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0"/>
        <v/>
      </c>
      <c r="E35" s="21" t="str">
        <f t="shared" si="1"/>
        <v/>
      </c>
      <c r="F35" s="21" t="str">
        <f t="shared" si="5"/>
        <v/>
      </c>
      <c r="G35" s="21" t="str">
        <f t="shared" si="4"/>
        <v/>
      </c>
      <c r="H35" s="21" t="str">
        <f t="shared" si="2"/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0"/>
        <v/>
      </c>
      <c r="E36" s="4" t="str">
        <f t="shared" si="1"/>
        <v/>
      </c>
      <c r="F36" s="4" t="str">
        <f t="shared" si="5"/>
        <v/>
      </c>
      <c r="G36" s="4" t="str">
        <f t="shared" si="4"/>
        <v/>
      </c>
      <c r="H36" s="4" t="str">
        <f t="shared" si="2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0"/>
        <v/>
      </c>
      <c r="E37" s="21" t="str">
        <f t="shared" si="1"/>
        <v/>
      </c>
      <c r="F37" s="21" t="str">
        <f t="shared" si="5"/>
        <v/>
      </c>
      <c r="G37" s="21" t="str">
        <f t="shared" si="4"/>
        <v/>
      </c>
      <c r="H37" s="21" t="str">
        <f t="shared" si="2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0"/>
        <v/>
      </c>
      <c r="E38" s="4" t="str">
        <f t="shared" si="1"/>
        <v/>
      </c>
      <c r="F38" s="4" t="str">
        <f t="shared" si="5"/>
        <v/>
      </c>
      <c r="G38" s="4" t="str">
        <f t="shared" si="4"/>
        <v/>
      </c>
      <c r="H38" s="4" t="str">
        <f t="shared" si="2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0"/>
        <v/>
      </c>
      <c r="E39" s="21" t="str">
        <f t="shared" si="1"/>
        <v/>
      </c>
      <c r="F39" s="21" t="str">
        <f t="shared" si="5"/>
        <v/>
      </c>
      <c r="G39" s="21" t="str">
        <f t="shared" si="4"/>
        <v/>
      </c>
      <c r="H39" s="21" t="str">
        <f t="shared" si="2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0"/>
        <v/>
      </c>
      <c r="E40" s="4" t="str">
        <f t="shared" si="1"/>
        <v/>
      </c>
      <c r="F40" s="4" t="str">
        <f t="shared" si="5"/>
        <v/>
      </c>
      <c r="G40" s="4" t="str">
        <f t="shared" si="4"/>
        <v/>
      </c>
      <c r="H40" s="4" t="str">
        <f t="shared" si="2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0"/>
        <v/>
      </c>
      <c r="E41" s="21" t="str">
        <f t="shared" si="1"/>
        <v/>
      </c>
      <c r="F41" s="21" t="str">
        <f t="shared" si="5"/>
        <v/>
      </c>
      <c r="G41" s="21" t="str">
        <f t="shared" si="4"/>
        <v/>
      </c>
      <c r="H41" s="21" t="str">
        <f t="shared" si="2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0"/>
        <v/>
      </c>
      <c r="E42" s="4" t="str">
        <f t="shared" si="1"/>
        <v/>
      </c>
      <c r="F42" s="4" t="str">
        <f t="shared" si="5"/>
        <v/>
      </c>
      <c r="G42" s="4" t="str">
        <f t="shared" si="4"/>
        <v/>
      </c>
      <c r="H42" s="4" t="str">
        <f t="shared" si="2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0"/>
        <v/>
      </c>
      <c r="E43" s="21" t="str">
        <f t="shared" si="1"/>
        <v/>
      </c>
      <c r="F43" s="21" t="str">
        <f t="shared" si="5"/>
        <v/>
      </c>
      <c r="G43" s="21" t="str">
        <f t="shared" si="4"/>
        <v/>
      </c>
      <c r="H43" s="21" t="str">
        <f t="shared" si="2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0"/>
        <v/>
      </c>
      <c r="E44" s="4" t="str">
        <f t="shared" si="1"/>
        <v/>
      </c>
      <c r="F44" s="4" t="str">
        <f t="shared" si="5"/>
        <v/>
      </c>
      <c r="G44" s="4" t="str">
        <f t="shared" si="4"/>
        <v/>
      </c>
      <c r="H44" s="4" t="str">
        <f t="shared" si="2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0"/>
        <v/>
      </c>
      <c r="E45" s="21" t="str">
        <f t="shared" si="1"/>
        <v/>
      </c>
      <c r="F45" s="21" t="str">
        <f t="shared" si="5"/>
        <v/>
      </c>
      <c r="G45" s="21" t="str">
        <f t="shared" si="4"/>
        <v/>
      </c>
      <c r="H45" s="21" t="str">
        <f t="shared" si="2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0"/>
        <v/>
      </c>
      <c r="E46" s="4" t="str">
        <f t="shared" si="1"/>
        <v/>
      </c>
      <c r="F46" s="4" t="str">
        <f t="shared" si="5"/>
        <v/>
      </c>
      <c r="G46" s="4" t="str">
        <f t="shared" si="4"/>
        <v/>
      </c>
      <c r="H46" s="4" t="str">
        <f t="shared" si="2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0"/>
        <v/>
      </c>
      <c r="E47" s="21" t="str">
        <f t="shared" si="1"/>
        <v/>
      </c>
      <c r="F47" s="21" t="str">
        <f t="shared" si="5"/>
        <v/>
      </c>
      <c r="G47" s="21" t="str">
        <f t="shared" si="4"/>
        <v/>
      </c>
      <c r="H47" s="21" t="str">
        <f t="shared" si="2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0"/>
        <v/>
      </c>
      <c r="E48" s="4" t="str">
        <f t="shared" si="1"/>
        <v/>
      </c>
      <c r="F48" s="4" t="str">
        <f t="shared" si="5"/>
        <v/>
      </c>
      <c r="G48" s="4" t="str">
        <f t="shared" si="4"/>
        <v/>
      </c>
      <c r="H48" s="4" t="str">
        <f t="shared" si="2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0"/>
        <v/>
      </c>
      <c r="E49" s="21" t="str">
        <f t="shared" si="1"/>
        <v/>
      </c>
      <c r="F49" s="21" t="str">
        <f t="shared" si="5"/>
        <v/>
      </c>
      <c r="G49" s="21" t="str">
        <f t="shared" si="4"/>
        <v/>
      </c>
      <c r="H49" s="21" t="str">
        <f t="shared" si="2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0"/>
        <v/>
      </c>
      <c r="E50" s="4" t="str">
        <f t="shared" si="1"/>
        <v/>
      </c>
      <c r="F50" s="4" t="str">
        <f t="shared" si="5"/>
        <v/>
      </c>
      <c r="G50" s="4" t="str">
        <f t="shared" si="4"/>
        <v/>
      </c>
      <c r="H50" s="4" t="str">
        <f t="shared" si="2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0"/>
        <v/>
      </c>
      <c r="E51" s="21" t="str">
        <f t="shared" si="1"/>
        <v/>
      </c>
      <c r="F51" s="21" t="str">
        <f t="shared" si="5"/>
        <v/>
      </c>
      <c r="G51" s="21" t="str">
        <f t="shared" si="4"/>
        <v/>
      </c>
      <c r="H51" s="21" t="str">
        <f t="shared" si="2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0"/>
        <v/>
      </c>
      <c r="E52" s="4" t="str">
        <f t="shared" si="1"/>
        <v/>
      </c>
      <c r="F52" s="4" t="str">
        <f t="shared" si="5"/>
        <v/>
      </c>
      <c r="G52" s="4" t="str">
        <f t="shared" si="4"/>
        <v/>
      </c>
      <c r="H52" s="4" t="str">
        <f t="shared" si="2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0"/>
        <v/>
      </c>
      <c r="E53" s="21" t="str">
        <f t="shared" si="1"/>
        <v/>
      </c>
      <c r="F53" s="21" t="str">
        <f t="shared" si="5"/>
        <v/>
      </c>
      <c r="G53" s="21" t="str">
        <f t="shared" si="4"/>
        <v/>
      </c>
      <c r="H53" s="21" t="str">
        <f t="shared" si="2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0"/>
        <v/>
      </c>
      <c r="E54" s="4" t="str">
        <f t="shared" si="1"/>
        <v/>
      </c>
      <c r="F54" s="4" t="str">
        <f t="shared" si="5"/>
        <v/>
      </c>
      <c r="G54" s="4" t="str">
        <f t="shared" si="4"/>
        <v/>
      </c>
      <c r="H54" s="4" t="str">
        <f t="shared" si="2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0"/>
        <v/>
      </c>
      <c r="E55" s="21" t="str">
        <f t="shared" si="1"/>
        <v/>
      </c>
      <c r="F55" s="21" t="str">
        <f t="shared" si="5"/>
        <v/>
      </c>
      <c r="G55" s="21" t="str">
        <f t="shared" si="4"/>
        <v/>
      </c>
      <c r="H55" s="21" t="str">
        <f t="shared" si="2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0"/>
        <v/>
      </c>
      <c r="E56" s="4" t="str">
        <f t="shared" si="1"/>
        <v/>
      </c>
      <c r="F56" s="4" t="str">
        <f t="shared" si="5"/>
        <v/>
      </c>
      <c r="G56" s="4" t="str">
        <f t="shared" si="4"/>
        <v/>
      </c>
      <c r="H56" s="4" t="str">
        <f t="shared" si="2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0"/>
        <v/>
      </c>
      <c r="E57" s="21" t="str">
        <f t="shared" si="1"/>
        <v/>
      </c>
      <c r="F57" s="21" t="str">
        <f t="shared" si="5"/>
        <v/>
      </c>
      <c r="G57" s="21" t="str">
        <f t="shared" si="4"/>
        <v/>
      </c>
      <c r="H57" s="21" t="str">
        <f t="shared" si="2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0"/>
        <v/>
      </c>
      <c r="E58" s="4" t="str">
        <f t="shared" si="1"/>
        <v/>
      </c>
      <c r="F58" s="4" t="str">
        <f t="shared" si="5"/>
        <v/>
      </c>
      <c r="G58" s="4" t="str">
        <f t="shared" si="4"/>
        <v/>
      </c>
      <c r="H58" s="4" t="str">
        <f t="shared" si="2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0"/>
        <v/>
      </c>
      <c r="E59" s="21" t="str">
        <f t="shared" si="1"/>
        <v/>
      </c>
      <c r="F59" s="21" t="str">
        <f t="shared" si="5"/>
        <v/>
      </c>
      <c r="G59" s="21" t="str">
        <f t="shared" si="4"/>
        <v/>
      </c>
      <c r="H59" s="21" t="str">
        <f t="shared" si="2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0"/>
        <v/>
      </c>
      <c r="E60" s="4" t="str">
        <f t="shared" si="1"/>
        <v/>
      </c>
      <c r="F60" s="4" t="str">
        <f t="shared" si="5"/>
        <v/>
      </c>
      <c r="G60" s="4" t="str">
        <f t="shared" si="4"/>
        <v/>
      </c>
      <c r="H60" s="4" t="str">
        <f t="shared" si="2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0"/>
        <v/>
      </c>
      <c r="E61" s="21" t="str">
        <f t="shared" si="1"/>
        <v/>
      </c>
      <c r="F61" s="21" t="str">
        <f t="shared" si="5"/>
        <v/>
      </c>
      <c r="G61" s="21" t="str">
        <f t="shared" si="4"/>
        <v/>
      </c>
      <c r="H61" s="21" t="str">
        <f t="shared" si="2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0"/>
        <v/>
      </c>
      <c r="E62" s="4" t="str">
        <f t="shared" si="1"/>
        <v/>
      </c>
      <c r="F62" s="4" t="str">
        <f t="shared" si="5"/>
        <v/>
      </c>
      <c r="G62" s="4" t="str">
        <f t="shared" si="4"/>
        <v/>
      </c>
      <c r="H62" s="4" t="str">
        <f t="shared" si="2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0"/>
        <v/>
      </c>
      <c r="E63" s="21" t="str">
        <f t="shared" si="1"/>
        <v/>
      </c>
      <c r="F63" s="21" t="str">
        <f t="shared" si="5"/>
        <v/>
      </c>
      <c r="G63" s="21" t="str">
        <f t="shared" si="4"/>
        <v/>
      </c>
      <c r="H63" s="21" t="str">
        <f t="shared" si="2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0"/>
        <v/>
      </c>
      <c r="E64" s="4" t="str">
        <f t="shared" si="1"/>
        <v/>
      </c>
      <c r="F64" s="4" t="str">
        <f t="shared" si="5"/>
        <v/>
      </c>
      <c r="G64" s="4" t="str">
        <f t="shared" si="4"/>
        <v/>
      </c>
      <c r="H64" s="4" t="str">
        <f t="shared" si="2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0"/>
        <v/>
      </c>
      <c r="E65" s="21" t="str">
        <f t="shared" si="1"/>
        <v/>
      </c>
      <c r="F65" s="21" t="str">
        <f t="shared" si="5"/>
        <v/>
      </c>
      <c r="G65" s="21" t="str">
        <f t="shared" si="4"/>
        <v/>
      </c>
      <c r="H65" s="21" t="str">
        <f t="shared" si="2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121" si="6">IF(AND($A66&lt;&gt;"",$B66&lt;&gt;""),$K$9,"")</f>
        <v/>
      </c>
      <c r="E66" s="4" t="str">
        <f t="shared" si="1"/>
        <v/>
      </c>
      <c r="F66" s="4" t="str">
        <f t="shared" si="5"/>
        <v/>
      </c>
      <c r="G66" s="4" t="str">
        <f t="shared" si="4"/>
        <v/>
      </c>
      <c r="H66" s="4" t="str">
        <f t="shared" si="2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6"/>
        <v/>
      </c>
      <c r="E67" s="21" t="str">
        <f t="shared" ref="E67:E121" si="7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121" si="8">IF(AND($A67&lt;&gt;"",$B67&lt;&gt;""),$K$7-G67,"")</f>
        <v/>
      </c>
    </row>
    <row r="68" spans="1:8" x14ac:dyDescent="0.3">
      <c r="A68" s="2"/>
      <c r="B68" s="23" t="str">
        <f t="shared" ref="B68:B121" si="9">IF(A68&lt;&gt;"",B67+1,"")</f>
        <v/>
      </c>
      <c r="C68" s="3"/>
      <c r="D68" s="4" t="str">
        <f t="shared" si="6"/>
        <v/>
      </c>
      <c r="E68" s="4" t="str">
        <f t="shared" si="7"/>
        <v/>
      </c>
      <c r="F68" s="4" t="str">
        <f t="shared" si="5"/>
        <v/>
      </c>
      <c r="G68" s="4" t="str">
        <f t="shared" si="4"/>
        <v/>
      </c>
      <c r="H68" s="4" t="str">
        <f t="shared" si="8"/>
        <v/>
      </c>
    </row>
    <row r="69" spans="1:8" x14ac:dyDescent="0.3">
      <c r="A69" s="19"/>
      <c r="B69" s="24" t="str">
        <f t="shared" si="9"/>
        <v/>
      </c>
      <c r="C69" s="20"/>
      <c r="D69" s="21" t="str">
        <f t="shared" si="6"/>
        <v/>
      </c>
      <c r="E69" s="21" t="str">
        <f t="shared" si="7"/>
        <v/>
      </c>
      <c r="F69" s="21" t="str">
        <f t="shared" si="5"/>
        <v/>
      </c>
      <c r="G69" s="21" t="str">
        <f t="shared" si="4"/>
        <v/>
      </c>
      <c r="H69" s="21" t="str">
        <f t="shared" si="8"/>
        <v/>
      </c>
    </row>
    <row r="70" spans="1:8" x14ac:dyDescent="0.3">
      <c r="A70" s="2"/>
      <c r="B70" s="23" t="str">
        <f t="shared" si="9"/>
        <v/>
      </c>
      <c r="C70" s="3"/>
      <c r="D70" s="4" t="str">
        <f t="shared" si="6"/>
        <v/>
      </c>
      <c r="E70" s="4" t="str">
        <f t="shared" si="7"/>
        <v/>
      </c>
      <c r="F70" s="4" t="str">
        <f t="shared" si="5"/>
        <v/>
      </c>
      <c r="G70" s="4" t="str">
        <f t="shared" ref="G70:G121" si="10">IF(AND($A70&lt;&gt;"",$B70&lt;&gt;""),G69-F70,"")</f>
        <v/>
      </c>
      <c r="H70" s="4" t="str">
        <f t="shared" si="8"/>
        <v/>
      </c>
    </row>
    <row r="71" spans="1:8" x14ac:dyDescent="0.3">
      <c r="A71" s="19"/>
      <c r="B71" s="24" t="str">
        <f t="shared" si="9"/>
        <v/>
      </c>
      <c r="C71" s="20"/>
      <c r="D71" s="21" t="str">
        <f t="shared" si="6"/>
        <v/>
      </c>
      <c r="E71" s="21" t="str">
        <f t="shared" si="7"/>
        <v/>
      </c>
      <c r="F71" s="21" t="str">
        <f t="shared" ref="F71:F121" si="11">IF(AND($A71&lt;&gt;"",$B71&lt;&gt;""),D71-E71,"")</f>
        <v/>
      </c>
      <c r="G71" s="21" t="str">
        <f t="shared" si="10"/>
        <v/>
      </c>
      <c r="H71" s="21" t="str">
        <f t="shared" si="8"/>
        <v/>
      </c>
    </row>
    <row r="72" spans="1:8" x14ac:dyDescent="0.3">
      <c r="A72" s="2"/>
      <c r="B72" s="23" t="str">
        <f t="shared" si="9"/>
        <v/>
      </c>
      <c r="C72" s="3"/>
      <c r="D72" s="4" t="str">
        <f t="shared" si="6"/>
        <v/>
      </c>
      <c r="E72" s="4" t="str">
        <f t="shared" si="7"/>
        <v/>
      </c>
      <c r="F72" s="4" t="str">
        <f t="shared" si="11"/>
        <v/>
      </c>
      <c r="G72" s="4" t="str">
        <f t="shared" si="10"/>
        <v/>
      </c>
      <c r="H72" s="4" t="str">
        <f t="shared" si="8"/>
        <v/>
      </c>
    </row>
    <row r="73" spans="1:8" x14ac:dyDescent="0.3">
      <c r="A73" s="19"/>
      <c r="B73" s="24" t="str">
        <f t="shared" si="9"/>
        <v/>
      </c>
      <c r="C73" s="20"/>
      <c r="D73" s="21" t="str">
        <f t="shared" si="6"/>
        <v/>
      </c>
      <c r="E73" s="21" t="str">
        <f t="shared" si="7"/>
        <v/>
      </c>
      <c r="F73" s="21" t="str">
        <f t="shared" si="11"/>
        <v/>
      </c>
      <c r="G73" s="21" t="str">
        <f t="shared" si="10"/>
        <v/>
      </c>
      <c r="H73" s="21" t="str">
        <f t="shared" si="8"/>
        <v/>
      </c>
    </row>
    <row r="74" spans="1:8" x14ac:dyDescent="0.3">
      <c r="A74" s="2"/>
      <c r="B74" s="23" t="str">
        <f t="shared" si="9"/>
        <v/>
      </c>
      <c r="C74" s="3"/>
      <c r="D74" s="4" t="str">
        <f t="shared" si="6"/>
        <v/>
      </c>
      <c r="E74" s="4" t="str">
        <f t="shared" si="7"/>
        <v/>
      </c>
      <c r="F74" s="4" t="str">
        <f t="shared" si="11"/>
        <v/>
      </c>
      <c r="G74" s="4" t="str">
        <f t="shared" si="10"/>
        <v/>
      </c>
      <c r="H74" s="4" t="str">
        <f t="shared" si="8"/>
        <v/>
      </c>
    </row>
    <row r="75" spans="1:8" x14ac:dyDescent="0.3">
      <c r="A75" s="19"/>
      <c r="B75" s="24" t="str">
        <f t="shared" si="9"/>
        <v/>
      </c>
      <c r="C75" s="20"/>
      <c r="D75" s="21" t="str">
        <f t="shared" si="6"/>
        <v/>
      </c>
      <c r="E75" s="21" t="str">
        <f t="shared" si="7"/>
        <v/>
      </c>
      <c r="F75" s="21" t="str">
        <f t="shared" si="11"/>
        <v/>
      </c>
      <c r="G75" s="21" t="str">
        <f t="shared" si="10"/>
        <v/>
      </c>
      <c r="H75" s="21" t="str">
        <f t="shared" si="8"/>
        <v/>
      </c>
    </row>
    <row r="76" spans="1:8" x14ac:dyDescent="0.3">
      <c r="A76" s="2"/>
      <c r="B76" s="23" t="str">
        <f t="shared" si="9"/>
        <v/>
      </c>
      <c r="C76" s="3"/>
      <c r="D76" s="4" t="str">
        <f t="shared" si="6"/>
        <v/>
      </c>
      <c r="E76" s="4" t="str">
        <f t="shared" si="7"/>
        <v/>
      </c>
      <c r="F76" s="4" t="str">
        <f t="shared" si="11"/>
        <v/>
      </c>
      <c r="G76" s="4" t="str">
        <f t="shared" si="10"/>
        <v/>
      </c>
      <c r="H76" s="4" t="str">
        <f t="shared" si="8"/>
        <v/>
      </c>
    </row>
    <row r="77" spans="1:8" x14ac:dyDescent="0.3">
      <c r="A77" s="19"/>
      <c r="B77" s="24" t="str">
        <f t="shared" si="9"/>
        <v/>
      </c>
      <c r="C77" s="20"/>
      <c r="D77" s="21" t="str">
        <f t="shared" si="6"/>
        <v/>
      </c>
      <c r="E77" s="21" t="str">
        <f t="shared" si="7"/>
        <v/>
      </c>
      <c r="F77" s="21" t="str">
        <f t="shared" si="11"/>
        <v/>
      </c>
      <c r="G77" s="21" t="str">
        <f t="shared" si="10"/>
        <v/>
      </c>
      <c r="H77" s="21" t="str">
        <f t="shared" si="8"/>
        <v/>
      </c>
    </row>
    <row r="78" spans="1:8" x14ac:dyDescent="0.3">
      <c r="A78" s="2"/>
      <c r="B78" s="23" t="str">
        <f t="shared" si="9"/>
        <v/>
      </c>
      <c r="C78" s="3"/>
      <c r="D78" s="4" t="str">
        <f t="shared" si="6"/>
        <v/>
      </c>
      <c r="E78" s="4" t="str">
        <f t="shared" si="7"/>
        <v/>
      </c>
      <c r="F78" s="4" t="str">
        <f t="shared" si="11"/>
        <v/>
      </c>
      <c r="G78" s="4" t="str">
        <f t="shared" si="10"/>
        <v/>
      </c>
      <c r="H78" s="4" t="str">
        <f t="shared" si="8"/>
        <v/>
      </c>
    </row>
    <row r="79" spans="1:8" x14ac:dyDescent="0.3">
      <c r="A79" s="19"/>
      <c r="B79" s="24" t="str">
        <f t="shared" si="9"/>
        <v/>
      </c>
      <c r="C79" s="20"/>
      <c r="D79" s="21" t="str">
        <f t="shared" si="6"/>
        <v/>
      </c>
      <c r="E79" s="21" t="str">
        <f t="shared" si="7"/>
        <v/>
      </c>
      <c r="F79" s="21" t="str">
        <f t="shared" si="11"/>
        <v/>
      </c>
      <c r="G79" s="21" t="str">
        <f t="shared" si="10"/>
        <v/>
      </c>
      <c r="H79" s="21" t="str">
        <f t="shared" si="8"/>
        <v/>
      </c>
    </row>
    <row r="80" spans="1:8" x14ac:dyDescent="0.3">
      <c r="A80" s="2"/>
      <c r="B80" s="23" t="str">
        <f t="shared" si="9"/>
        <v/>
      </c>
      <c r="C80" s="3"/>
      <c r="D80" s="4" t="str">
        <f t="shared" si="6"/>
        <v/>
      </c>
      <c r="E80" s="4" t="str">
        <f t="shared" si="7"/>
        <v/>
      </c>
      <c r="F80" s="4" t="str">
        <f t="shared" si="11"/>
        <v/>
      </c>
      <c r="G80" s="4" t="str">
        <f t="shared" si="10"/>
        <v/>
      </c>
      <c r="H80" s="4" t="str">
        <f t="shared" si="8"/>
        <v/>
      </c>
    </row>
    <row r="81" spans="1:8" x14ac:dyDescent="0.3">
      <c r="A81" s="19"/>
      <c r="B81" s="24" t="str">
        <f t="shared" si="9"/>
        <v/>
      </c>
      <c r="C81" s="20"/>
      <c r="D81" s="21" t="str">
        <f t="shared" si="6"/>
        <v/>
      </c>
      <c r="E81" s="21" t="str">
        <f t="shared" si="7"/>
        <v/>
      </c>
      <c r="F81" s="21" t="str">
        <f t="shared" si="11"/>
        <v/>
      </c>
      <c r="G81" s="21" t="str">
        <f t="shared" si="10"/>
        <v/>
      </c>
      <c r="H81" s="21" t="str">
        <f t="shared" si="8"/>
        <v/>
      </c>
    </row>
    <row r="82" spans="1:8" x14ac:dyDescent="0.3">
      <c r="A82" s="2"/>
      <c r="B82" s="23" t="str">
        <f t="shared" si="9"/>
        <v/>
      </c>
      <c r="C82" s="3"/>
      <c r="D82" s="4" t="str">
        <f t="shared" si="6"/>
        <v/>
      </c>
      <c r="E82" s="4" t="str">
        <f t="shared" si="7"/>
        <v/>
      </c>
      <c r="F82" s="4" t="str">
        <f t="shared" si="11"/>
        <v/>
      </c>
      <c r="G82" s="4" t="str">
        <f t="shared" si="10"/>
        <v/>
      </c>
      <c r="H82" s="4" t="str">
        <f t="shared" si="8"/>
        <v/>
      </c>
    </row>
    <row r="83" spans="1:8" x14ac:dyDescent="0.3">
      <c r="A83" s="19"/>
      <c r="B83" s="24" t="str">
        <f t="shared" si="9"/>
        <v/>
      </c>
      <c r="C83" s="20"/>
      <c r="D83" s="21" t="str">
        <f t="shared" si="6"/>
        <v/>
      </c>
      <c r="E83" s="21" t="str">
        <f t="shared" si="7"/>
        <v/>
      </c>
      <c r="F83" s="21" t="str">
        <f t="shared" si="11"/>
        <v/>
      </c>
      <c r="G83" s="21" t="str">
        <f t="shared" si="10"/>
        <v/>
      </c>
      <c r="H83" s="21" t="str">
        <f t="shared" si="8"/>
        <v/>
      </c>
    </row>
    <row r="84" spans="1:8" x14ac:dyDescent="0.3">
      <c r="A84" s="2"/>
      <c r="B84" s="23" t="str">
        <f t="shared" si="9"/>
        <v/>
      </c>
      <c r="C84" s="3"/>
      <c r="D84" s="4" t="str">
        <f t="shared" si="6"/>
        <v/>
      </c>
      <c r="E84" s="4" t="str">
        <f t="shared" si="7"/>
        <v/>
      </c>
      <c r="F84" s="4" t="str">
        <f t="shared" si="11"/>
        <v/>
      </c>
      <c r="G84" s="4" t="str">
        <f t="shared" si="10"/>
        <v/>
      </c>
      <c r="H84" s="4" t="str">
        <f t="shared" si="8"/>
        <v/>
      </c>
    </row>
    <row r="85" spans="1:8" x14ac:dyDescent="0.3">
      <c r="A85" s="19"/>
      <c r="B85" s="24" t="str">
        <f t="shared" si="9"/>
        <v/>
      </c>
      <c r="C85" s="20"/>
      <c r="D85" s="21" t="str">
        <f t="shared" si="6"/>
        <v/>
      </c>
      <c r="E85" s="21" t="str">
        <f t="shared" si="7"/>
        <v/>
      </c>
      <c r="F85" s="21" t="str">
        <f t="shared" si="11"/>
        <v/>
      </c>
      <c r="G85" s="21" t="str">
        <f t="shared" si="10"/>
        <v/>
      </c>
      <c r="H85" s="21" t="str">
        <f t="shared" si="8"/>
        <v/>
      </c>
    </row>
    <row r="86" spans="1:8" x14ac:dyDescent="0.3">
      <c r="A86" s="2"/>
      <c r="B86" s="23" t="str">
        <f t="shared" si="9"/>
        <v/>
      </c>
      <c r="C86" s="3"/>
      <c r="D86" s="4" t="str">
        <f t="shared" si="6"/>
        <v/>
      </c>
      <c r="E86" s="4" t="str">
        <f t="shared" si="7"/>
        <v/>
      </c>
      <c r="F86" s="4" t="str">
        <f t="shared" si="11"/>
        <v/>
      </c>
      <c r="G86" s="4" t="str">
        <f t="shared" si="10"/>
        <v/>
      </c>
      <c r="H86" s="4" t="str">
        <f t="shared" si="8"/>
        <v/>
      </c>
    </row>
    <row r="87" spans="1:8" x14ac:dyDescent="0.3">
      <c r="A87" s="19"/>
      <c r="B87" s="24" t="str">
        <f t="shared" si="9"/>
        <v/>
      </c>
      <c r="C87" s="20"/>
      <c r="D87" s="21" t="str">
        <f t="shared" si="6"/>
        <v/>
      </c>
      <c r="E87" s="21" t="str">
        <f t="shared" si="7"/>
        <v/>
      </c>
      <c r="F87" s="21" t="str">
        <f t="shared" si="11"/>
        <v/>
      </c>
      <c r="G87" s="21" t="str">
        <f t="shared" si="10"/>
        <v/>
      </c>
      <c r="H87" s="21" t="str">
        <f t="shared" si="8"/>
        <v/>
      </c>
    </row>
    <row r="88" spans="1:8" x14ac:dyDescent="0.3">
      <c r="A88" s="2"/>
      <c r="B88" s="23" t="str">
        <f t="shared" si="9"/>
        <v/>
      </c>
      <c r="C88" s="3"/>
      <c r="D88" s="4" t="str">
        <f t="shared" si="6"/>
        <v/>
      </c>
      <c r="E88" s="4" t="str">
        <f t="shared" si="7"/>
        <v/>
      </c>
      <c r="F88" s="4" t="str">
        <f t="shared" si="11"/>
        <v/>
      </c>
      <c r="G88" s="4" t="str">
        <f t="shared" si="10"/>
        <v/>
      </c>
      <c r="H88" s="4" t="str">
        <f t="shared" si="8"/>
        <v/>
      </c>
    </row>
    <row r="89" spans="1:8" x14ac:dyDescent="0.3">
      <c r="A89" s="19"/>
      <c r="B89" s="24" t="str">
        <f t="shared" si="9"/>
        <v/>
      </c>
      <c r="C89" s="20"/>
      <c r="D89" s="21" t="str">
        <f t="shared" si="6"/>
        <v/>
      </c>
      <c r="E89" s="21" t="str">
        <f t="shared" si="7"/>
        <v/>
      </c>
      <c r="F89" s="21" t="str">
        <f t="shared" si="11"/>
        <v/>
      </c>
      <c r="G89" s="21" t="str">
        <f t="shared" si="10"/>
        <v/>
      </c>
      <c r="H89" s="21" t="str">
        <f t="shared" si="8"/>
        <v/>
      </c>
    </row>
    <row r="90" spans="1:8" x14ac:dyDescent="0.3">
      <c r="A90" s="2"/>
      <c r="B90" s="23" t="str">
        <f t="shared" si="9"/>
        <v/>
      </c>
      <c r="C90" s="3"/>
      <c r="D90" s="4" t="str">
        <f t="shared" si="6"/>
        <v/>
      </c>
      <c r="E90" s="4" t="str">
        <f t="shared" si="7"/>
        <v/>
      </c>
      <c r="F90" s="4" t="str">
        <f t="shared" si="11"/>
        <v/>
      </c>
      <c r="G90" s="4" t="str">
        <f t="shared" si="10"/>
        <v/>
      </c>
      <c r="H90" s="4" t="str">
        <f t="shared" si="8"/>
        <v/>
      </c>
    </row>
    <row r="91" spans="1:8" x14ac:dyDescent="0.3">
      <c r="A91" s="19"/>
      <c r="B91" s="24" t="str">
        <f t="shared" si="9"/>
        <v/>
      </c>
      <c r="C91" s="20"/>
      <c r="D91" s="21" t="str">
        <f t="shared" si="6"/>
        <v/>
      </c>
      <c r="E91" s="21" t="str">
        <f t="shared" si="7"/>
        <v/>
      </c>
      <c r="F91" s="21" t="str">
        <f t="shared" si="11"/>
        <v/>
      </c>
      <c r="G91" s="21" t="str">
        <f t="shared" si="10"/>
        <v/>
      </c>
      <c r="H91" s="21" t="str">
        <f t="shared" si="8"/>
        <v/>
      </c>
    </row>
    <row r="92" spans="1:8" x14ac:dyDescent="0.3">
      <c r="A92" s="2"/>
      <c r="B92" s="23" t="str">
        <f t="shared" si="9"/>
        <v/>
      </c>
      <c r="C92" s="3"/>
      <c r="D92" s="4" t="str">
        <f t="shared" si="6"/>
        <v/>
      </c>
      <c r="E92" s="4" t="str">
        <f t="shared" si="7"/>
        <v/>
      </c>
      <c r="F92" s="4" t="str">
        <f t="shared" si="11"/>
        <v/>
      </c>
      <c r="G92" s="4" t="str">
        <f t="shared" si="10"/>
        <v/>
      </c>
      <c r="H92" s="4" t="str">
        <f t="shared" si="8"/>
        <v/>
      </c>
    </row>
    <row r="93" spans="1:8" x14ac:dyDescent="0.3">
      <c r="A93" s="19"/>
      <c r="B93" s="24" t="str">
        <f t="shared" si="9"/>
        <v/>
      </c>
      <c r="C93" s="20"/>
      <c r="D93" s="21" t="str">
        <f t="shared" si="6"/>
        <v/>
      </c>
      <c r="E93" s="21" t="str">
        <f t="shared" si="7"/>
        <v/>
      </c>
      <c r="F93" s="21" t="str">
        <f t="shared" si="11"/>
        <v/>
      </c>
      <c r="G93" s="21" t="str">
        <f t="shared" si="10"/>
        <v/>
      </c>
      <c r="H93" s="21" t="str">
        <f t="shared" si="8"/>
        <v/>
      </c>
    </row>
    <row r="94" spans="1:8" x14ac:dyDescent="0.3">
      <c r="A94" s="2"/>
      <c r="B94" s="23" t="str">
        <f t="shared" si="9"/>
        <v/>
      </c>
      <c r="C94" s="3"/>
      <c r="D94" s="4" t="str">
        <f t="shared" si="6"/>
        <v/>
      </c>
      <c r="E94" s="4" t="str">
        <f t="shared" si="7"/>
        <v/>
      </c>
      <c r="F94" s="4" t="str">
        <f t="shared" si="11"/>
        <v/>
      </c>
      <c r="G94" s="4" t="str">
        <f t="shared" si="10"/>
        <v/>
      </c>
      <c r="H94" s="4" t="str">
        <f t="shared" si="8"/>
        <v/>
      </c>
    </row>
    <row r="95" spans="1:8" x14ac:dyDescent="0.3">
      <c r="A95" s="19"/>
      <c r="B95" s="24" t="str">
        <f t="shared" si="9"/>
        <v/>
      </c>
      <c r="C95" s="20"/>
      <c r="D95" s="21" t="str">
        <f t="shared" si="6"/>
        <v/>
      </c>
      <c r="E95" s="21" t="str">
        <f t="shared" si="7"/>
        <v/>
      </c>
      <c r="F95" s="21" t="str">
        <f t="shared" si="11"/>
        <v/>
      </c>
      <c r="G95" s="21" t="str">
        <f t="shared" si="10"/>
        <v/>
      </c>
      <c r="H95" s="21" t="str">
        <f t="shared" si="8"/>
        <v/>
      </c>
    </row>
    <row r="96" spans="1:8" x14ac:dyDescent="0.3">
      <c r="A96" s="2"/>
      <c r="B96" s="23" t="str">
        <f t="shared" si="9"/>
        <v/>
      </c>
      <c r="C96" s="3"/>
      <c r="D96" s="4" t="str">
        <f t="shared" si="6"/>
        <v/>
      </c>
      <c r="E96" s="4" t="str">
        <f t="shared" si="7"/>
        <v/>
      </c>
      <c r="F96" s="4" t="str">
        <f t="shared" si="11"/>
        <v/>
      </c>
      <c r="G96" s="4" t="str">
        <f t="shared" si="10"/>
        <v/>
      </c>
      <c r="H96" s="4" t="str">
        <f t="shared" si="8"/>
        <v/>
      </c>
    </row>
    <row r="97" spans="1:8" x14ac:dyDescent="0.3">
      <c r="A97" s="19"/>
      <c r="B97" s="24" t="str">
        <f t="shared" si="9"/>
        <v/>
      </c>
      <c r="C97" s="20"/>
      <c r="D97" s="21" t="str">
        <f t="shared" si="6"/>
        <v/>
      </c>
      <c r="E97" s="21" t="str">
        <f t="shared" si="7"/>
        <v/>
      </c>
      <c r="F97" s="21" t="str">
        <f t="shared" si="11"/>
        <v/>
      </c>
      <c r="G97" s="21" t="str">
        <f t="shared" si="10"/>
        <v/>
      </c>
      <c r="H97" s="21" t="str">
        <f t="shared" si="8"/>
        <v/>
      </c>
    </row>
    <row r="98" spans="1:8" x14ac:dyDescent="0.3">
      <c r="A98" s="2"/>
      <c r="B98" s="23" t="str">
        <f t="shared" si="9"/>
        <v/>
      </c>
      <c r="C98" s="3"/>
      <c r="D98" s="4" t="str">
        <f t="shared" si="6"/>
        <v/>
      </c>
      <c r="E98" s="4" t="str">
        <f t="shared" si="7"/>
        <v/>
      </c>
      <c r="F98" s="4" t="str">
        <f t="shared" si="11"/>
        <v/>
      </c>
      <c r="G98" s="4" t="str">
        <f t="shared" si="10"/>
        <v/>
      </c>
      <c r="H98" s="4" t="str">
        <f t="shared" si="8"/>
        <v/>
      </c>
    </row>
    <row r="99" spans="1:8" x14ac:dyDescent="0.3">
      <c r="A99" s="19"/>
      <c r="B99" s="24" t="str">
        <f t="shared" si="9"/>
        <v/>
      </c>
      <c r="C99" s="20"/>
      <c r="D99" s="21" t="str">
        <f t="shared" si="6"/>
        <v/>
      </c>
      <c r="E99" s="21" t="str">
        <f t="shared" si="7"/>
        <v/>
      </c>
      <c r="F99" s="21" t="str">
        <f t="shared" si="11"/>
        <v/>
      </c>
      <c r="G99" s="21" t="str">
        <f t="shared" si="10"/>
        <v/>
      </c>
      <c r="H99" s="21" t="str">
        <f t="shared" si="8"/>
        <v/>
      </c>
    </row>
    <row r="100" spans="1:8" x14ac:dyDescent="0.3">
      <c r="A100" s="2"/>
      <c r="B100" s="23" t="str">
        <f t="shared" si="9"/>
        <v/>
      </c>
      <c r="C100" s="3"/>
      <c r="D100" s="4" t="str">
        <f t="shared" si="6"/>
        <v/>
      </c>
      <c r="E100" s="4" t="str">
        <f t="shared" si="7"/>
        <v/>
      </c>
      <c r="F100" s="4" t="str">
        <f t="shared" si="11"/>
        <v/>
      </c>
      <c r="G100" s="4" t="str">
        <f t="shared" si="10"/>
        <v/>
      </c>
      <c r="H100" s="4" t="str">
        <f t="shared" si="8"/>
        <v/>
      </c>
    </row>
    <row r="101" spans="1:8" x14ac:dyDescent="0.3">
      <c r="A101" s="19"/>
      <c r="B101" s="24" t="str">
        <f t="shared" si="9"/>
        <v/>
      </c>
      <c r="C101" s="20"/>
      <c r="D101" s="21" t="str">
        <f t="shared" si="6"/>
        <v/>
      </c>
      <c r="E101" s="21" t="str">
        <f t="shared" si="7"/>
        <v/>
      </c>
      <c r="F101" s="21" t="str">
        <f t="shared" si="11"/>
        <v/>
      </c>
      <c r="G101" s="21" t="str">
        <f t="shared" si="10"/>
        <v/>
      </c>
      <c r="H101" s="21" t="str">
        <f t="shared" si="8"/>
        <v/>
      </c>
    </row>
    <row r="102" spans="1:8" x14ac:dyDescent="0.3">
      <c r="A102" s="2"/>
      <c r="B102" s="23" t="str">
        <f t="shared" si="9"/>
        <v/>
      </c>
      <c r="C102" s="3"/>
      <c r="D102" s="4" t="str">
        <f t="shared" si="6"/>
        <v/>
      </c>
      <c r="E102" s="4" t="str">
        <f t="shared" si="7"/>
        <v/>
      </c>
      <c r="F102" s="4" t="str">
        <f t="shared" si="11"/>
        <v/>
      </c>
      <c r="G102" s="4" t="str">
        <f t="shared" si="10"/>
        <v/>
      </c>
      <c r="H102" s="4" t="str">
        <f t="shared" si="8"/>
        <v/>
      </c>
    </row>
    <row r="103" spans="1:8" x14ac:dyDescent="0.3">
      <c r="A103" s="19"/>
      <c r="B103" s="24" t="str">
        <f t="shared" si="9"/>
        <v/>
      </c>
      <c r="C103" s="20"/>
      <c r="D103" s="21" t="str">
        <f t="shared" si="6"/>
        <v/>
      </c>
      <c r="E103" s="21" t="str">
        <f t="shared" si="7"/>
        <v/>
      </c>
      <c r="F103" s="21" t="str">
        <f t="shared" si="11"/>
        <v/>
      </c>
      <c r="G103" s="21" t="str">
        <f t="shared" si="10"/>
        <v/>
      </c>
      <c r="H103" s="21" t="str">
        <f t="shared" si="8"/>
        <v/>
      </c>
    </row>
    <row r="104" spans="1:8" x14ac:dyDescent="0.3">
      <c r="A104" s="2"/>
      <c r="B104" s="23" t="str">
        <f t="shared" si="9"/>
        <v/>
      </c>
      <c r="C104" s="3"/>
      <c r="D104" s="4" t="str">
        <f t="shared" si="6"/>
        <v/>
      </c>
      <c r="E104" s="4" t="str">
        <f t="shared" si="7"/>
        <v/>
      </c>
      <c r="F104" s="4" t="str">
        <f t="shared" si="11"/>
        <v/>
      </c>
      <c r="G104" s="4" t="str">
        <f t="shared" si="10"/>
        <v/>
      </c>
      <c r="H104" s="4" t="str">
        <f t="shared" si="8"/>
        <v/>
      </c>
    </row>
    <row r="105" spans="1:8" x14ac:dyDescent="0.3">
      <c r="A105" s="19"/>
      <c r="B105" s="24" t="str">
        <f t="shared" si="9"/>
        <v/>
      </c>
      <c r="C105" s="20"/>
      <c r="D105" s="21" t="str">
        <f t="shared" si="6"/>
        <v/>
      </c>
      <c r="E105" s="21" t="str">
        <f t="shared" si="7"/>
        <v/>
      </c>
      <c r="F105" s="21" t="str">
        <f t="shared" si="11"/>
        <v/>
      </c>
      <c r="G105" s="21" t="str">
        <f t="shared" si="10"/>
        <v/>
      </c>
      <c r="H105" s="21" t="str">
        <f t="shared" si="8"/>
        <v/>
      </c>
    </row>
    <row r="106" spans="1:8" x14ac:dyDescent="0.3">
      <c r="A106" s="2"/>
      <c r="B106" s="23" t="str">
        <f t="shared" si="9"/>
        <v/>
      </c>
      <c r="C106" s="3"/>
      <c r="D106" s="4" t="str">
        <f t="shared" si="6"/>
        <v/>
      </c>
      <c r="E106" s="4" t="str">
        <f t="shared" si="7"/>
        <v/>
      </c>
      <c r="F106" s="4" t="str">
        <f t="shared" si="11"/>
        <v/>
      </c>
      <c r="G106" s="4" t="str">
        <f t="shared" si="10"/>
        <v/>
      </c>
      <c r="H106" s="4" t="str">
        <f t="shared" si="8"/>
        <v/>
      </c>
    </row>
    <row r="107" spans="1:8" x14ac:dyDescent="0.3">
      <c r="A107" s="19"/>
      <c r="B107" s="24" t="str">
        <f t="shared" si="9"/>
        <v/>
      </c>
      <c r="C107" s="20"/>
      <c r="D107" s="21" t="str">
        <f t="shared" si="6"/>
        <v/>
      </c>
      <c r="E107" s="21" t="str">
        <f t="shared" si="7"/>
        <v/>
      </c>
      <c r="F107" s="21" t="str">
        <f t="shared" si="11"/>
        <v/>
      </c>
      <c r="G107" s="21" t="str">
        <f t="shared" si="10"/>
        <v/>
      </c>
      <c r="H107" s="21" t="str">
        <f t="shared" si="8"/>
        <v/>
      </c>
    </row>
    <row r="108" spans="1:8" x14ac:dyDescent="0.3">
      <c r="A108" s="2"/>
      <c r="B108" s="23" t="str">
        <f t="shared" si="9"/>
        <v/>
      </c>
      <c r="C108" s="3"/>
      <c r="D108" s="4" t="str">
        <f t="shared" si="6"/>
        <v/>
      </c>
      <c r="E108" s="4" t="str">
        <f t="shared" si="7"/>
        <v/>
      </c>
      <c r="F108" s="4" t="str">
        <f t="shared" si="11"/>
        <v/>
      </c>
      <c r="G108" s="4" t="str">
        <f t="shared" si="10"/>
        <v/>
      </c>
      <c r="H108" s="4" t="str">
        <f t="shared" si="8"/>
        <v/>
      </c>
    </row>
    <row r="109" spans="1:8" x14ac:dyDescent="0.3">
      <c r="A109" s="19"/>
      <c r="B109" s="24" t="str">
        <f t="shared" si="9"/>
        <v/>
      </c>
      <c r="C109" s="20"/>
      <c r="D109" s="21" t="str">
        <f t="shared" si="6"/>
        <v/>
      </c>
      <c r="E109" s="21" t="str">
        <f t="shared" si="7"/>
        <v/>
      </c>
      <c r="F109" s="21" t="str">
        <f t="shared" si="11"/>
        <v/>
      </c>
      <c r="G109" s="21" t="str">
        <f t="shared" si="10"/>
        <v/>
      </c>
      <c r="H109" s="21" t="str">
        <f t="shared" si="8"/>
        <v/>
      </c>
    </row>
    <row r="110" spans="1:8" x14ac:dyDescent="0.3">
      <c r="A110" s="2"/>
      <c r="B110" s="23" t="str">
        <f t="shared" si="9"/>
        <v/>
      </c>
      <c r="C110" s="3"/>
      <c r="D110" s="4" t="str">
        <f t="shared" si="6"/>
        <v/>
      </c>
      <c r="E110" s="4" t="str">
        <f t="shared" si="7"/>
        <v/>
      </c>
      <c r="F110" s="4" t="str">
        <f t="shared" si="11"/>
        <v/>
      </c>
      <c r="G110" s="4" t="str">
        <f t="shared" si="10"/>
        <v/>
      </c>
      <c r="H110" s="4" t="str">
        <f t="shared" si="8"/>
        <v/>
      </c>
    </row>
    <row r="111" spans="1:8" x14ac:dyDescent="0.3">
      <c r="A111" s="19"/>
      <c r="B111" s="24" t="str">
        <f t="shared" si="9"/>
        <v/>
      </c>
      <c r="C111" s="20"/>
      <c r="D111" s="21" t="str">
        <f t="shared" si="6"/>
        <v/>
      </c>
      <c r="E111" s="21" t="str">
        <f t="shared" si="7"/>
        <v/>
      </c>
      <c r="F111" s="21" t="str">
        <f t="shared" si="11"/>
        <v/>
      </c>
      <c r="G111" s="21" t="str">
        <f t="shared" si="10"/>
        <v/>
      </c>
      <c r="H111" s="21" t="str">
        <f t="shared" si="8"/>
        <v/>
      </c>
    </row>
    <row r="112" spans="1:8" x14ac:dyDescent="0.3">
      <c r="A112" s="2"/>
      <c r="B112" s="23" t="str">
        <f t="shared" si="9"/>
        <v/>
      </c>
      <c r="C112" s="3"/>
      <c r="D112" s="4" t="str">
        <f t="shared" si="6"/>
        <v/>
      </c>
      <c r="E112" s="4" t="str">
        <f t="shared" si="7"/>
        <v/>
      </c>
      <c r="F112" s="4" t="str">
        <f t="shared" si="11"/>
        <v/>
      </c>
      <c r="G112" s="4" t="str">
        <f t="shared" si="10"/>
        <v/>
      </c>
      <c r="H112" s="4" t="str">
        <f t="shared" si="8"/>
        <v/>
      </c>
    </row>
    <row r="113" spans="1:8" x14ac:dyDescent="0.3">
      <c r="A113" s="19"/>
      <c r="B113" s="24" t="str">
        <f t="shared" si="9"/>
        <v/>
      </c>
      <c r="C113" s="20"/>
      <c r="D113" s="21" t="str">
        <f t="shared" si="6"/>
        <v/>
      </c>
      <c r="E113" s="21" t="str">
        <f t="shared" si="7"/>
        <v/>
      </c>
      <c r="F113" s="21" t="str">
        <f t="shared" si="11"/>
        <v/>
      </c>
      <c r="G113" s="21" t="str">
        <f t="shared" si="10"/>
        <v/>
      </c>
      <c r="H113" s="21" t="str">
        <f t="shared" si="8"/>
        <v/>
      </c>
    </row>
    <row r="114" spans="1:8" x14ac:dyDescent="0.3">
      <c r="A114" s="2"/>
      <c r="B114" s="23" t="str">
        <f t="shared" si="9"/>
        <v/>
      </c>
      <c r="C114" s="3"/>
      <c r="D114" s="4" t="str">
        <f t="shared" si="6"/>
        <v/>
      </c>
      <c r="E114" s="4" t="str">
        <f t="shared" si="7"/>
        <v/>
      </c>
      <c r="F114" s="4" t="str">
        <f t="shared" si="11"/>
        <v/>
      </c>
      <c r="G114" s="4" t="str">
        <f t="shared" si="10"/>
        <v/>
      </c>
      <c r="H114" s="4" t="str">
        <f t="shared" si="8"/>
        <v/>
      </c>
    </row>
    <row r="115" spans="1:8" x14ac:dyDescent="0.3">
      <c r="A115" s="19"/>
      <c r="B115" s="24" t="str">
        <f t="shared" si="9"/>
        <v/>
      </c>
      <c r="C115" s="20"/>
      <c r="D115" s="21" t="str">
        <f t="shared" si="6"/>
        <v/>
      </c>
      <c r="E115" s="21" t="str">
        <f t="shared" si="7"/>
        <v/>
      </c>
      <c r="F115" s="21" t="str">
        <f t="shared" si="11"/>
        <v/>
      </c>
      <c r="G115" s="21" t="str">
        <f t="shared" si="10"/>
        <v/>
      </c>
      <c r="H115" s="21" t="str">
        <f t="shared" si="8"/>
        <v/>
      </c>
    </row>
    <row r="116" spans="1:8" x14ac:dyDescent="0.3">
      <c r="A116" s="2"/>
      <c r="B116" s="23" t="str">
        <f t="shared" si="9"/>
        <v/>
      </c>
      <c r="C116" s="3"/>
      <c r="D116" s="4" t="str">
        <f t="shared" si="6"/>
        <v/>
      </c>
      <c r="E116" s="4" t="str">
        <f t="shared" si="7"/>
        <v/>
      </c>
      <c r="F116" s="4" t="str">
        <f t="shared" si="11"/>
        <v/>
      </c>
      <c r="G116" s="4" t="str">
        <f t="shared" si="10"/>
        <v/>
      </c>
      <c r="H116" s="4" t="str">
        <f t="shared" si="8"/>
        <v/>
      </c>
    </row>
    <row r="117" spans="1:8" x14ac:dyDescent="0.3">
      <c r="A117" s="19"/>
      <c r="B117" s="24" t="str">
        <f t="shared" si="9"/>
        <v/>
      </c>
      <c r="C117" s="20"/>
      <c r="D117" s="21" t="str">
        <f t="shared" si="6"/>
        <v/>
      </c>
      <c r="E117" s="21" t="str">
        <f t="shared" si="7"/>
        <v/>
      </c>
      <c r="F117" s="21" t="str">
        <f t="shared" si="11"/>
        <v/>
      </c>
      <c r="G117" s="21" t="str">
        <f t="shared" si="10"/>
        <v/>
      </c>
      <c r="H117" s="21" t="str">
        <f t="shared" si="8"/>
        <v/>
      </c>
    </row>
    <row r="118" spans="1:8" x14ac:dyDescent="0.3">
      <c r="A118" s="2"/>
      <c r="B118" s="23" t="str">
        <f t="shared" si="9"/>
        <v/>
      </c>
      <c r="C118" s="3"/>
      <c r="D118" s="4" t="str">
        <f t="shared" si="6"/>
        <v/>
      </c>
      <c r="E118" s="4" t="str">
        <f t="shared" si="7"/>
        <v/>
      </c>
      <c r="F118" s="4" t="str">
        <f t="shared" si="11"/>
        <v/>
      </c>
      <c r="G118" s="4" t="str">
        <f t="shared" si="10"/>
        <v/>
      </c>
      <c r="H118" s="4" t="str">
        <f t="shared" si="8"/>
        <v/>
      </c>
    </row>
    <row r="119" spans="1:8" x14ac:dyDescent="0.3">
      <c r="A119" s="19"/>
      <c r="B119" s="24" t="str">
        <f t="shared" si="9"/>
        <v/>
      </c>
      <c r="C119" s="20"/>
      <c r="D119" s="21" t="str">
        <f t="shared" si="6"/>
        <v/>
      </c>
      <c r="E119" s="21" t="str">
        <f t="shared" si="7"/>
        <v/>
      </c>
      <c r="F119" s="21" t="str">
        <f t="shared" si="11"/>
        <v/>
      </c>
      <c r="G119" s="21" t="str">
        <f t="shared" si="10"/>
        <v/>
      </c>
      <c r="H119" s="21" t="str">
        <f t="shared" si="8"/>
        <v/>
      </c>
    </row>
    <row r="120" spans="1:8" x14ac:dyDescent="0.3">
      <c r="A120" s="2"/>
      <c r="B120" s="23" t="str">
        <f t="shared" si="9"/>
        <v/>
      </c>
      <c r="C120" s="3"/>
      <c r="D120" s="4" t="str">
        <f t="shared" si="6"/>
        <v/>
      </c>
      <c r="E120" s="4" t="str">
        <f t="shared" si="7"/>
        <v/>
      </c>
      <c r="F120" s="4" t="str">
        <f t="shared" si="11"/>
        <v/>
      </c>
      <c r="G120" s="4" t="str">
        <f t="shared" si="10"/>
        <v/>
      </c>
      <c r="H120" s="4" t="str">
        <f t="shared" si="8"/>
        <v/>
      </c>
    </row>
    <row r="121" spans="1:8" x14ac:dyDescent="0.3">
      <c r="A121" s="19"/>
      <c r="B121" s="24" t="str">
        <f t="shared" si="9"/>
        <v/>
      </c>
      <c r="C121" s="20"/>
      <c r="D121" s="21" t="str">
        <f t="shared" si="6"/>
        <v/>
      </c>
      <c r="E121" s="21" t="str">
        <f t="shared" si="7"/>
        <v/>
      </c>
      <c r="F121" s="21" t="str">
        <f t="shared" si="11"/>
        <v/>
      </c>
      <c r="G121" s="21" t="str">
        <f t="shared" si="10"/>
        <v/>
      </c>
      <c r="H121" s="21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Loan1</vt:lpstr>
      <vt:lpstr>188</vt:lpstr>
      <vt:lpstr>204</vt:lpstr>
      <vt:lpstr>224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2026-10-13T06:47:51Z</dcterms:modified>
</cp:coreProperties>
</file>