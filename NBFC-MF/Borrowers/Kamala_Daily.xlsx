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4" r:id="rId1"/>
    <sheet name="188" sheetId="6" r:id="rId2"/>
    <sheet name="204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7" l="1"/>
  <c r="H18" i="7" s="1"/>
  <c r="F17" i="7"/>
  <c r="B17" i="7"/>
  <c r="G17" i="7" s="1"/>
  <c r="K16" i="7"/>
  <c r="K17" i="7" s="1"/>
  <c r="F16" i="7"/>
  <c r="E16" i="7"/>
  <c r="B16" i="7"/>
  <c r="H16" i="7" s="1"/>
  <c r="F15" i="7"/>
  <c r="B15" i="7"/>
  <c r="G15" i="7" s="1"/>
  <c r="B14" i="7"/>
  <c r="H14" i="7" s="1"/>
  <c r="F13" i="7"/>
  <c r="B13" i="7"/>
  <c r="G13" i="7" s="1"/>
  <c r="B12" i="7"/>
  <c r="H12" i="7" s="1"/>
  <c r="B11" i="7"/>
  <c r="H11" i="7" s="1"/>
  <c r="B10" i="7"/>
  <c r="H10" i="7" s="1"/>
  <c r="B9" i="7"/>
  <c r="H9" i="7" s="1"/>
  <c r="K8" i="7"/>
  <c r="K2" i="7"/>
  <c r="B2" i="7"/>
  <c r="E15" i="7" l="1"/>
  <c r="E10" i="7"/>
  <c r="E12" i="7"/>
  <c r="E2" i="7"/>
  <c r="F10" i="7"/>
  <c r="F12" i="7"/>
  <c r="H15" i="7"/>
  <c r="D15" i="7"/>
  <c r="E9" i="7"/>
  <c r="G10" i="7"/>
  <c r="E11" i="7"/>
  <c r="G12" i="7"/>
  <c r="D13" i="7"/>
  <c r="H13" i="7"/>
  <c r="E14" i="7"/>
  <c r="G16" i="7"/>
  <c r="D17" i="7"/>
  <c r="H17" i="7"/>
  <c r="E18" i="7"/>
  <c r="B3" i="7"/>
  <c r="F9" i="7"/>
  <c r="D10" i="7"/>
  <c r="F11" i="7"/>
  <c r="D12" i="7"/>
  <c r="E13" i="7"/>
  <c r="F14" i="7"/>
  <c r="D16" i="7"/>
  <c r="E17" i="7"/>
  <c r="F18" i="7"/>
  <c r="G14" i="7"/>
  <c r="G18" i="7"/>
  <c r="G9" i="7"/>
  <c r="G11" i="7"/>
  <c r="D2" i="7"/>
  <c r="D9" i="7"/>
  <c r="D11" i="7"/>
  <c r="D14" i="7"/>
  <c r="D18" i="7"/>
  <c r="F2" i="7" l="1"/>
  <c r="G2" i="7" s="1"/>
  <c r="H2" i="7" s="1"/>
  <c r="B4" i="7"/>
  <c r="E3" i="7"/>
  <c r="D3" i="7"/>
  <c r="F3" i="7" l="1"/>
  <c r="G3" i="7" s="1"/>
  <c r="H3" i="7" s="1"/>
  <c r="B5" i="7"/>
  <c r="D4" i="7"/>
  <c r="E4" i="7" l="1"/>
  <c r="F4" i="7"/>
  <c r="G4" i="7" s="1"/>
  <c r="H4" i="7" s="1"/>
  <c r="B6" i="7"/>
  <c r="D5" i="7"/>
  <c r="E5" i="7" l="1"/>
  <c r="F5" i="7" s="1"/>
  <c r="G5" i="7" s="1"/>
  <c r="B7" i="7"/>
  <c r="D6" i="7"/>
  <c r="H5" i="7" l="1"/>
  <c r="E6" i="7"/>
  <c r="F6" i="7"/>
  <c r="G6" i="7" s="1"/>
  <c r="H6" i="7" s="1"/>
  <c r="B8" i="7"/>
  <c r="D7" i="7"/>
  <c r="E7" i="7" l="1"/>
  <c r="F7" i="7" s="1"/>
  <c r="G7" i="7" s="1"/>
  <c r="H7" i="7" s="1"/>
  <c r="E8" i="7"/>
  <c r="D8" i="7"/>
  <c r="K12" i="7"/>
  <c r="F8" i="7" l="1"/>
  <c r="G8" i="7" s="1"/>
  <c r="H8" i="7" s="1"/>
  <c r="K15" i="7"/>
  <c r="K13" i="7"/>
  <c r="K14" i="7" l="1"/>
  <c r="K16" i="6"/>
  <c r="K17" i="6" s="1"/>
  <c r="K8" i="6"/>
  <c r="B3" i="6"/>
  <c r="K2" i="6"/>
  <c r="B2" i="6"/>
  <c r="E2" i="6" s="1"/>
  <c r="D2" i="6" l="1"/>
  <c r="F2" i="6" s="1"/>
  <c r="D3" i="6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3" i="6" l="1"/>
  <c r="F3" i="6" s="1"/>
  <c r="G3" i="6" s="1"/>
  <c r="H2" i="6"/>
  <c r="B5" i="6"/>
  <c r="D4" i="6"/>
  <c r="K16" i="4"/>
  <c r="K17" i="4" s="1"/>
  <c r="H3" i="6" l="1"/>
  <c r="E4" i="6"/>
  <c r="F4" i="6" s="1"/>
  <c r="G4" i="6" s="1"/>
  <c r="D5" i="6"/>
  <c r="B6" i="6"/>
  <c r="K2" i="4"/>
  <c r="H4" i="6" l="1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D7" i="6" l="1"/>
  <c r="B8" i="6"/>
  <c r="E6" i="6"/>
  <c r="F6" i="6" s="1"/>
  <c r="G6" i="6" s="1"/>
  <c r="H6" i="6" s="1"/>
  <c r="K8" i="4"/>
  <c r="E2" i="4" s="1"/>
  <c r="F2" i="4" s="1"/>
  <c r="G2" i="4" s="1"/>
  <c r="B9" i="6" l="1"/>
  <c r="D8" i="6"/>
  <c r="E7" i="6"/>
  <c r="F7" i="6" s="1"/>
  <c r="G7" i="6" s="1"/>
  <c r="H2" i="4"/>
  <c r="E3" i="4"/>
  <c r="H7" i="6" l="1"/>
  <c r="E8" i="6"/>
  <c r="F8" i="6"/>
  <c r="G8" i="6" s="1"/>
  <c r="D9" i="6"/>
  <c r="B10" i="6"/>
  <c r="E93" i="4"/>
  <c r="F93" i="4" s="1"/>
  <c r="G93" i="4" s="1"/>
  <c r="H8" i="6" l="1"/>
  <c r="E9" i="6"/>
  <c r="F9" i="6" s="1"/>
  <c r="G9" i="6" s="1"/>
  <c r="D10" i="6"/>
  <c r="B11" i="6"/>
  <c r="H93" i="4"/>
  <c r="E94" i="4"/>
  <c r="F94" i="4" s="1"/>
  <c r="G94" i="4" s="1"/>
  <c r="H9" i="6" l="1"/>
  <c r="E10" i="6"/>
  <c r="F10" i="6" s="1"/>
  <c r="G10" i="6"/>
  <c r="H10" i="6" s="1"/>
  <c r="B12" i="6"/>
  <c r="D11" i="6"/>
  <c r="E95" i="4"/>
  <c r="F95" i="4" s="1"/>
  <c r="G95" i="4"/>
  <c r="H94" i="4"/>
  <c r="E11" i="6" l="1"/>
  <c r="F11" i="6" s="1"/>
  <c r="G11" i="6" s="1"/>
  <c r="D12" i="6"/>
  <c r="B13" i="6"/>
  <c r="H95" i="4"/>
  <c r="E96" i="4"/>
  <c r="F96" i="4" s="1"/>
  <c r="G96" i="4"/>
  <c r="H11" i="6" l="1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15" i="6" l="1"/>
  <c r="D14" i="6"/>
  <c r="E14" i="6"/>
  <c r="H97" i="4"/>
  <c r="E98" i="4"/>
  <c r="F98" i="4" s="1"/>
  <c r="G98" i="4" s="1"/>
  <c r="F14" i="6" l="1"/>
  <c r="G14" i="6" s="1"/>
  <c r="H14" i="6" s="1"/>
  <c r="B16" i="6"/>
  <c r="D15" i="6"/>
  <c r="E15" i="6"/>
  <c r="E99" i="4"/>
  <c r="F99" i="4" s="1"/>
  <c r="G99" i="4"/>
  <c r="H98" i="4"/>
  <c r="F15" i="6" l="1"/>
  <c r="G15" i="6" s="1"/>
  <c r="H15" i="6" s="1"/>
  <c r="D16" i="6"/>
  <c r="B17" i="6"/>
  <c r="E16" i="6"/>
  <c r="F16" i="6" s="1"/>
  <c r="G16" i="6" s="1"/>
  <c r="H16" i="6" s="1"/>
  <c r="H99" i="4"/>
  <c r="E100" i="4"/>
  <c r="F100" i="4" s="1"/>
  <c r="G100" i="4" s="1"/>
  <c r="E17" i="6" l="1"/>
  <c r="B18" i="6"/>
  <c r="D17" i="6"/>
  <c r="F17" i="6" s="1"/>
  <c r="G17" i="6" s="1"/>
  <c r="H17" i="6" s="1"/>
  <c r="H100" i="4"/>
  <c r="E101" i="4"/>
  <c r="F101" i="4" s="1"/>
  <c r="G101" i="4" s="1"/>
  <c r="E18" i="6" l="1"/>
  <c r="D18" i="6"/>
  <c r="F18" i="6" s="1"/>
  <c r="G18" i="6" s="1"/>
  <c r="H18" i="6" s="1"/>
  <c r="B19" i="6"/>
  <c r="H101" i="4"/>
  <c r="E102" i="4"/>
  <c r="F102" i="4" s="1"/>
  <c r="G102" i="4" s="1"/>
  <c r="D19" i="6" l="1"/>
  <c r="E19" i="6"/>
  <c r="B20" i="6"/>
  <c r="E103" i="4"/>
  <c r="F103" i="4" s="1"/>
  <c r="G103" i="4" s="1"/>
  <c r="H102" i="4"/>
  <c r="F19" i="6" l="1"/>
  <c r="G19" i="6" s="1"/>
  <c r="H19" i="6" s="1"/>
  <c r="E20" i="6"/>
  <c r="B21" i="6"/>
  <c r="D20" i="6"/>
  <c r="F20" i="6" s="1"/>
  <c r="G20" i="6" s="1"/>
  <c r="H20" i="6" s="1"/>
  <c r="H103" i="4"/>
  <c r="E104" i="4"/>
  <c r="F104" i="4" s="1"/>
  <c r="G104" i="4"/>
  <c r="D21" i="6" l="1"/>
  <c r="E21" i="6"/>
  <c r="B22" i="6"/>
  <c r="H104" i="4"/>
  <c r="E105" i="4"/>
  <c r="F105" i="4" s="1"/>
  <c r="G105" i="4" s="1"/>
  <c r="F3" i="4"/>
  <c r="G3" i="4" s="1"/>
  <c r="F21" i="6" l="1"/>
  <c r="G21" i="6" s="1"/>
  <c r="H21" i="6" s="1"/>
  <c r="B23" i="6"/>
  <c r="D22" i="6"/>
  <c r="E22" i="6"/>
  <c r="H105" i="4"/>
  <c r="E106" i="4"/>
  <c r="F106" i="4" s="1"/>
  <c r="G106" i="4" s="1"/>
  <c r="E4" i="4"/>
  <c r="H3" i="4"/>
  <c r="F4" i="4"/>
  <c r="G4" i="4" s="1"/>
  <c r="F22" i="6" l="1"/>
  <c r="G22" i="6" s="1"/>
  <c r="H22" i="6" s="1"/>
  <c r="D23" i="6"/>
  <c r="B24" i="6"/>
  <c r="E23" i="6"/>
  <c r="E107" i="4"/>
  <c r="F107" i="4" s="1"/>
  <c r="G107" i="4" s="1"/>
  <c r="H106" i="4"/>
  <c r="E5" i="4"/>
  <c r="F5" i="4" s="1"/>
  <c r="G5" i="4" s="1"/>
  <c r="H4" i="4"/>
  <c r="F23" i="6" l="1"/>
  <c r="G23" i="6" s="1"/>
  <c r="H23" i="6" s="1"/>
  <c r="B25" i="6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D25" i="6" l="1"/>
  <c r="E25" i="6"/>
  <c r="F25" i="6" s="1"/>
  <c r="G25" i="6" s="1"/>
  <c r="H25" i="6" s="1"/>
  <c r="B26" i="6"/>
  <c r="E109" i="4"/>
  <c r="F109" i="4" s="1"/>
  <c r="G109" i="4" s="1"/>
  <c r="H108" i="4"/>
  <c r="E7" i="4"/>
  <c r="F7" i="4" s="1"/>
  <c r="G7" i="4" s="1"/>
  <c r="H6" i="4"/>
  <c r="E26" i="6" l="1"/>
  <c r="B27" i="6"/>
  <c r="D26" i="6"/>
  <c r="F26" i="6" s="1"/>
  <c r="G26" i="6" s="1"/>
  <c r="H26" i="6" s="1"/>
  <c r="E110" i="4"/>
  <c r="F110" i="4" s="1"/>
  <c r="G110" i="4" s="1"/>
  <c r="H109" i="4"/>
  <c r="H7" i="4"/>
  <c r="E8" i="4"/>
  <c r="F8" i="4" s="1"/>
  <c r="G8" i="4" s="1"/>
  <c r="D27" i="6" l="1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E28" i="6" l="1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D29" i="6" l="1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31" i="6" l="1"/>
  <c r="D30" i="6"/>
  <c r="E30" i="6"/>
  <c r="H113" i="4"/>
  <c r="E114" i="4"/>
  <c r="F114" i="4" s="1"/>
  <c r="G114" i="4" s="1"/>
  <c r="H11" i="4"/>
  <c r="E12" i="4"/>
  <c r="F12" i="4" s="1"/>
  <c r="G12" i="4" s="1"/>
  <c r="F30" i="6" l="1"/>
  <c r="G30" i="6" s="1"/>
  <c r="H30" i="6" s="1"/>
  <c r="D31" i="6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D32" i="6" l="1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D33" i="6" l="1"/>
  <c r="B34" i="6"/>
  <c r="E33" i="6"/>
  <c r="H116" i="4"/>
  <c r="E117" i="4"/>
  <c r="F117" i="4" s="1"/>
  <c r="G117" i="4" s="1"/>
  <c r="E15" i="4"/>
  <c r="F15" i="4" s="1"/>
  <c r="G15" i="4" s="1"/>
  <c r="H14" i="4"/>
  <c r="F33" i="6" l="1"/>
  <c r="G33" i="6" s="1"/>
  <c r="H33" i="6" s="1"/>
  <c r="E34" i="6"/>
  <c r="D34" i="6"/>
  <c r="F34" i="6" s="1"/>
  <c r="G34" i="6" s="1"/>
  <c r="H34" i="6" s="1"/>
  <c r="B35" i="6"/>
  <c r="E118" i="4"/>
  <c r="F118" i="4" s="1"/>
  <c r="G118" i="4" s="1"/>
  <c r="H117" i="4"/>
  <c r="H15" i="4"/>
  <c r="E16" i="4"/>
  <c r="F16" i="4" s="1"/>
  <c r="G16" i="4" s="1"/>
  <c r="D35" i="6" l="1"/>
  <c r="E35" i="6"/>
  <c r="B36" i="6"/>
  <c r="H118" i="4"/>
  <c r="E119" i="4"/>
  <c r="F119" i="4" s="1"/>
  <c r="G119" i="4" s="1"/>
  <c r="E17" i="4"/>
  <c r="F17" i="4" s="1"/>
  <c r="G17" i="4" s="1"/>
  <c r="H16" i="4"/>
  <c r="F35" i="6" l="1"/>
  <c r="G35" i="6" s="1"/>
  <c r="H35" i="6" s="1"/>
  <c r="E36" i="6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D37" i="6" l="1"/>
  <c r="E37" i="6"/>
  <c r="B38" i="6"/>
  <c r="E121" i="4"/>
  <c r="F121" i="4" s="1"/>
  <c r="G121" i="4" s="1"/>
  <c r="H121" i="4" s="1"/>
  <c r="H120" i="4"/>
  <c r="E19" i="4"/>
  <c r="F19" i="4" s="1"/>
  <c r="G19" i="4" s="1"/>
  <c r="H18" i="4"/>
  <c r="F37" i="6" l="1"/>
  <c r="G37" i="6" s="1"/>
  <c r="H37" i="6" s="1"/>
  <c r="B39" i="6"/>
  <c r="D38" i="6"/>
  <c r="F38" i="6" s="1"/>
  <c r="G38" i="6" s="1"/>
  <c r="H38" i="6" s="1"/>
  <c r="E38" i="6"/>
  <c r="E20" i="4"/>
  <c r="F20" i="4" s="1"/>
  <c r="G20" i="4" s="1"/>
  <c r="H19" i="4"/>
  <c r="D39" i="6" l="1"/>
  <c r="B40" i="6"/>
  <c r="E39" i="6"/>
  <c r="F39" i="6" s="1"/>
  <c r="G39" i="6" s="1"/>
  <c r="H39" i="6" s="1"/>
  <c r="E21" i="4"/>
  <c r="F21" i="4" s="1"/>
  <c r="G21" i="4" s="1"/>
  <c r="H20" i="4"/>
  <c r="B41" i="6" l="1"/>
  <c r="E40" i="6"/>
  <c r="D40" i="6"/>
  <c r="H21" i="4"/>
  <c r="E22" i="4"/>
  <c r="F22" i="4" s="1"/>
  <c r="G22" i="4" s="1"/>
  <c r="F40" i="6" l="1"/>
  <c r="G40" i="6" s="1"/>
  <c r="H40" i="6" s="1"/>
  <c r="D41" i="6"/>
  <c r="E41" i="6"/>
  <c r="B42" i="6"/>
  <c r="H22" i="4"/>
  <c r="E23" i="4"/>
  <c r="F23" i="4" s="1"/>
  <c r="G23" i="4" s="1"/>
  <c r="F41" i="6" l="1"/>
  <c r="G41" i="6" s="1"/>
  <c r="H41" i="6" s="1"/>
  <c r="E42" i="6"/>
  <c r="B43" i="6"/>
  <c r="D42" i="6"/>
  <c r="F42" i="6" s="1"/>
  <c r="G42" i="6" s="1"/>
  <c r="H42" i="6" s="1"/>
  <c r="H23" i="4"/>
  <c r="E24" i="4"/>
  <c r="F24" i="4" s="1"/>
  <c r="G24" i="4" s="1"/>
  <c r="D43" i="6" l="1"/>
  <c r="E43" i="6"/>
  <c r="F43" i="6" s="1"/>
  <c r="G43" i="6" s="1"/>
  <c r="H43" i="6" s="1"/>
  <c r="B44" i="6"/>
  <c r="E25" i="4"/>
  <c r="F25" i="4" s="1"/>
  <c r="G25" i="4" s="1"/>
  <c r="H24" i="4"/>
  <c r="E44" i="6" l="1"/>
  <c r="B45" i="6"/>
  <c r="D44" i="6"/>
  <c r="F44" i="6" s="1"/>
  <c r="G44" i="6" s="1"/>
  <c r="H44" i="6" s="1"/>
  <c r="H25" i="4"/>
  <c r="E26" i="4"/>
  <c r="F26" i="4" s="1"/>
  <c r="G26" i="4" s="1"/>
  <c r="D45" i="6" l="1"/>
  <c r="E45" i="6"/>
  <c r="B46" i="6"/>
  <c r="F45" i="6"/>
  <c r="G45" i="6" s="1"/>
  <c r="H45" i="6" s="1"/>
  <c r="H26" i="4"/>
  <c r="E27" i="4"/>
  <c r="F27" i="4" s="1"/>
  <c r="G27" i="4" s="1"/>
  <c r="D46" i="6" l="1"/>
  <c r="F46" i="6" s="1"/>
  <c r="G46" i="6" s="1"/>
  <c r="H46" i="6" s="1"/>
  <c r="B47" i="6"/>
  <c r="E46" i="6"/>
  <c r="H27" i="4"/>
  <c r="E28" i="4"/>
  <c r="F28" i="4" s="1"/>
  <c r="G28" i="4" s="1"/>
  <c r="B48" i="6" l="1"/>
  <c r="E47" i="6"/>
  <c r="D47" i="6"/>
  <c r="F47" i="6"/>
  <c r="G47" i="6" s="1"/>
  <c r="H47" i="6" s="1"/>
  <c r="H28" i="4"/>
  <c r="E29" i="4"/>
  <c r="F29" i="4" s="1"/>
  <c r="G29" i="4" s="1"/>
  <c r="E48" i="6" l="1"/>
  <c r="B49" i="6"/>
  <c r="D48" i="6"/>
  <c r="F48" i="6" s="1"/>
  <c r="G48" i="6" s="1"/>
  <c r="H48" i="6" s="1"/>
  <c r="H29" i="4"/>
  <c r="E30" i="4"/>
  <c r="F30" i="4" s="1"/>
  <c r="G30" i="4" s="1"/>
  <c r="B50" i="6" l="1"/>
  <c r="E49" i="6"/>
  <c r="D49" i="6"/>
  <c r="F49" i="6" s="1"/>
  <c r="G49" i="6" s="1"/>
  <c r="H49" i="6" s="1"/>
  <c r="H30" i="4"/>
  <c r="E31" i="4"/>
  <c r="F31" i="4" s="1"/>
  <c r="G31" i="4" s="1"/>
  <c r="E50" i="6" l="1"/>
  <c r="D50" i="6"/>
  <c r="F50" i="6" s="1"/>
  <c r="G50" i="6" s="1"/>
  <c r="H50" i="6" s="1"/>
  <c r="B51" i="6"/>
  <c r="E32" i="4"/>
  <c r="F32" i="4" s="1"/>
  <c r="G32" i="4" s="1"/>
  <c r="H31" i="4"/>
  <c r="B52" i="6" l="1"/>
  <c r="E51" i="6"/>
  <c r="D51" i="6"/>
  <c r="H32" i="4"/>
  <c r="E33" i="4"/>
  <c r="F33" i="4" s="1"/>
  <c r="G33" i="4" s="1"/>
  <c r="F51" i="6" l="1"/>
  <c r="G51" i="6" s="1"/>
  <c r="H51" i="6" s="1"/>
  <c r="B53" i="6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E54" i="6" l="1"/>
  <c r="D54" i="6"/>
  <c r="F54" i="6" s="1"/>
  <c r="G54" i="6" s="1"/>
  <c r="H54" i="6" s="1"/>
  <c r="B55" i="6"/>
  <c r="E36" i="4"/>
  <c r="F36" i="4" s="1"/>
  <c r="G36" i="4"/>
  <c r="H35" i="4"/>
  <c r="B56" i="6" l="1"/>
  <c r="E55" i="6"/>
  <c r="D55" i="6"/>
  <c r="F55" i="6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F62" i="6" l="1"/>
  <c r="G62" i="6" s="1"/>
  <c r="H62" i="6" s="1"/>
  <c r="E62" i="6"/>
  <c r="D62" i="6"/>
  <c r="B63" i="6"/>
  <c r="H43" i="4"/>
  <c r="E44" i="4"/>
  <c r="F44" i="4" s="1"/>
  <c r="G44" i="4" s="1"/>
  <c r="B64" i="6" l="1"/>
  <c r="E63" i="6"/>
  <c r="D63" i="6"/>
  <c r="F63" i="6" s="1"/>
  <c r="G63" i="6" s="1"/>
  <c r="H63" i="6" s="1"/>
  <c r="E45" i="4"/>
  <c r="F45" i="4" s="1"/>
  <c r="G45" i="4" s="1"/>
  <c r="H44" i="4"/>
  <c r="B65" i="6" l="1"/>
  <c r="E64" i="6"/>
  <c r="D64" i="6"/>
  <c r="F64" i="6" s="1"/>
  <c r="G64" i="6" s="1"/>
  <c r="H64" i="6" s="1"/>
  <c r="H45" i="4"/>
  <c r="E46" i="4"/>
  <c r="F46" i="4" s="1"/>
  <c r="G46" i="4" s="1"/>
  <c r="E65" i="6" l="1"/>
  <c r="B66" i="6"/>
  <c r="D65" i="6"/>
  <c r="F65" i="6" s="1"/>
  <c r="G65" i="6" s="1"/>
  <c r="H65" i="6" s="1"/>
  <c r="H46" i="4"/>
  <c r="E47" i="4"/>
  <c r="F47" i="4" s="1"/>
  <c r="G47" i="4" s="1"/>
  <c r="B67" i="6" l="1"/>
  <c r="E66" i="6"/>
  <c r="D66" i="6"/>
  <c r="F66" i="6" s="1"/>
  <c r="G66" i="6" s="1"/>
  <c r="H66" i="6" s="1"/>
  <c r="H47" i="4"/>
  <c r="E48" i="4"/>
  <c r="F48" i="4" s="1"/>
  <c r="G48" i="4" s="1"/>
  <c r="B68" i="6" l="1"/>
  <c r="D67" i="6"/>
  <c r="F67" i="6"/>
  <c r="G67" i="6" s="1"/>
  <c r="H67" i="6" s="1"/>
  <c r="E67" i="6"/>
  <c r="E49" i="4"/>
  <c r="F49" i="4" s="1"/>
  <c r="G49" i="4" s="1"/>
  <c r="H48" i="4"/>
  <c r="B69" i="6" l="1"/>
  <c r="E68" i="6"/>
  <c r="D68" i="6"/>
  <c r="F68" i="6" s="1"/>
  <c r="G68" i="6" s="1"/>
  <c r="H68" i="6" s="1"/>
  <c r="H49" i="4"/>
  <c r="E50" i="4"/>
  <c r="F50" i="4" s="1"/>
  <c r="G50" i="4" s="1"/>
  <c r="B70" i="6" l="1"/>
  <c r="E69" i="6"/>
  <c r="D69" i="6"/>
  <c r="F69" i="6" s="1"/>
  <c r="G69" i="6" s="1"/>
  <c r="H69" i="6" s="1"/>
  <c r="E51" i="4"/>
  <c r="F51" i="4" s="1"/>
  <c r="G51" i="4" s="1"/>
  <c r="H50" i="4"/>
  <c r="B71" i="6" l="1"/>
  <c r="E70" i="6"/>
  <c r="F70" i="6"/>
  <c r="G70" i="6" s="1"/>
  <c r="H70" i="6" s="1"/>
  <c r="D70" i="6"/>
  <c r="H51" i="4"/>
  <c r="E52" i="4"/>
  <c r="F52" i="4" s="1"/>
  <c r="G52" i="4" s="1"/>
  <c r="E71" i="6" l="1"/>
  <c r="B72" i="6"/>
  <c r="D71" i="6"/>
  <c r="F71" i="6" s="1"/>
  <c r="G71" i="6" s="1"/>
  <c r="H71" i="6" s="1"/>
  <c r="E53" i="4"/>
  <c r="F53" i="4" s="1"/>
  <c r="G53" i="4" s="1"/>
  <c r="H52" i="4"/>
  <c r="B73" i="6" l="1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F75" i="6"/>
  <c r="G75" i="6" s="1"/>
  <c r="H75" i="6" s="1"/>
  <c r="E75" i="6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F77" i="6" l="1"/>
  <c r="G77" i="6" s="1"/>
  <c r="H77" i="6" s="1"/>
  <c r="E77" i="6"/>
  <c r="D77" i="6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G83" i="6" l="1"/>
  <c r="H83" i="6" s="1"/>
  <c r="B84" i="6"/>
  <c r="D83" i="6"/>
  <c r="F83" i="6"/>
  <c r="E83" i="6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F85" i="6" l="1"/>
  <c r="G85" i="6" s="1"/>
  <c r="H85" i="6" s="1"/>
  <c r="B86" i="6"/>
  <c r="E85" i="6"/>
  <c r="D85" i="6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F88" i="6"/>
  <c r="G88" i="6" s="1"/>
  <c r="H88" i="6" s="1"/>
  <c r="D88" i="6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F91" i="6" s="1"/>
  <c r="G91" i="6" s="1"/>
  <c r="H91" i="6" s="1"/>
  <c r="E91" i="6"/>
  <c r="H72" i="4"/>
  <c r="E73" i="4"/>
  <c r="F73" i="4" s="1"/>
  <c r="G73" i="4" s="1"/>
  <c r="B93" i="6" l="1"/>
  <c r="E92" i="6"/>
  <c r="D92" i="6"/>
  <c r="F92" i="6" s="1"/>
  <c r="G92" i="6" s="1"/>
  <c r="H92" i="6" s="1"/>
  <c r="H73" i="4"/>
  <c r="E74" i="4"/>
  <c r="F74" i="4" s="1"/>
  <c r="G74" i="4" s="1"/>
  <c r="E93" i="6" l="1"/>
  <c r="F93" i="6" s="1"/>
  <c r="G93" i="6" s="1"/>
  <c r="H93" i="6" s="1"/>
  <c r="D93" i="6"/>
  <c r="B94" i="6"/>
  <c r="H74" i="4"/>
  <c r="E75" i="4"/>
  <c r="F75" i="4" s="1"/>
  <c r="G75" i="4" s="1"/>
  <c r="B95" i="6" l="1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F98" i="6" s="1"/>
  <c r="G98" i="6" s="1"/>
  <c r="H98" i="6" s="1"/>
  <c r="D98" i="6"/>
  <c r="H79" i="4"/>
  <c r="E80" i="4"/>
  <c r="F80" i="4" s="1"/>
  <c r="G80" i="4" s="1"/>
  <c r="B100" i="6" l="1"/>
  <c r="D99" i="6"/>
  <c r="F99" i="6"/>
  <c r="G99" i="6" s="1"/>
  <c r="H99" i="6" s="1"/>
  <c r="E99" i="6"/>
  <c r="H80" i="4"/>
  <c r="E81" i="4"/>
  <c r="F81" i="4" s="1"/>
  <c r="G81" i="4" s="1"/>
  <c r="B101" i="6" l="1"/>
  <c r="E100" i="6"/>
  <c r="F100" i="6"/>
  <c r="G100" i="6" s="1"/>
  <c r="H100" i="6" s="1"/>
  <c r="D100" i="6"/>
  <c r="H81" i="4"/>
  <c r="E82" i="4"/>
  <c r="F82" i="4" s="1"/>
  <c r="G82" i="4" s="1"/>
  <c r="F101" i="6" l="1"/>
  <c r="G101" i="6" s="1"/>
  <c r="H101" i="6" s="1"/>
  <c r="B102" i="6"/>
  <c r="E101" i="6"/>
  <c r="D101" i="6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F103" i="6" s="1"/>
  <c r="G103" i="6" s="1"/>
  <c r="H103" i="6" s="1"/>
  <c r="B104" i="6"/>
  <c r="E103" i="6"/>
  <c r="E85" i="4"/>
  <c r="F85" i="4" s="1"/>
  <c r="G85" i="4" s="1"/>
  <c r="H84" i="4"/>
  <c r="B105" i="6" l="1"/>
  <c r="E104" i="6"/>
  <c r="D104" i="6"/>
  <c r="F104" i="6" s="1"/>
  <c r="G104" i="6" s="1"/>
  <c r="H104" i="6" s="1"/>
  <c r="H85" i="4"/>
  <c r="E86" i="4"/>
  <c r="F86" i="4" s="1"/>
  <c r="G86" i="4" s="1"/>
  <c r="D105" i="6" l="1"/>
  <c r="F105" i="6"/>
  <c r="G105" i="6" s="1"/>
  <c r="H105" i="6" s="1"/>
  <c r="E105" i="6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F107" i="6"/>
  <c r="G107" i="6" s="1"/>
  <c r="H107" i="6" s="1"/>
  <c r="E107" i="6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F109" i="6"/>
  <c r="G109" i="6" s="1"/>
  <c r="H109" i="6" s="1"/>
  <c r="E109" i="6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F111" i="6" s="1"/>
  <c r="G111" i="6" s="1"/>
  <c r="H111" i="6" s="1"/>
  <c r="B112" i="6"/>
  <c r="E111" i="6"/>
  <c r="H92" i="4"/>
  <c r="K15" i="4" s="1"/>
  <c r="F112" i="6" l="1"/>
  <c r="B113" i="6"/>
  <c r="E112" i="6"/>
  <c r="D112" i="6"/>
  <c r="G112" i="6"/>
  <c r="H112" i="6" s="1"/>
  <c r="D113" i="6" l="1"/>
  <c r="F113" i="6"/>
  <c r="G113" i="6" s="1"/>
  <c r="H113" i="6" s="1"/>
  <c r="E113" i="6"/>
  <c r="B114" i="6"/>
  <c r="B115" i="6" l="1"/>
  <c r="E114" i="6"/>
  <c r="D114" i="6"/>
  <c r="F114" i="6" s="1"/>
  <c r="G114" i="6" s="1"/>
  <c r="H114" i="6" s="1"/>
  <c r="D115" i="6" l="1"/>
  <c r="F115" i="6" s="1"/>
  <c r="G115" i="6" s="1"/>
  <c r="H115" i="6" s="1"/>
  <c r="B116" i="6"/>
  <c r="E115" i="6"/>
  <c r="B117" i="6" l="1"/>
  <c r="E116" i="6"/>
  <c r="D116" i="6"/>
  <c r="F116" i="6" s="1"/>
  <c r="G116" i="6" s="1"/>
  <c r="H116" i="6" s="1"/>
  <c r="D117" i="6" l="1"/>
  <c r="G117" i="6"/>
  <c r="H117" i="6" s="1"/>
  <c r="F117" i="6"/>
  <c r="E117" i="6"/>
  <c r="B118" i="6"/>
  <c r="B119" i="6" l="1"/>
  <c r="E118" i="6"/>
  <c r="D118" i="6"/>
  <c r="F118" i="6" s="1"/>
  <c r="G118" i="6" s="1"/>
  <c r="H118" i="6" s="1"/>
  <c r="D119" i="6" l="1"/>
  <c r="F119" i="6" s="1"/>
  <c r="G119" i="6" s="1"/>
  <c r="H119" i="6" s="1"/>
  <c r="B120" i="6"/>
  <c r="E119" i="6"/>
  <c r="B121" i="6" l="1"/>
  <c r="E120" i="6"/>
  <c r="D120" i="6"/>
  <c r="F120" i="6" s="1"/>
  <c r="G120" i="6" s="1"/>
  <c r="H120" i="6" s="1"/>
  <c r="D121" i="6" l="1"/>
  <c r="F121" i="6"/>
  <c r="G121" i="6" s="1"/>
  <c r="H121" i="6" s="1"/>
  <c r="E121" i="6"/>
  <c r="K12" i="6"/>
  <c r="K13" i="6" l="1"/>
  <c r="K15" i="6"/>
  <c r="K14" i="6"/>
</calcChain>
</file>

<file path=xl/sharedStrings.xml><?xml version="1.0" encoding="utf-8"?>
<sst xmlns="http://schemas.openxmlformats.org/spreadsheetml/2006/main" count="75" uniqueCount="29">
  <si>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</si>
  <si>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</si>
  <si>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</si>
  <si>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</si>
  <si>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</si>
  <si>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</si>
  <si>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</si>
  <si>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</si>
  <si>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</si>
  <si>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</si>
  <si>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</si>
  <si>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</si>
  <si>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</si>
  <si>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</si>
  <si>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</si>
  <si>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</si>
  <si>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</si>
  <si>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</si>
  <si>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</si>
  <si>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</si>
  <si>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</si>
  <si>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</si>
  <si>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</si>
  <si>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</si>
  <si>
    <t>Week</t>
  </si>
  <si>
    <t>Weekly Rate</t>
  </si>
  <si>
    <t>Weeks</t>
  </si>
  <si>
    <t>LatestWeek</t>
  </si>
  <si>
    <t>kamala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</si>
</sst>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110" activePane="bottomLeft" state="frozen"/>
      <selection pane="bottomLeft" activeCell="A121" sqref="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opLeftCell="A43" workbookViewId="0">
      <selection activeCell="A50" sqref="A50:A54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53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26800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24155.002294956197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15844.997705043803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46190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46310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46208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46208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46208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46208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46208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46208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46214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46214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46214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46214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46214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46214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46222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46222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46222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46222</v>
      </c>
      <c r="B34" s="23">
        <f t="shared" si="3"/>
        <v>33</v>
      </c>
      <c r="C34" s="3"/>
      <c r="D34" s="4">
        <f t="shared" si="0"/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46222</v>
      </c>
      <c r="B35" s="24">
        <f t="shared" si="3"/>
        <v>34</v>
      </c>
      <c r="C35" s="20"/>
      <c r="D35" s="21">
        <f t="shared" si="0"/>
        <v>400</v>
      </c>
      <c r="E35" s="21">
        <f t="shared" si="1"/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si="2"/>
        <v>9862.2864160209356</v>
      </c>
    </row>
    <row r="36" spans="1:8" x14ac:dyDescent="0.3">
      <c r="A36" s="2">
        <v>46222</v>
      </c>
      <c r="B36" s="23">
        <f t="shared" si="3"/>
        <v>35</v>
      </c>
      <c r="C36" s="3"/>
      <c r="D36" s="4">
        <f t="shared" si="0"/>
        <v>400</v>
      </c>
      <c r="E36" s="4">
        <f t="shared" si="1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2"/>
        <v>10168.432092483952</v>
      </c>
    </row>
    <row r="37" spans="1:8" x14ac:dyDescent="0.3">
      <c r="A37" s="19">
        <v>46228</v>
      </c>
      <c r="B37" s="24">
        <f t="shared" si="3"/>
        <v>36</v>
      </c>
      <c r="C37" s="20"/>
      <c r="D37" s="21">
        <f t="shared" si="0"/>
        <v>400</v>
      </c>
      <c r="E37" s="21">
        <f t="shared" si="1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2"/>
        <v>10475.531162285457</v>
      </c>
    </row>
    <row r="38" spans="1:8" x14ac:dyDescent="0.3">
      <c r="A38" s="2">
        <v>46228</v>
      </c>
      <c r="B38" s="23">
        <f t="shared" si="3"/>
        <v>37</v>
      </c>
      <c r="C38" s="3"/>
      <c r="D38" s="4">
        <f t="shared" si="0"/>
        <v>400</v>
      </c>
      <c r="E38" s="4">
        <f t="shared" si="1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2"/>
        <v>10783.586594465771</v>
      </c>
    </row>
    <row r="39" spans="1:8" x14ac:dyDescent="0.3">
      <c r="A39" s="19">
        <v>46228</v>
      </c>
      <c r="B39" s="24">
        <f t="shared" si="3"/>
        <v>38</v>
      </c>
      <c r="C39" s="20"/>
      <c r="D39" s="21">
        <f t="shared" si="0"/>
        <v>400</v>
      </c>
      <c r="E39" s="21">
        <f t="shared" si="1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2"/>
        <v>11092.601367311348</v>
      </c>
    </row>
    <row r="40" spans="1:8" x14ac:dyDescent="0.3">
      <c r="A40" s="2">
        <v>46228</v>
      </c>
      <c r="B40" s="23">
        <f t="shared" si="3"/>
        <v>39</v>
      </c>
      <c r="C40" s="3"/>
      <c r="D40" s="4">
        <f t="shared" si="0"/>
        <v>400</v>
      </c>
      <c r="E40" s="4">
        <f t="shared" si="1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2"/>
        <v>11402.57846838357</v>
      </c>
    </row>
    <row r="41" spans="1:8" x14ac:dyDescent="0.3">
      <c r="A41" s="19">
        <v>46228</v>
      </c>
      <c r="B41" s="24">
        <f t="shared" si="3"/>
        <v>40</v>
      </c>
      <c r="C41" s="20"/>
      <c r="D41" s="21">
        <f t="shared" si="0"/>
        <v>400</v>
      </c>
      <c r="E41" s="21">
        <f t="shared" si="1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2"/>
        <v>11713.520894547622</v>
      </c>
    </row>
    <row r="42" spans="1:8" x14ac:dyDescent="0.3">
      <c r="A42" s="2">
        <v>46228</v>
      </c>
      <c r="B42" s="23">
        <f t="shared" si="3"/>
        <v>41</v>
      </c>
      <c r="C42" s="3"/>
      <c r="D42" s="4">
        <f t="shared" si="0"/>
        <v>400</v>
      </c>
      <c r="E42" s="4">
        <f t="shared" si="1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2"/>
        <v>12025.431652001484</v>
      </c>
    </row>
    <row r="43" spans="1:8" x14ac:dyDescent="0.3">
      <c r="A43" s="19">
        <v>46234</v>
      </c>
      <c r="B43" s="24">
        <f t="shared" si="3"/>
        <v>42</v>
      </c>
      <c r="C43" s="20"/>
      <c r="D43" s="21">
        <f t="shared" si="0"/>
        <v>400</v>
      </c>
      <c r="E43" s="21">
        <f t="shared" si="1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2"/>
        <v>12338.313756304971</v>
      </c>
    </row>
    <row r="44" spans="1:8" x14ac:dyDescent="0.3">
      <c r="A44" s="2">
        <v>46234</v>
      </c>
      <c r="B44" s="23">
        <f t="shared" si="3"/>
        <v>43</v>
      </c>
      <c r="C44" s="3"/>
      <c r="D44" s="4">
        <f t="shared" si="0"/>
        <v>400</v>
      </c>
      <c r="E44" s="4">
        <f t="shared" si="1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2"/>
        <v>12652.170232408906</v>
      </c>
    </row>
    <row r="45" spans="1:8" x14ac:dyDescent="0.3">
      <c r="A45" s="19">
        <v>46234</v>
      </c>
      <c r="B45" s="24">
        <f t="shared" si="3"/>
        <v>44</v>
      </c>
      <c r="C45" s="20"/>
      <c r="D45" s="21">
        <f t="shared" si="0"/>
        <v>400</v>
      </c>
      <c r="E45" s="21">
        <f t="shared" si="1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2"/>
        <v>12967.004114684358</v>
      </c>
    </row>
    <row r="46" spans="1:8" x14ac:dyDescent="0.3">
      <c r="A46" s="2">
        <v>46234</v>
      </c>
      <c r="B46" s="23">
        <f t="shared" si="3"/>
        <v>45</v>
      </c>
      <c r="C46" s="3"/>
      <c r="D46" s="4">
        <f t="shared" si="0"/>
        <v>400</v>
      </c>
      <c r="E46" s="4">
        <f t="shared" si="1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2"/>
        <v>13282.818446951984</v>
      </c>
    </row>
    <row r="47" spans="1:8" x14ac:dyDescent="0.3">
      <c r="A47" s="19">
        <v>46234</v>
      </c>
      <c r="B47" s="24">
        <f t="shared" si="3"/>
        <v>46</v>
      </c>
      <c r="C47" s="20"/>
      <c r="D47" s="21">
        <f t="shared" si="0"/>
        <v>400</v>
      </c>
      <c r="E47" s="21">
        <f t="shared" si="1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2"/>
        <v>13599.616282511444</v>
      </c>
    </row>
    <row r="48" spans="1:8" x14ac:dyDescent="0.3">
      <c r="A48" s="2">
        <v>46234</v>
      </c>
      <c r="B48" s="23">
        <f t="shared" si="3"/>
        <v>47</v>
      </c>
      <c r="C48" s="3"/>
      <c r="D48" s="4">
        <f t="shared" si="0"/>
        <v>400</v>
      </c>
      <c r="E48" s="4">
        <f t="shared" si="1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2"/>
        <v>13917.400684170938</v>
      </c>
    </row>
    <row r="49" spans="1:8" x14ac:dyDescent="0.3">
      <c r="A49" s="19">
        <v>46240</v>
      </c>
      <c r="B49" s="24">
        <f t="shared" si="3"/>
        <v>48</v>
      </c>
      <c r="C49" s="20"/>
      <c r="D49" s="21">
        <f t="shared" si="0"/>
        <v>400</v>
      </c>
      <c r="E49" s="21">
        <f t="shared" si="1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2"/>
        <v>14236.1747242768</v>
      </c>
    </row>
    <row r="50" spans="1:8" x14ac:dyDescent="0.3">
      <c r="A50" s="2">
        <v>46240</v>
      </c>
      <c r="B50" s="23">
        <f t="shared" si="3"/>
        <v>49</v>
      </c>
      <c r="C50" s="3"/>
      <c r="D50" s="4">
        <f t="shared" si="0"/>
        <v>400</v>
      </c>
      <c r="E50" s="4">
        <f t="shared" si="1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2"/>
        <v>14555.941484743213</v>
      </c>
    </row>
    <row r="51" spans="1:8" x14ac:dyDescent="0.3">
      <c r="A51" s="19">
        <v>46240</v>
      </c>
      <c r="B51" s="24">
        <f t="shared" si="3"/>
        <v>50</v>
      </c>
      <c r="C51" s="20"/>
      <c r="D51" s="21">
        <f t="shared" si="0"/>
        <v>400</v>
      </c>
      <c r="E51" s="21">
        <f t="shared" si="1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2"/>
        <v>14876.704057082003</v>
      </c>
    </row>
    <row r="52" spans="1:8" x14ac:dyDescent="0.3">
      <c r="A52" s="2">
        <v>46240</v>
      </c>
      <c r="B52" s="23">
        <f t="shared" si="3"/>
        <v>51</v>
      </c>
      <c r="C52" s="3"/>
      <c r="D52" s="4">
        <f t="shared" si="0"/>
        <v>400</v>
      </c>
      <c r="E52" s="4">
        <f t="shared" si="1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2"/>
        <v>15198.465542432521</v>
      </c>
    </row>
    <row r="53" spans="1:8" x14ac:dyDescent="0.3">
      <c r="A53" s="19">
        <v>46240</v>
      </c>
      <c r="B53" s="24">
        <f t="shared" si="3"/>
        <v>52</v>
      </c>
      <c r="C53" s="20"/>
      <c r="D53" s="21">
        <f t="shared" si="0"/>
        <v>400</v>
      </c>
      <c r="E53" s="21">
        <f t="shared" si="1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2"/>
        <v>15521.229051591636</v>
      </c>
    </row>
    <row r="54" spans="1:8" x14ac:dyDescent="0.3">
      <c r="A54" s="2">
        <v>46240</v>
      </c>
      <c r="B54" s="23">
        <f t="shared" si="3"/>
        <v>53</v>
      </c>
      <c r="C54" s="3"/>
      <c r="D54" s="4">
        <f t="shared" si="0"/>
        <v>400</v>
      </c>
      <c r="E54" s="4">
        <f t="shared" si="1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2"/>
        <v>15844.997705043803</v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workbookViewId="0">
      <selection activeCell="A3" sqref="A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28515625" style="1" customWidth="1"/>
    <col min="10" max="10" width="23.28515625" style="1" customWidth="1"/>
    <col min="11" max="11" width="23.140625" style="1" customWidth="1"/>
    <col min="12" max="12" width="12.7109375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24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6" t="s">
        <v>9</v>
      </c>
      <c r="K1" s="6"/>
    </row>
    <row r="2" spans="1:12" x14ac:dyDescent="0.3">
      <c r="A2" s="2">
        <v>46241</v>
      </c>
      <c r="B2" s="23">
        <f>IF(A2&lt;&gt;"",1,"")</f>
        <v>1</v>
      </c>
      <c r="C2" s="3"/>
      <c r="D2" s="4">
        <f t="shared" ref="D2:D18" si="0">IF(AND($A2&lt;&gt;"",$B2&lt;&gt;""),$K$9,"")</f>
        <v>1400</v>
      </c>
      <c r="E2" s="4">
        <f>IF(AND($A2&lt;&gt;"",$B2&lt;&gt;""),$K$7*$K$8,"")</f>
        <v>401.03124158893064</v>
      </c>
      <c r="F2" s="4">
        <f>IF(AND($A2&lt;&gt;"",$B2&lt;&gt;""),D2-E2,"")</f>
        <v>998.9687584110693</v>
      </c>
      <c r="G2" s="4">
        <f>IF(AND($A2&lt;&gt;"",$B2&lt;&gt;""),$K$7-F2,"")</f>
        <v>19001.031241588931</v>
      </c>
      <c r="H2" s="4">
        <f>IF(AND($A2&lt;&gt;"",$B2&lt;&gt;""),$K$7-G2,"")</f>
        <v>998.96875841106885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L20000W17-kamala-N204</v>
      </c>
    </row>
    <row r="3" spans="1:12" x14ac:dyDescent="0.3">
      <c r="A3" s="19"/>
      <c r="B3" s="24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5" t="s">
        <v>10</v>
      </c>
      <c r="K3" s="27" t="s">
        <v>28</v>
      </c>
    </row>
    <row r="4" spans="1:12" x14ac:dyDescent="0.3">
      <c r="A4" s="2"/>
      <c r="B4" s="23" t="str">
        <f t="shared" ref="B4:B18" si="3">IF(A4&lt;&gt;"",B3+1,"")</f>
        <v/>
      </c>
      <c r="C4" s="3"/>
      <c r="D4" s="4" t="str">
        <f t="shared" si="0"/>
        <v/>
      </c>
      <c r="E4" s="4" t="str">
        <f t="shared" si="1"/>
        <v/>
      </c>
      <c r="F4" s="4" t="str">
        <f t="shared" ref="F4:F18" si="4">IF(AND($A4&lt;&gt;"",$B4&lt;&gt;""),D4-E4,"")</f>
        <v/>
      </c>
      <c r="G4" s="4" t="str">
        <f t="shared" ref="G4:G18" si="5">IF(AND($A4&lt;&gt;"",$B4&lt;&gt;""),G3-F4,"")</f>
        <v/>
      </c>
      <c r="H4" s="4" t="str">
        <f t="shared" si="2"/>
        <v/>
      </c>
      <c r="J4" s="5" t="s">
        <v>11</v>
      </c>
      <c r="K4" s="27"/>
    </row>
    <row r="5" spans="1:12" x14ac:dyDescent="0.3">
      <c r="A5" s="19"/>
      <c r="B5" s="24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5" t="s">
        <v>12</v>
      </c>
      <c r="K5" s="27"/>
    </row>
    <row r="6" spans="1:12" x14ac:dyDescent="0.3">
      <c r="A6" s="2"/>
      <c r="B6" s="23" t="str">
        <f t="shared" si="3"/>
        <v/>
      </c>
      <c r="C6" s="3"/>
      <c r="D6" s="4" t="str">
        <f t="shared" si="0"/>
        <v/>
      </c>
      <c r="E6" s="4" t="str">
        <f t="shared" si="1"/>
        <v/>
      </c>
      <c r="F6" s="4" t="str">
        <f t="shared" si="4"/>
        <v/>
      </c>
      <c r="G6" s="4" t="str">
        <f t="shared" si="5"/>
        <v/>
      </c>
      <c r="H6" s="4" t="str">
        <f t="shared" si="2"/>
        <v/>
      </c>
      <c r="J6" s="5" t="s">
        <v>13</v>
      </c>
      <c r="K6" s="27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5" t="s">
        <v>7</v>
      </c>
      <c r="K7" s="28">
        <v>20000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4"/>
        <v/>
      </c>
      <c r="G8" s="4" t="str">
        <f t="shared" si="5"/>
        <v/>
      </c>
      <c r="H8" s="4" t="str">
        <f t="shared" si="2"/>
        <v/>
      </c>
      <c r="J8" s="5" t="s">
        <v>25</v>
      </c>
      <c r="K8" s="29">
        <f>RATE(K10,-K9,K7)</f>
        <v>2.0051562079446531E-2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5" t="s">
        <v>8</v>
      </c>
      <c r="K9" s="30">
        <v>1400</v>
      </c>
      <c r="L9" s="22"/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4"/>
        <v/>
      </c>
      <c r="G10" s="4" t="str">
        <f t="shared" si="5"/>
        <v/>
      </c>
      <c r="H10" s="4" t="str">
        <f t="shared" si="2"/>
        <v/>
      </c>
      <c r="J10" s="5" t="s">
        <v>26</v>
      </c>
      <c r="K10" s="31">
        <v>17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8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4"/>
        <v/>
      </c>
      <c r="G12" s="4" t="str">
        <f t="shared" si="5"/>
        <v/>
      </c>
      <c r="H12" s="4" t="str">
        <f t="shared" si="2"/>
        <v/>
      </c>
      <c r="J12" s="9" t="s">
        <v>27</v>
      </c>
      <c r="K12" s="10">
        <f>IFERROR(MAX($B:$B),"")</f>
        <v>1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22</v>
      </c>
      <c r="K13" s="12">
        <f>(K10*K9)-K9*K12</f>
        <v>22400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4"/>
        <v/>
      </c>
      <c r="G14" s="4" t="str">
        <f t="shared" si="5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19001.031241588931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3" t="s">
        <v>6</v>
      </c>
      <c r="K15" s="14">
        <f>IFERROR(INDEX($H:$H, MATCH($K$12, $B:$B, 0)), 0)</f>
        <v>998.96875841106885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4"/>
        <v/>
      </c>
      <c r="G16" s="4" t="str">
        <f t="shared" si="5"/>
        <v/>
      </c>
      <c r="H16" s="4" t="str">
        <f t="shared" si="2"/>
        <v/>
      </c>
      <c r="J16" s="15" t="s">
        <v>18</v>
      </c>
      <c r="K16" s="16">
        <f>IF(A2,A2, "")</f>
        <v>46241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4"/>
        <v/>
      </c>
      <c r="G18" s="4" t="str">
        <f t="shared" si="5"/>
        <v/>
      </c>
      <c r="H18" s="4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188</vt:lpstr>
      <vt:lpstr>204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2026-08-07T12:05:34Z</dcterms:modified>
</cp:coreProperties>
</file>