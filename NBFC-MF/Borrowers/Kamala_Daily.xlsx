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4" r:id="rId1"/>
    <sheet name="188" sheetId="6" r:id="rId2"/>
    <sheet name="204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B17" i="7"/>
  <c r="G17" i="7" s="1"/>
  <c r="K16" i="7"/>
  <c r="K17" i="7" s="1"/>
  <c r="B16" i="7"/>
  <c r="H16" i="7" s="1"/>
  <c r="B15" i="7"/>
  <c r="G15" i="7" s="1"/>
  <c r="B14" i="7"/>
  <c r="H14" i="7" s="1"/>
  <c r="B13" i="7"/>
  <c r="G13" i="7" s="1"/>
  <c r="B12" i="7"/>
  <c r="H12" i="7" s="1"/>
  <c r="B11" i="7"/>
  <c r="H11" i="7" s="1"/>
  <c r="B10" i="7"/>
  <c r="H10" i="7" s="1"/>
  <c r="B9" i="7"/>
  <c r="H9" i="7" s="1"/>
  <c r="K8" i="7"/>
  <c r="K2" i="7"/>
  <c r="B2" i="7"/>
  <c r="F16" i="7" l="1"/>
  <c r="F15" i="7"/>
  <c r="F13" i="7"/>
  <c r="E16" i="7"/>
  <c r="F17" i="7"/>
  <c r="E15" i="7"/>
  <c r="E10" i="7"/>
  <c r="E12" i="7"/>
  <c r="E2" i="7"/>
  <c r="F10" i="7"/>
  <c r="F12" i="7"/>
  <c r="H15" i="7"/>
  <c r="D15" i="7"/>
  <c r="E9" i="7"/>
  <c r="G10" i="7"/>
  <c r="E11" i="7"/>
  <c r="G12" i="7"/>
  <c r="D13" i="7"/>
  <c r="H13" i="7"/>
  <c r="E14" i="7"/>
  <c r="G16" i="7"/>
  <c r="D17" i="7"/>
  <c r="H17" i="7"/>
  <c r="E18" i="7"/>
  <c r="B3" i="7"/>
  <c r="F9" i="7"/>
  <c r="D10" i="7"/>
  <c r="F11" i="7"/>
  <c r="D12" i="7"/>
  <c r="E13" i="7"/>
  <c r="F14" i="7"/>
  <c r="D16" i="7"/>
  <c r="E17" i="7"/>
  <c r="F18" i="7"/>
  <c r="G14" i="7"/>
  <c r="G18" i="7"/>
  <c r="G9" i="7"/>
  <c r="G11" i="7"/>
  <c r="D2" i="7"/>
  <c r="D9" i="7"/>
  <c r="D11" i="7"/>
  <c r="D14" i="7"/>
  <c r="D18" i="7"/>
  <c r="F2" i="7" l="1"/>
  <c r="G2" i="7" s="1"/>
  <c r="H2" i="7" s="1"/>
  <c r="B4" i="7"/>
  <c r="E3" i="7"/>
  <c r="D3" i="7"/>
  <c r="F3" i="7" l="1"/>
  <c r="G3" i="7" s="1"/>
  <c r="H3" i="7" s="1"/>
  <c r="B5" i="7"/>
  <c r="D4" i="7"/>
  <c r="E4" i="7" l="1"/>
  <c r="F4" i="7" s="1"/>
  <c r="G4" i="7" s="1"/>
  <c r="H4" i="7" s="1"/>
  <c r="B6" i="7"/>
  <c r="D5" i="7"/>
  <c r="E5" i="7" l="1"/>
  <c r="F5" i="7" s="1"/>
  <c r="G5" i="7" s="1"/>
  <c r="B7" i="7"/>
  <c r="D6" i="7"/>
  <c r="H5" i="7" l="1"/>
  <c r="E6" i="7"/>
  <c r="F6" i="7"/>
  <c r="G6" i="7" s="1"/>
  <c r="H6" i="7" s="1"/>
  <c r="B8" i="7"/>
  <c r="D7" i="7"/>
  <c r="E7" i="7" l="1"/>
  <c r="F7" i="7" s="1"/>
  <c r="G7" i="7" s="1"/>
  <c r="H7" i="7" s="1"/>
  <c r="E8" i="7"/>
  <c r="D8" i="7"/>
  <c r="K12" i="7"/>
  <c r="F8" i="7" l="1"/>
  <c r="G8" i="7" s="1"/>
  <c r="H8" i="7" s="1"/>
  <c r="K15" i="7"/>
  <c r="K13" i="7"/>
  <c r="K14" i="7" l="1"/>
  <c r="K16" i="6"/>
  <c r="K17" i="6" s="1"/>
  <c r="K8" i="6"/>
  <c r="B3" i="6"/>
  <c r="K2" i="6"/>
  <c r="B2" i="6"/>
  <c r="E2" i="6" s="1"/>
  <c r="D2" i="6" l="1"/>
  <c r="F2" i="6" s="1"/>
  <c r="D3" i="6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E19" i="6"/>
  <c r="B20" i="6"/>
  <c r="E103" i="4"/>
  <c r="F103" i="4" s="1"/>
  <c r="G103" i="4" s="1"/>
  <c r="H102" i="4"/>
  <c r="F19" i="6" l="1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D21" i="6" l="1"/>
  <c r="E21" i="6"/>
  <c r="B22" i="6"/>
  <c r="H104" i="4"/>
  <c r="E105" i="4"/>
  <c r="F105" i="4" s="1"/>
  <c r="G105" i="4" s="1"/>
  <c r="F3" i="4"/>
  <c r="G3" i="4" s="1"/>
  <c r="F21" i="6" l="1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F22" i="6" l="1"/>
  <c r="G22" i="6" s="1"/>
  <c r="H22" i="6" s="1"/>
  <c r="D23" i="6"/>
  <c r="B24" i="6"/>
  <c r="E23" i="6"/>
  <c r="E107" i="4"/>
  <c r="F107" i="4" s="1"/>
  <c r="G107" i="4" s="1"/>
  <c r="H106" i="4"/>
  <c r="E5" i="4"/>
  <c r="F5" i="4" s="1"/>
  <c r="G5" i="4" s="1"/>
  <c r="H4" i="4"/>
  <c r="F23" i="6" l="1"/>
  <c r="G23" i="6" s="1"/>
  <c r="H23" i="6" s="1"/>
  <c r="B25" i="6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E25" i="6"/>
  <c r="F25" i="6" s="1"/>
  <c r="G25" i="6" s="1"/>
  <c r="H25" i="6" s="1"/>
  <c r="B26" i="6"/>
  <c r="E109" i="4"/>
  <c r="F109" i="4" s="1"/>
  <c r="G109" i="4" s="1"/>
  <c r="H108" i="4"/>
  <c r="E7" i="4"/>
  <c r="F7" i="4" s="1"/>
  <c r="G7" i="4" s="1"/>
  <c r="H6" i="4"/>
  <c r="E26" i="6" l="1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E30" i="6"/>
  <c r="H113" i="4"/>
  <c r="E114" i="4"/>
  <c r="F114" i="4" s="1"/>
  <c r="G114" i="4" s="1"/>
  <c r="H11" i="4"/>
  <c r="E12" i="4"/>
  <c r="F12" i="4" s="1"/>
  <c r="G12" i="4" s="1"/>
  <c r="F30" i="6" l="1"/>
  <c r="G30" i="6" s="1"/>
  <c r="H30" i="6" s="1"/>
  <c r="D31" i="6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B34" i="6"/>
  <c r="E33" i="6"/>
  <c r="H116" i="4"/>
  <c r="E117" i="4"/>
  <c r="F117" i="4" s="1"/>
  <c r="G117" i="4" s="1"/>
  <c r="E15" i="4"/>
  <c r="F15" i="4" s="1"/>
  <c r="G15" i="4" s="1"/>
  <c r="H14" i="4"/>
  <c r="F33" i="6" l="1"/>
  <c r="G33" i="6" s="1"/>
  <c r="H33" i="6" s="1"/>
  <c r="E34" i="6"/>
  <c r="D34" i="6"/>
  <c r="F34" i="6" s="1"/>
  <c r="G34" i="6" s="1"/>
  <c r="H34" i="6" s="1"/>
  <c r="B35" i="6"/>
  <c r="E118" i="4"/>
  <c r="F118" i="4" s="1"/>
  <c r="G118" i="4" s="1"/>
  <c r="H117" i="4"/>
  <c r="H15" i="4"/>
  <c r="E16" i="4"/>
  <c r="F16" i="4" s="1"/>
  <c r="G16" i="4" s="1"/>
  <c r="D35" i="6" l="1"/>
  <c r="E35" i="6"/>
  <c r="B36" i="6"/>
  <c r="H118" i="4"/>
  <c r="E119" i="4"/>
  <c r="F119" i="4" s="1"/>
  <c r="G119" i="4" s="1"/>
  <c r="E17" i="4"/>
  <c r="F17" i="4" s="1"/>
  <c r="G17" i="4" s="1"/>
  <c r="H16" i="4"/>
  <c r="F35" i="6" l="1"/>
  <c r="G35" i="6" s="1"/>
  <c r="H35" i="6" s="1"/>
  <c r="E36" i="6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7" i="6" l="1"/>
  <c r="G37" i="6" s="1"/>
  <c r="H37" i="6" s="1"/>
  <c r="B39" i="6"/>
  <c r="D38" i="6"/>
  <c r="F38" i="6" s="1"/>
  <c r="G38" i="6" s="1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D40" i="6"/>
  <c r="H21" i="4"/>
  <c r="E22" i="4"/>
  <c r="F22" i="4" s="1"/>
  <c r="G22" i="4" s="1"/>
  <c r="F40" i="6" l="1"/>
  <c r="G40" i="6" s="1"/>
  <c r="H40" i="6" s="1"/>
  <c r="D41" i="6"/>
  <c r="E41" i="6"/>
  <c r="B42" i="6"/>
  <c r="H22" i="4"/>
  <c r="E23" i="4"/>
  <c r="F23" i="4" s="1"/>
  <c r="G23" i="4" s="1"/>
  <c r="F41" i="6" l="1"/>
  <c r="G41" i="6" s="1"/>
  <c r="H41" i="6" s="1"/>
  <c r="E42" i="6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D46" i="6" l="1"/>
  <c r="F46" i="6" s="1"/>
  <c r="G46" i="6" s="1"/>
  <c r="H46" i="6" s="1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E50" i="6" l="1"/>
  <c r="D50" i="6"/>
  <c r="F50" i="6" s="1"/>
  <c r="G50" i="6" s="1"/>
  <c r="H50" i="6" s="1"/>
  <c r="B51" i="6"/>
  <c r="E32" i="4"/>
  <c r="F32" i="4" s="1"/>
  <c r="G32" i="4" s="1"/>
  <c r="H31" i="4"/>
  <c r="B52" i="6" l="1"/>
  <c r="E51" i="6"/>
  <c r="D51" i="6"/>
  <c r="H32" i="4"/>
  <c r="E33" i="4"/>
  <c r="F33" i="4" s="1"/>
  <c r="G33" i="4" s="1"/>
  <c r="F51" i="6" l="1"/>
  <c r="G51" i="6" s="1"/>
  <c r="H51" i="6" s="1"/>
  <c r="B53" i="6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E54" i="6" l="1"/>
  <c r="D54" i="6"/>
  <c r="F54" i="6" s="1"/>
  <c r="G54" i="6" s="1"/>
  <c r="H54" i="6" s="1"/>
  <c r="B55" i="6"/>
  <c r="E36" i="4"/>
  <c r="F36" i="4" s="1"/>
  <c r="G36" i="4"/>
  <c r="H35" i="4"/>
  <c r="B56" i="6" l="1"/>
  <c r="E55" i="6"/>
  <c r="D55" i="6"/>
  <c r="F55" i="6" s="1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E62" i="6" l="1"/>
  <c r="D62" i="6"/>
  <c r="F62" i="6" s="1"/>
  <c r="G62" i="6" s="1"/>
  <c r="H62" i="6" s="1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<sst xmlns="http://schemas.openxmlformats.org/spreadsheetml/2006/main" count="75" uniqueCount="29">
  <si>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</si>
  <si>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</si>
  <si>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</si>
  <si>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</si>
  <si>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</si>
  <si>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</si>
  <si>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</si>
  <si>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</si>
  <si>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</si>
  <si>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</si>
  <si>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</si>
  <si>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</si>
  <si>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</si>
  <si>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</si>
  <si>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</si>
  <si>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</si>
  <si>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</si>
  <si>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</si>
  <si>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</si>
  <si>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</si>
  <si>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</si>
  <si>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</si>
  <si>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</si>
  <si>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</si>
  <si>
    <t>Week</t>
  </si>
  <si>
    <t>Weekly Rate</t>
  </si>
  <si>
    <t>Weeks</t>
  </si>
  <si>
    <t>LatestWeek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</si>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</sst>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10" activePane="bottomLeft" state="frozen"/>
      <selection pane="bottomLeft" activeCell="A121" sqref="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47" workbookViewId="0">
      <selection activeCell="A61" sqref="A61:A6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64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22400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20526.305336742687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19473.694663257313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46222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46222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46222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46222</v>
      </c>
      <c r="B34" s="23">
        <f t="shared" si="3"/>
        <v>33</v>
      </c>
      <c r="C34" s="3"/>
      <c r="D34" s="4">
        <f t="shared" si="0"/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46222</v>
      </c>
      <c r="B35" s="24">
        <f t="shared" si="3"/>
        <v>34</v>
      </c>
      <c r="C35" s="20"/>
      <c r="D35" s="21">
        <f t="shared" si="0"/>
        <v>400</v>
      </c>
      <c r="E35" s="21">
        <f t="shared" si="1"/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si="2"/>
        <v>9862.2864160209356</v>
      </c>
    </row>
    <row r="36" spans="1:8" x14ac:dyDescent="0.3">
      <c r="A36" s="2">
        <v>46222</v>
      </c>
      <c r="B36" s="23">
        <f t="shared" si="3"/>
        <v>35</v>
      </c>
      <c r="C36" s="3"/>
      <c r="D36" s="4">
        <f t="shared" si="0"/>
        <v>400</v>
      </c>
      <c r="E36" s="4">
        <f t="shared" si="1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2"/>
        <v>10168.432092483952</v>
      </c>
    </row>
    <row r="37" spans="1:8" x14ac:dyDescent="0.3">
      <c r="A37" s="19">
        <v>46228</v>
      </c>
      <c r="B37" s="24">
        <f t="shared" si="3"/>
        <v>36</v>
      </c>
      <c r="C37" s="20"/>
      <c r="D37" s="21">
        <f t="shared" si="0"/>
        <v>400</v>
      </c>
      <c r="E37" s="21">
        <f t="shared" si="1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2"/>
        <v>10475.531162285457</v>
      </c>
    </row>
    <row r="38" spans="1:8" x14ac:dyDescent="0.3">
      <c r="A38" s="2">
        <v>46228</v>
      </c>
      <c r="B38" s="23">
        <f t="shared" si="3"/>
        <v>37</v>
      </c>
      <c r="C38" s="3"/>
      <c r="D38" s="4">
        <f t="shared" si="0"/>
        <v>400</v>
      </c>
      <c r="E38" s="4">
        <f t="shared" si="1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2"/>
        <v>10783.586594465771</v>
      </c>
    </row>
    <row r="39" spans="1:8" x14ac:dyDescent="0.3">
      <c r="A39" s="19">
        <v>46228</v>
      </c>
      <c r="B39" s="24">
        <f t="shared" si="3"/>
        <v>38</v>
      </c>
      <c r="C39" s="20"/>
      <c r="D39" s="21">
        <f t="shared" si="0"/>
        <v>400</v>
      </c>
      <c r="E39" s="21">
        <f t="shared" si="1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2"/>
        <v>11092.601367311348</v>
      </c>
    </row>
    <row r="40" spans="1:8" x14ac:dyDescent="0.3">
      <c r="A40" s="2">
        <v>46228</v>
      </c>
      <c r="B40" s="23">
        <f t="shared" si="3"/>
        <v>39</v>
      </c>
      <c r="C40" s="3"/>
      <c r="D40" s="4">
        <f t="shared" si="0"/>
        <v>400</v>
      </c>
      <c r="E40" s="4">
        <f t="shared" si="1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2"/>
        <v>11402.57846838357</v>
      </c>
    </row>
    <row r="41" spans="1:8" x14ac:dyDescent="0.3">
      <c r="A41" s="19">
        <v>46228</v>
      </c>
      <c r="B41" s="24">
        <f t="shared" si="3"/>
        <v>40</v>
      </c>
      <c r="C41" s="20"/>
      <c r="D41" s="21">
        <f t="shared" si="0"/>
        <v>400</v>
      </c>
      <c r="E41" s="21">
        <f t="shared" si="1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2"/>
        <v>11713.520894547622</v>
      </c>
    </row>
    <row r="42" spans="1:8" x14ac:dyDescent="0.3">
      <c r="A42" s="2">
        <v>46228</v>
      </c>
      <c r="B42" s="23">
        <f t="shared" si="3"/>
        <v>41</v>
      </c>
      <c r="C42" s="3"/>
      <c r="D42" s="4">
        <f t="shared" si="0"/>
        <v>400</v>
      </c>
      <c r="E42" s="4">
        <f t="shared" si="1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2"/>
        <v>12025.431652001484</v>
      </c>
    </row>
    <row r="43" spans="1:8" x14ac:dyDescent="0.3">
      <c r="A43" s="19">
        <v>46234</v>
      </c>
      <c r="B43" s="24">
        <f t="shared" si="3"/>
        <v>42</v>
      </c>
      <c r="C43" s="20"/>
      <c r="D43" s="21">
        <f t="shared" si="0"/>
        <v>400</v>
      </c>
      <c r="E43" s="21">
        <f t="shared" si="1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2"/>
        <v>12338.313756304971</v>
      </c>
    </row>
    <row r="44" spans="1:8" x14ac:dyDescent="0.3">
      <c r="A44" s="2">
        <v>46234</v>
      </c>
      <c r="B44" s="23">
        <f t="shared" si="3"/>
        <v>43</v>
      </c>
      <c r="C44" s="3"/>
      <c r="D44" s="4">
        <f t="shared" si="0"/>
        <v>400</v>
      </c>
      <c r="E44" s="4">
        <f t="shared" si="1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2"/>
        <v>12652.170232408906</v>
      </c>
    </row>
    <row r="45" spans="1:8" x14ac:dyDescent="0.3">
      <c r="A45" s="19">
        <v>46234</v>
      </c>
      <c r="B45" s="24">
        <f t="shared" si="3"/>
        <v>44</v>
      </c>
      <c r="C45" s="20"/>
      <c r="D45" s="21">
        <f t="shared" si="0"/>
        <v>400</v>
      </c>
      <c r="E45" s="21">
        <f t="shared" si="1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2"/>
        <v>12967.004114684358</v>
      </c>
    </row>
    <row r="46" spans="1:8" x14ac:dyDescent="0.3">
      <c r="A46" s="2">
        <v>46234</v>
      </c>
      <c r="B46" s="23">
        <f t="shared" si="3"/>
        <v>45</v>
      </c>
      <c r="C46" s="3"/>
      <c r="D46" s="4">
        <f t="shared" si="0"/>
        <v>400</v>
      </c>
      <c r="E46" s="4">
        <f t="shared" si="1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2"/>
        <v>13282.818446951984</v>
      </c>
    </row>
    <row r="47" spans="1:8" x14ac:dyDescent="0.3">
      <c r="A47" s="19">
        <v>46234</v>
      </c>
      <c r="B47" s="24">
        <f t="shared" si="3"/>
        <v>46</v>
      </c>
      <c r="C47" s="20"/>
      <c r="D47" s="21">
        <f t="shared" si="0"/>
        <v>400</v>
      </c>
      <c r="E47" s="21">
        <f t="shared" si="1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2"/>
        <v>13599.616282511444</v>
      </c>
    </row>
    <row r="48" spans="1:8" x14ac:dyDescent="0.3">
      <c r="A48" s="2">
        <v>46234</v>
      </c>
      <c r="B48" s="23">
        <f t="shared" si="3"/>
        <v>47</v>
      </c>
      <c r="C48" s="3"/>
      <c r="D48" s="4">
        <f t="shared" si="0"/>
        <v>400</v>
      </c>
      <c r="E48" s="4">
        <f t="shared" si="1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2"/>
        <v>13917.400684170938</v>
      </c>
    </row>
    <row r="49" spans="1:8" x14ac:dyDescent="0.3">
      <c r="A49" s="19">
        <v>46240</v>
      </c>
      <c r="B49" s="24">
        <f t="shared" si="3"/>
        <v>48</v>
      </c>
      <c r="C49" s="20"/>
      <c r="D49" s="21">
        <f t="shared" si="0"/>
        <v>400</v>
      </c>
      <c r="E49" s="21">
        <f t="shared" si="1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2"/>
        <v>14236.1747242768</v>
      </c>
    </row>
    <row r="50" spans="1:8" x14ac:dyDescent="0.3">
      <c r="A50" s="2">
        <v>46240</v>
      </c>
      <c r="B50" s="23">
        <f t="shared" si="3"/>
        <v>49</v>
      </c>
      <c r="C50" s="3"/>
      <c r="D50" s="4">
        <f t="shared" si="0"/>
        <v>400</v>
      </c>
      <c r="E50" s="4">
        <f t="shared" si="1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2"/>
        <v>14555.941484743213</v>
      </c>
    </row>
    <row r="51" spans="1:8" x14ac:dyDescent="0.3">
      <c r="A51" s="19">
        <v>46240</v>
      </c>
      <c r="B51" s="24">
        <f t="shared" si="3"/>
        <v>50</v>
      </c>
      <c r="C51" s="20"/>
      <c r="D51" s="21">
        <f t="shared" si="0"/>
        <v>400</v>
      </c>
      <c r="E51" s="21">
        <f t="shared" si="1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2"/>
        <v>14876.704057082003</v>
      </c>
    </row>
    <row r="52" spans="1:8" x14ac:dyDescent="0.3">
      <c r="A52" s="2">
        <v>46240</v>
      </c>
      <c r="B52" s="23">
        <f t="shared" si="3"/>
        <v>51</v>
      </c>
      <c r="C52" s="3"/>
      <c r="D52" s="4">
        <f t="shared" si="0"/>
        <v>400</v>
      </c>
      <c r="E52" s="4">
        <f t="shared" si="1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2"/>
        <v>15198.465542432521</v>
      </c>
    </row>
    <row r="53" spans="1:8" x14ac:dyDescent="0.3">
      <c r="A53" s="19">
        <v>46240</v>
      </c>
      <c r="B53" s="24">
        <f t="shared" si="3"/>
        <v>52</v>
      </c>
      <c r="C53" s="20"/>
      <c r="D53" s="21">
        <f t="shared" si="0"/>
        <v>400</v>
      </c>
      <c r="E53" s="21">
        <f t="shared" si="1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2"/>
        <v>15521.229051591636</v>
      </c>
    </row>
    <row r="54" spans="1:8" x14ac:dyDescent="0.3">
      <c r="A54" s="2">
        <v>46240</v>
      </c>
      <c r="B54" s="23">
        <f t="shared" si="3"/>
        <v>53</v>
      </c>
      <c r="C54" s="3"/>
      <c r="D54" s="4">
        <f t="shared" si="0"/>
        <v>400</v>
      </c>
      <c r="E54" s="4">
        <f t="shared" si="1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2"/>
        <v>15844.997705043803</v>
      </c>
    </row>
    <row r="55" spans="1:8" x14ac:dyDescent="0.3">
      <c r="A55" s="19">
        <v>46245</v>
      </c>
      <c r="B55" s="24">
        <f t="shared" si="3"/>
        <v>54</v>
      </c>
      <c r="C55" s="20"/>
      <c r="D55" s="21">
        <f t="shared" si="0"/>
        <v>400</v>
      </c>
      <c r="E55" s="21">
        <f t="shared" si="1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2"/>
        <v>16169.774632991233</v>
      </c>
    </row>
    <row r="56" spans="1:8" x14ac:dyDescent="0.3">
      <c r="A56" s="2">
        <v>46245</v>
      </c>
      <c r="B56" s="23">
        <f t="shared" si="3"/>
        <v>55</v>
      </c>
      <c r="C56" s="3"/>
      <c r="D56" s="4">
        <f t="shared" si="0"/>
        <v>400</v>
      </c>
      <c r="E56" s="4">
        <f t="shared" si="1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2"/>
        <v>16495.562975384153</v>
      </c>
    </row>
    <row r="57" spans="1:8" x14ac:dyDescent="0.3">
      <c r="A57" s="19">
        <v>46245</v>
      </c>
      <c r="B57" s="24">
        <f t="shared" si="3"/>
        <v>56</v>
      </c>
      <c r="C57" s="20"/>
      <c r="D57" s="21">
        <f t="shared" si="0"/>
        <v>400</v>
      </c>
      <c r="E57" s="21">
        <f t="shared" si="1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2"/>
        <v>16822.365881951173</v>
      </c>
    </row>
    <row r="58" spans="1:8" x14ac:dyDescent="0.3">
      <c r="A58" s="2">
        <v>46245</v>
      </c>
      <c r="B58" s="23">
        <f t="shared" si="3"/>
        <v>57</v>
      </c>
      <c r="C58" s="3"/>
      <c r="D58" s="4">
        <f t="shared" si="0"/>
        <v>400</v>
      </c>
      <c r="E58" s="4">
        <f t="shared" si="1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2"/>
        <v>17150.186512229724</v>
      </c>
    </row>
    <row r="59" spans="1:8" x14ac:dyDescent="0.3">
      <c r="A59" s="19">
        <v>46245</v>
      </c>
      <c r="B59" s="24">
        <f t="shared" si="3"/>
        <v>58</v>
      </c>
      <c r="C59" s="20"/>
      <c r="D59" s="21">
        <f t="shared" si="0"/>
        <v>400</v>
      </c>
      <c r="E59" s="21">
        <f t="shared" si="1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2"/>
        <v>17479.028035596613</v>
      </c>
    </row>
    <row r="60" spans="1:8" x14ac:dyDescent="0.3">
      <c r="A60" s="2">
        <v>46251</v>
      </c>
      <c r="B60" s="23">
        <f t="shared" si="3"/>
        <v>59</v>
      </c>
      <c r="C60" s="3"/>
      <c r="D60" s="4">
        <f t="shared" si="0"/>
        <v>400</v>
      </c>
      <c r="E60" s="4">
        <f t="shared" si="1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2"/>
        <v>17808.89363129867</v>
      </c>
    </row>
    <row r="61" spans="1:8" x14ac:dyDescent="0.3">
      <c r="A61" s="19">
        <v>46251</v>
      </c>
      <c r="B61" s="24">
        <f t="shared" si="3"/>
        <v>60</v>
      </c>
      <c r="C61" s="20"/>
      <c r="D61" s="21">
        <f t="shared" si="0"/>
        <v>400</v>
      </c>
      <c r="E61" s="21">
        <f t="shared" si="1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2"/>
        <v>18139.786488483467</v>
      </c>
    </row>
    <row r="62" spans="1:8" x14ac:dyDescent="0.3">
      <c r="A62" s="2">
        <v>46251</v>
      </c>
      <c r="B62" s="23">
        <f t="shared" si="3"/>
        <v>61</v>
      </c>
      <c r="C62" s="3"/>
      <c r="D62" s="4">
        <f t="shared" si="0"/>
        <v>400</v>
      </c>
      <c r="E62" s="4">
        <f t="shared" si="1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2"/>
        <v>18471.70980623017</v>
      </c>
    </row>
    <row r="63" spans="1:8" x14ac:dyDescent="0.3">
      <c r="A63" s="19">
        <v>46251</v>
      </c>
      <c r="B63" s="24">
        <f t="shared" si="3"/>
        <v>62</v>
      </c>
      <c r="C63" s="20"/>
      <c r="D63" s="21">
        <f t="shared" si="0"/>
        <v>400</v>
      </c>
      <c r="E63" s="21">
        <f t="shared" si="1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2"/>
        <v>18804.666793580458</v>
      </c>
    </row>
    <row r="64" spans="1:8" x14ac:dyDescent="0.3">
      <c r="A64" s="2">
        <v>46251</v>
      </c>
      <c r="B64" s="23">
        <f t="shared" si="3"/>
        <v>63</v>
      </c>
      <c r="C64" s="3"/>
      <c r="D64" s="4">
        <f t="shared" si="0"/>
        <v>400</v>
      </c>
      <c r="E64" s="4">
        <f t="shared" si="1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2"/>
        <v>19138.660669569545</v>
      </c>
    </row>
    <row r="65" spans="1:8" x14ac:dyDescent="0.3">
      <c r="A65" s="19">
        <v>46251</v>
      </c>
      <c r="B65" s="24">
        <f t="shared" si="3"/>
        <v>64</v>
      </c>
      <c r="C65" s="20"/>
      <c r="D65" s="21">
        <f t="shared" si="0"/>
        <v>400</v>
      </c>
      <c r="E65" s="21">
        <f t="shared" si="1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2"/>
        <v>19473.694663257313</v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workbookViewId="0">
      <selection activeCell="A5" sqref="A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28515625" style="1" customWidth="1"/>
    <col min="10" max="10" width="23.28515625" style="1" customWidth="1"/>
    <col min="11" max="11" width="23.140625" style="1" customWidth="1"/>
    <col min="12" max="12" width="12.7109375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24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6" t="s">
        <v>9</v>
      </c>
      <c r="K1" s="6"/>
    </row>
    <row r="2" spans="1:12" x14ac:dyDescent="0.3">
      <c r="A2" s="2">
        <v>46241</v>
      </c>
      <c r="B2" s="23">
        <f>IF(A2&lt;&gt;"",1,"")</f>
        <v>1</v>
      </c>
      <c r="C2" s="3"/>
      <c r="D2" s="4">
        <f t="shared" ref="D2:D18" si="0">IF(AND($A2&lt;&gt;"",$B2&lt;&gt;""),$K$9,"")</f>
        <v>1400</v>
      </c>
      <c r="E2" s="4">
        <f>IF(AND($A2&lt;&gt;"",$B2&lt;&gt;""),$K$7*$K$8,"")</f>
        <v>401.03124158893064</v>
      </c>
      <c r="F2" s="4">
        <f>IF(AND($A2&lt;&gt;"",$B2&lt;&gt;""),D2-E2,"")</f>
        <v>998.9687584110693</v>
      </c>
      <c r="G2" s="4">
        <f>IF(AND($A2&lt;&gt;"",$B2&lt;&gt;""),$K$7-F2,"")</f>
        <v>19001.031241588931</v>
      </c>
      <c r="H2" s="4">
        <f>IF(AND($A2&lt;&gt;"",$B2&lt;&gt;""),$K$7-G2,"")</f>
        <v>998.96875841106885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L20000W17-kamala-N204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5" t="s">
        <v>10</v>
      </c>
      <c r="K3" s="27" t="s">
        <v>28</v>
      </c>
    </row>
    <row r="4" spans="1:12" x14ac:dyDescent="0.3">
      <c r="A4" s="2">
        <v>46255</v>
      </c>
      <c r="B4" s="23">
        <f t="shared" ref="B4:B18" si="3">IF(A4&lt;&gt;"",B3+1,"")</f>
        <v>3</v>
      </c>
      <c r="C4" s="3"/>
      <c r="D4" s="4">
        <f t="shared" si="0"/>
        <v>1400</v>
      </c>
      <c r="E4" s="4">
        <f t="shared" si="1"/>
        <v>360.56782292398606</v>
      </c>
      <c r="F4" s="4">
        <f t="shared" ref="F4:F18" si="4">IF(AND($A4&lt;&gt;"",$B4&lt;&gt;""),D4-E4,"")</f>
        <v>1039.4321770760139</v>
      </c>
      <c r="G4" s="4">
        <f t="shared" ref="G4:G18" si="5">IF(AND($A4&lt;&gt;"",$B4&lt;&gt;""),G3-F4,"")</f>
        <v>16942.599422027139</v>
      </c>
      <c r="H4" s="4">
        <f t="shared" si="2"/>
        <v>3057.4005779728614</v>
      </c>
      <c r="J4" s="5" t="s">
        <v>11</v>
      </c>
      <c r="K4" s="27"/>
    </row>
    <row r="5" spans="1:12" x14ac:dyDescent="0.3">
      <c r="A5" s="19"/>
      <c r="B5" s="24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5" t="s">
        <v>12</v>
      </c>
      <c r="K5" s="27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 t="shared" si="4"/>
        <v/>
      </c>
      <c r="G6" s="4" t="str">
        <f t="shared" si="5"/>
        <v/>
      </c>
      <c r="H6" s="4" t="str">
        <f t="shared" si="2"/>
        <v/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5" t="s">
        <v>7</v>
      </c>
      <c r="K7" s="28">
        <v>20000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4"/>
        <v/>
      </c>
      <c r="G8" s="4" t="str">
        <f t="shared" si="5"/>
        <v/>
      </c>
      <c r="H8" s="4" t="str">
        <f t="shared" si="2"/>
        <v/>
      </c>
      <c r="J8" s="5" t="s">
        <v>25</v>
      </c>
      <c r="K8" s="29">
        <f>RATE(K10,-K9,K7)</f>
        <v>2.0051562079446531E-2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5" t="s">
        <v>8</v>
      </c>
      <c r="K9" s="30">
        <v>1400</v>
      </c>
      <c r="L9" s="22"/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4"/>
        <v/>
      </c>
      <c r="G10" s="4" t="str">
        <f t="shared" si="5"/>
        <v/>
      </c>
      <c r="H10" s="4" t="str">
        <f t="shared" si="2"/>
        <v/>
      </c>
      <c r="J10" s="5" t="s">
        <v>26</v>
      </c>
      <c r="K10" s="31">
        <v>17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8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4"/>
        <v/>
      </c>
      <c r="G12" s="4" t="str">
        <f t="shared" si="5"/>
        <v/>
      </c>
      <c r="H12" s="4" t="str">
        <f t="shared" si="2"/>
        <v/>
      </c>
      <c r="J12" s="9" t="s">
        <v>27</v>
      </c>
      <c r="K12" s="10">
        <f>IFERROR(MAX($B:$B),"")</f>
        <v>3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2">
        <f>(K10*K9)-K9*K12</f>
        <v>19600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4"/>
        <v/>
      </c>
      <c r="G14" s="4" t="str">
        <f t="shared" si="5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16942.599422027139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3" t="s">
        <v>6</v>
      </c>
      <c r="K15" s="14">
        <f>IFERROR(INDEX($H:$H, MATCH($K$12, $B:$B, 0)), 0)</f>
        <v>3057.4005779728614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4"/>
        <v/>
      </c>
      <c r="G16" s="4" t="str">
        <f t="shared" si="5"/>
        <v/>
      </c>
      <c r="H16" s="4" t="str">
        <f t="shared" si="2"/>
        <v/>
      </c>
      <c r="J16" s="15" t="s">
        <v>18</v>
      </c>
      <c r="K16" s="16">
        <f>IF(A2,A2, "")</f>
        <v>46241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4"/>
        <v/>
      </c>
      <c r="G18" s="4" t="str">
        <f t="shared" si="5"/>
        <v/>
      </c>
      <c r="H18" s="4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188</vt:lpstr>
      <vt:lpstr>204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2026-08-22T09:45:32Z</dcterms:modified>
</cp:coreProperties>
</file>