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Loan1" sheetId="5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" i="5" l="1"/>
  <c r="B3" i="5" s="1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K16" i="5" l="1"/>
  <c r="K2" i="5"/>
  <c r="K17" i="5" l="1"/>
  <c r="K12" i="5"/>
  <c r="K13" i="5" s="1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K8" i="5" l="1"/>
  <c r="E2" i="5" s="1"/>
  <c r="F2" i="5" s="1"/>
  <c r="G2" i="5" s="1"/>
  <c r="E3" i="5" s="1"/>
  <c r="F3" i="5" s="1"/>
  <c r="G3" i="5" s="1"/>
  <c r="E4" i="5" s="1"/>
  <c r="F4" i="5" s="1"/>
  <c r="G4" i="5" s="1"/>
  <c r="H4" i="5" s="1"/>
  <c r="H2" i="5" l="1"/>
  <c r="H3" i="5"/>
  <c r="E5" i="5" l="1"/>
  <c r="F5" i="5" s="1"/>
  <c r="G5" i="5" s="1"/>
  <c r="H5" i="5" l="1"/>
  <c r="E6" i="5"/>
  <c r="F6" i="5" s="1"/>
  <c r="G6" i="5" s="1"/>
  <c r="H6" i="5" s="1"/>
  <c r="E7" i="5" l="1"/>
  <c r="F7" i="5" s="1"/>
  <c r="G7" i="5" s="1"/>
  <c r="H7" i="5" s="1"/>
  <c r="E8" i="5" l="1"/>
  <c r="F8" i="5" s="1"/>
  <c r="G8" i="5" s="1"/>
  <c r="H8" i="5" s="1"/>
  <c r="E9" i="5" l="1"/>
  <c r="F9" i="5" s="1"/>
  <c r="G9" i="5" s="1"/>
  <c r="H9" i="5" s="1"/>
  <c r="E10" i="5" l="1"/>
  <c r="F10" i="5" s="1"/>
  <c r="G10" i="5" s="1"/>
  <c r="H10" i="5" s="1"/>
  <c r="E11" i="5" l="1"/>
  <c r="F11" i="5" s="1"/>
  <c r="G11" i="5" s="1"/>
  <c r="H11" i="5" s="1"/>
  <c r="E12" i="5" l="1"/>
  <c r="F12" i="5" s="1"/>
  <c r="G12" i="5" s="1"/>
  <c r="H12" i="5" s="1"/>
  <c r="E13" i="5" l="1"/>
  <c r="F13" i="5" s="1"/>
  <c r="G13" i="5" s="1"/>
  <c r="H13" i="5" s="1"/>
  <c r="E14" i="5" l="1"/>
  <c r="F14" i="5" s="1"/>
  <c r="G14" i="5" s="1"/>
  <c r="H14" i="5" s="1"/>
  <c r="E15" i="5" l="1"/>
  <c r="F15" i="5" s="1"/>
  <c r="G15" i="5" s="1"/>
  <c r="H15" i="5" s="1"/>
  <c r="E16" i="5" l="1"/>
  <c r="F16" i="5" s="1"/>
  <c r="G16" i="5" s="1"/>
  <c r="H16" i="5" s="1"/>
  <c r="E17" i="5" l="1"/>
  <c r="F17" i="5" s="1"/>
  <c r="G17" i="5" s="1"/>
  <c r="H17" i="5" l="1"/>
  <c r="E18" i="5"/>
  <c r="F18" i="5" s="1"/>
  <c r="G18" i="5" s="1"/>
  <c r="H18" i="5" l="1"/>
  <c r="K14" i="5"/>
  <c r="K15" i="5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<sst xmlns="http://schemas.openxmlformats.org/spreadsheetml/2006/main" count="25" uniqueCount="24">
  <si>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</si>
  <si>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</si>
  <si>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</si>
  <si>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</si>
  <si>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</si>
  <si>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</si>
  <si>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</si>
  <si>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</si>
  <si>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</si>
  <si>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</si>
  <si>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</si>
  <si>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</si>
  <si>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</si>
  <si>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</si>
  <si>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</si>
  <si>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</si>
  <si>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</si>
  <si>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</si>
  <si>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</si>
  <si>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</si>
  <si>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</si>
  <si>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Reena</t>
  </si>
  <si>
    <t>Principal Outstanding</t>
  </si>
  <si>
    <t>Out(Int + Principal)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</si>
</sst>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  <font>
      <sz val="9"/>
      <color theme="0" tint="-0.14999847407452621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1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3" fillId="4" borderId="0" xfId="0" applyNumberFormat="1" applyFont="1" applyFill="1" applyProtection="1">
      <protection locked="0"/>
    </xf>
    <xf numFmtId="165" fontId="4" fillId="5" borderId="9" xfId="0" applyNumberFormat="1" applyFont="1" applyFill="1" applyBorder="1" applyAlignment="1" applyProtection="1">
      <alignment horizontal="left" vertical="center"/>
    </xf>
    <xf numFmtId="1" fontId="5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5" fillId="2" borderId="1" xfId="0" applyNumberFormat="1" applyFont="1" applyFill="1" applyBorder="1" applyAlignment="1" applyProtection="1">
      <alignment horizontal="center" vertical="center"/>
      <protection locked="0"/>
    </xf>
    <xf numFmtId="1" fontId="6" fillId="2" borderId="1" xfId="0" applyNumberFormat="1" applyFont="1" applyFill="1" applyBorder="1" applyAlignment="1" applyProtection="1">
      <alignment horizontal="right" vertical="center"/>
      <protection locked="0"/>
    </xf>
    <xf numFmtId="165" fontId="7" fillId="4" borderId="1" xfId="0" applyNumberFormat="1" applyFont="1" applyFill="1" applyBorder="1" applyAlignment="1" applyProtection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8"/>
  <sheetViews>
    <sheetView tabSelected="1" zoomScaleNormal="100" workbookViewId="0">
      <pane ySplit="1" topLeftCell="A2" activePane="bottomLeft" state="frozen"/>
      <selection pane="bottomLeft" activeCell="B11" sqref="B11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3.28515625" style="5" customWidth="1"/>
    <col min="11" max="11" width="23.140625" style="5" customWidth="1"/>
    <col min="12" max="12" width="12.7109375" style="5" bestFit="1" customWidth="1"/>
    <col min="13" max="16384" width="9.140625" style="5"/>
  </cols>
  <sheetData>
    <row r="1" spans="1:12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2" x14ac:dyDescent="0.3">
      <c r="A2" s="2">
        <v>46190</v>
      </c>
      <c r="B2" s="22">
        <f>IF(A2&lt;&gt;"",1,"")</f>
        <v>1</v>
      </c>
      <c r="C2" s="3"/>
      <c r="D2" s="1">
        <f t="shared" ref="D2:D18" si="0">IF(AND($A2&lt;&gt;"",$B2&lt;&gt;""),$K$9,"")</f>
        <v>700</v>
      </c>
      <c r="E2" s="1">
        <f>IF(AND($A2&lt;&gt;"",$B2&lt;&gt;""),$K$7*$K$8,"")</f>
        <v>200.51562079446532</v>
      </c>
      <c r="F2" s="1">
        <f>IF(AND($A2&lt;&gt;"",$B2&lt;&gt;""),D2-E2,"")</f>
        <v>499.48437920553465</v>
      </c>
      <c r="G2" s="1">
        <f>IF(AND($A2&lt;&gt;"",$B2&lt;&gt;""),$K$7-F2,"")</f>
        <v>9500.5156207944656</v>
      </c>
      <c r="H2" s="1">
        <f>IF(AND($A2&lt;&gt;"",$B2&lt;&gt;""),$K$7-G2,"")</f>
        <v>499.48437920553442</v>
      </c>
      <c r="J2" s="4" t="s">
        <v>17</v>
      </c>
      <c r="K2" s="30" t="str">
        <f ca="1">IF(K3&lt;&gt;"",
   "L" &amp; TEXT(K7,"0") &amp;
   IF(J10="Weeks","W","D") &amp; K10 &amp;
   "-" &amp; K3 &amp;
   "-N" &amp; RIGHT(CELL("filename",A1),LEN(CELL("filename",A1))-FIND("]",CELL("filename",A1))),
   "")</f>
        <v>L10000W17-Reena-NLoan1</v>
      </c>
    </row>
    <row r="3" spans="1:12" x14ac:dyDescent="0.3">
      <c r="A3" s="19">
        <v>46196</v>
      </c>
      <c r="B3" s="23">
        <f>IF(A3&lt;&gt;"",B2+1,"")</f>
        <v>2</v>
      </c>
      <c r="C3" s="20"/>
      <c r="D3" s="21">
        <f t="shared" si="0"/>
        <v>700</v>
      </c>
      <c r="E3" s="21">
        <f t="shared" ref="E3:E18" si="1">IF(AND($A3&lt;&gt;"",$B3&lt;&gt;""),G2*$K$8,"")</f>
        <v>190.50017875711171</v>
      </c>
      <c r="F3" s="21">
        <f>IF(AND($A3&lt;&gt;"",$B3&lt;&gt;""),D3-E3,"")</f>
        <v>509.49982124288829</v>
      </c>
      <c r="G3" s="21">
        <f>IF(AND($A3&lt;&gt;"",$B3&lt;&gt;""),G2-F3,"")</f>
        <v>8991.0157995515765</v>
      </c>
      <c r="H3" s="21">
        <f t="shared" ref="H3:H18" si="2">IF(AND($A3&lt;&gt;"",$B3&lt;&gt;""),$K$7-G3,"")</f>
        <v>1008.9842004484235</v>
      </c>
      <c r="J3" s="4" t="s">
        <v>10</v>
      </c>
      <c r="K3" s="26" t="s">
        <v>21</v>
      </c>
    </row>
    <row r="4" spans="1:12" x14ac:dyDescent="0.3">
      <c r="A4" s="2">
        <v>46174</v>
      </c>
      <c r="B4" s="22">
        <f t="shared" ref="B4:B18" si="3">IF(A4&lt;&gt;"",B3+1,"")</f>
        <v>3</v>
      </c>
      <c r="C4" s="3"/>
      <c r="D4" s="1">
        <f t="shared" si="0"/>
        <v>700</v>
      </c>
      <c r="E4" s="1">
        <f t="shared" si="1"/>
        <v>180.28391146199303</v>
      </c>
      <c r="F4" s="1">
        <f t="shared" ref="F4:F18" si="4">IF(AND($A4&lt;&gt;"",$B4&lt;&gt;""),D4-E4,"")</f>
        <v>519.71608853800694</v>
      </c>
      <c r="G4" s="1">
        <f t="shared" ref="G4:G18" si="5">IF(AND($A4&lt;&gt;"",$B4&lt;&gt;""),G3-F4,"")</f>
        <v>8471.2997110135693</v>
      </c>
      <c r="H4" s="1">
        <f t="shared" si="2"/>
        <v>1528.7002889864307</v>
      </c>
      <c r="J4" s="4" t="s">
        <v>11</v>
      </c>
      <c r="K4" s="26"/>
    </row>
    <row r="5" spans="1:12" x14ac:dyDescent="0.3">
      <c r="A5" s="19">
        <v>46211</v>
      </c>
      <c r="B5" s="23">
        <f t="shared" si="3"/>
        <v>4</v>
      </c>
      <c r="C5" s="20"/>
      <c r="D5" s="21">
        <f t="shared" si="0"/>
        <v>700</v>
      </c>
      <c r="E5" s="21">
        <f t="shared" si="1"/>
        <v>169.86279204898605</v>
      </c>
      <c r="F5" s="21">
        <f t="shared" si="4"/>
        <v>530.13720795101392</v>
      </c>
      <c r="G5" s="21">
        <f t="shared" si="5"/>
        <v>7941.1625030625555</v>
      </c>
      <c r="H5" s="21">
        <f t="shared" si="2"/>
        <v>2058.8374969374445</v>
      </c>
      <c r="J5" s="4" t="s">
        <v>12</v>
      </c>
      <c r="K5" s="26"/>
    </row>
    <row r="6" spans="1:12" x14ac:dyDescent="0.3">
      <c r="A6" s="2">
        <v>46218</v>
      </c>
      <c r="B6" s="22">
        <f t="shared" si="3"/>
        <v>5</v>
      </c>
      <c r="C6" s="3"/>
      <c r="D6" s="1">
        <f t="shared" si="0"/>
        <v>700</v>
      </c>
      <c r="E6" s="1">
        <f t="shared" si="1"/>
        <v>159.23271291313185</v>
      </c>
      <c r="F6" s="1">
        <f t="shared" si="4"/>
        <v>540.76728708686812</v>
      </c>
      <c r="G6" s="1">
        <f t="shared" si="5"/>
        <v>7400.3952159756873</v>
      </c>
      <c r="H6" s="1">
        <f t="shared" si="2"/>
        <v>2599.6047840243127</v>
      </c>
      <c r="J6" s="4" t="s">
        <v>13</v>
      </c>
      <c r="K6" s="26"/>
    </row>
    <row r="7" spans="1:12" x14ac:dyDescent="0.3">
      <c r="A7" s="19">
        <v>46225</v>
      </c>
      <c r="B7" s="23">
        <f t="shared" si="3"/>
        <v>6</v>
      </c>
      <c r="C7" s="20"/>
      <c r="D7" s="21">
        <f t="shared" si="0"/>
        <v>700</v>
      </c>
      <c r="E7" s="21">
        <f t="shared" si="1"/>
        <v>148.38948408557562</v>
      </c>
      <c r="F7" s="21">
        <f t="shared" si="4"/>
        <v>551.61051591442435</v>
      </c>
      <c r="G7" s="21">
        <f t="shared" si="5"/>
        <v>6848.7847000612628</v>
      </c>
      <c r="H7" s="21">
        <f t="shared" si="2"/>
        <v>3151.2152999387372</v>
      </c>
      <c r="J7" s="4" t="s">
        <v>6</v>
      </c>
      <c r="K7" s="27">
        <v>10000</v>
      </c>
    </row>
    <row r="8" spans="1:12" x14ac:dyDescent="0.3">
      <c r="A8" s="2">
        <v>46232</v>
      </c>
      <c r="B8" s="22">
        <f t="shared" si="3"/>
        <v>7</v>
      </c>
      <c r="C8" s="3"/>
      <c r="D8" s="1">
        <f t="shared" si="0"/>
        <v>700</v>
      </c>
      <c r="E8" s="1">
        <f t="shared" si="1"/>
        <v>137.328831582042</v>
      </c>
      <c r="F8" s="1">
        <f t="shared" si="4"/>
        <v>562.67116841795803</v>
      </c>
      <c r="G8" s="1">
        <f t="shared" si="5"/>
        <v>6286.1135316433047</v>
      </c>
      <c r="H8" s="1">
        <f t="shared" si="2"/>
        <v>3713.8864683566953</v>
      </c>
      <c r="J8" s="4" t="s">
        <v>14</v>
      </c>
      <c r="K8" s="6">
        <f>RATE(K10,-K9,K7)</f>
        <v>2.0051562079446531E-2</v>
      </c>
    </row>
    <row r="9" spans="1:12" x14ac:dyDescent="0.3">
      <c r="A9" s="19">
        <v>46239</v>
      </c>
      <c r="B9" s="23">
        <f t="shared" si="3"/>
        <v>8</v>
      </c>
      <c r="C9" s="20"/>
      <c r="D9" s="21">
        <f t="shared" si="0"/>
        <v>700</v>
      </c>
      <c r="E9" s="21">
        <f t="shared" si="1"/>
        <v>126.0463957181946</v>
      </c>
      <c r="F9" s="21">
        <f t="shared" si="4"/>
        <v>573.95360428180538</v>
      </c>
      <c r="G9" s="21">
        <f t="shared" si="5"/>
        <v>5712.1599273614993</v>
      </c>
      <c r="H9" s="21">
        <f t="shared" si="2"/>
        <v>4287.8400726385007</v>
      </c>
      <c r="J9" s="4" t="s">
        <v>7</v>
      </c>
      <c r="K9" s="28">
        <v>700</v>
      </c>
      <c r="L9" s="24"/>
    </row>
    <row r="10" spans="1:12" x14ac:dyDescent="0.3">
      <c r="A10" s="2">
        <v>46246</v>
      </c>
      <c r="B10" s="22">
        <f t="shared" si="3"/>
        <v>9</v>
      </c>
      <c r="C10" s="3"/>
      <c r="D10" s="1">
        <f t="shared" si="0"/>
        <v>700</v>
      </c>
      <c r="E10" s="1">
        <f t="shared" si="1"/>
        <v>114.53772939121589</v>
      </c>
      <c r="F10" s="1">
        <f t="shared" si="4"/>
        <v>585.46227060878414</v>
      </c>
      <c r="G10" s="1">
        <f t="shared" si="5"/>
        <v>5126.6976567527154</v>
      </c>
      <c r="H10" s="1">
        <f t="shared" si="2"/>
        <v>4873.3023432472846</v>
      </c>
      <c r="J10" s="4" t="s">
        <v>8</v>
      </c>
      <c r="K10" s="29">
        <v>17</v>
      </c>
    </row>
    <row r="11" spans="1:12" ht="17.25" thickBot="1" x14ac:dyDescent="0.35">
      <c r="A11" s="19">
        <v>46254</v>
      </c>
      <c r="B11" s="23">
        <f t="shared" si="3"/>
        <v>10</v>
      </c>
      <c r="C11" s="20"/>
      <c r="D11" s="21">
        <f t="shared" si="0"/>
        <v>700</v>
      </c>
      <c r="E11" s="21">
        <f t="shared" si="1"/>
        <v>102.79829632693014</v>
      </c>
      <c r="F11" s="21">
        <f t="shared" si="4"/>
        <v>597.20170367306991</v>
      </c>
      <c r="G11" s="21">
        <f t="shared" si="5"/>
        <v>4529.4959530796459</v>
      </c>
      <c r="H11" s="21">
        <f t="shared" si="2"/>
        <v>5470.5040469203541</v>
      </c>
      <c r="J11" s="14"/>
    </row>
    <row r="12" spans="1:12" x14ac:dyDescent="0.3">
      <c r="A12" s="2"/>
      <c r="B12" s="22" t="str">
        <f t="shared" si="3"/>
        <v/>
      </c>
      <c r="C12" s="3"/>
      <c r="D12" s="1" t="str">
        <f t="shared" si="0"/>
        <v/>
      </c>
      <c r="E12" s="1" t="str">
        <f t="shared" si="1"/>
        <v/>
      </c>
      <c r="F12" s="1" t="str">
        <f t="shared" si="4"/>
        <v/>
      </c>
      <c r="G12" s="1" t="str">
        <f t="shared" si="5"/>
        <v/>
      </c>
      <c r="H12" s="1" t="str">
        <f t="shared" si="2"/>
        <v/>
      </c>
      <c r="J12" s="8" t="s">
        <v>16</v>
      </c>
      <c r="K12" s="9">
        <f>IFERROR(MAX($B:$B),"")</f>
        <v>10</v>
      </c>
    </row>
    <row r="13" spans="1:12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5" t="s">
        <v>23</v>
      </c>
      <c r="K13" s="11">
        <f>(K10*K9)-K9*K12</f>
        <v>4900</v>
      </c>
    </row>
    <row r="14" spans="1:12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22</v>
      </c>
      <c r="K14" s="11">
        <f>IF(A2="", K9*K10, IFERROR(INDEX($G:$G, MATCH($K$12, $B:$B, 0)), 0))</f>
        <v>4529.4959530796459</v>
      </c>
    </row>
    <row r="15" spans="1:12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5470.5040469203541</v>
      </c>
    </row>
    <row r="16" spans="1:12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46190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46309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Loan1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2026-08-22T09:42:46Z</dcterms:modified>
</cp:coreProperties>
</file>