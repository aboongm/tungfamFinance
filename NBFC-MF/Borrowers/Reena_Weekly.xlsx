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87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5" l="1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E3" i="5" s="1"/>
  <c r="F3" i="5" s="1"/>
  <c r="G3" i="5" s="1"/>
  <c r="E4" i="5" s="1"/>
  <c r="F4" i="5" s="1"/>
  <c r="G4" i="5" s="1"/>
  <c r="H4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<sst xmlns="http://schemas.openxmlformats.org/spreadsheetml/2006/main" count="25" uniqueCount="24">
  <si>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</si>
  <si>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</si>
  <si>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</si>
  <si>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</si>
  <si>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</si>
  <si>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</si>
  <si>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</si>
  <si>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</si>
  <si>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</si>
  <si>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</si>
  <si>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</si>
  <si>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</si>
  <si>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</si>
  <si>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</si>
  <si>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</si>
  <si>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</si>
  <si>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</si>
  <si>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</si>
  <si>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</si>
  <si>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</si>
  <si>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</si>
  <si>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Reena</t>
  </si>
  <si>
    <t>Principal Outstanding</t>
  </si>
  <si>
    <t>Out(Int + Principal)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</si>
</sst>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2" width="12.7109375" style="5" bestFit="1" customWidth="1"/>
    <col min="13" max="16384" width="9.140625" style="5"/>
  </cols>
  <sheetData>
    <row r="1" spans="1:12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2" x14ac:dyDescent="0.3">
      <c r="A2" s="2">
        <v>46190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30" t="str">
        <f ca="1">IF(K3&lt;&gt;"",
   "L" &amp; TEXT(K7,"0") &amp;
   IF(J10="Weeks","W","D") &amp; K10 &amp;
   "-" &amp; K3 &amp;
   "-N" &amp; RIGHT(CELL("filename",A1),LEN(CELL("filename",A1))-FIND("]",CELL("filename",A1))),
   "")</f>
        <v>L10000W17-Reena-N187</v>
      </c>
    </row>
    <row r="3" spans="1:12" x14ac:dyDescent="0.3">
      <c r="A3" s="19">
        <v>46196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2" x14ac:dyDescent="0.3">
      <c r="A4" s="2">
        <v>46174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2" x14ac:dyDescent="0.3">
      <c r="A5" s="19">
        <v>46211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2" x14ac:dyDescent="0.3">
      <c r="A6" s="2">
        <v>46218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2" x14ac:dyDescent="0.3">
      <c r="A7" s="19">
        <v>46225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2" x14ac:dyDescent="0.3">
      <c r="A8" s="2">
        <v>46232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2" x14ac:dyDescent="0.3">
      <c r="A9" s="19">
        <v>46239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  <c r="L9" s="24"/>
    </row>
    <row r="10" spans="1:12" x14ac:dyDescent="0.3">
      <c r="A10" s="2">
        <v>46246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2" ht="17.25" thickBot="1" x14ac:dyDescent="0.35">
      <c r="A11" s="19">
        <v>46254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2" x14ac:dyDescent="0.3">
      <c r="A12" s="2">
        <v>46261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13</v>
      </c>
    </row>
    <row r="13" spans="1:12" x14ac:dyDescent="0.3">
      <c r="A13" s="19">
        <v>46268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5" t="s">
        <v>23</v>
      </c>
      <c r="K13" s="11">
        <f>(K10*K9)-K9*K12</f>
        <v>2800</v>
      </c>
    </row>
    <row r="14" spans="1:12" x14ac:dyDescent="0.3">
      <c r="A14" s="2">
        <v>46274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22</v>
      </c>
      <c r="K14" s="11">
        <f>IF(A2="", K9*K10, IFERROR(INDEX($G:$G, MATCH($K$12, $B:$B, 0)), 0))</f>
        <v>2665.0766092382519</v>
      </c>
    </row>
    <row r="15" spans="1:12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7334.9233907617481</v>
      </c>
    </row>
    <row r="16" spans="1:12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2026-09-12T08:20:17Z</dcterms:modified>
</cp:coreProperties>
</file>