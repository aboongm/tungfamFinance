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05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5" i="5" s="1"/>
  <c r="K14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<sst xmlns="http://schemas.openxmlformats.org/spreadsheetml/2006/main" count="25" uniqueCount="24">
  <si>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</si>
  <si>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</si>
  <si>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</si>
  <si>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</si>
  <si>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</si>
  <si>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</si>
  <si>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</si>
  <si>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</si>
  <si>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</si>
  <si>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</si>
  <si>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</si>
  <si>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</si>
  <si>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</si>
  <si>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</si>
  <si>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</si>
  <si>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</si>
  <si>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</si>
  <si>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</si>
  <si>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</si>
  <si>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</si>
  <si>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</si>
  <si>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</si>
  <si>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</si>
  <si>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Sunita_Group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</si>
</sst>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4" sqref="A4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46244</v>
      </c>
      <c r="B2" s="22">
        <f>IF(A2&lt;&gt;"",1,"")</f>
        <v>1</v>
      </c>
      <c r="C2" s="3"/>
      <c r="D2" s="1">
        <f t="shared" ref="D2:D18" si="0">IF(AND($A2&lt;&gt;"",$B2&lt;&gt;""),$K$9,"")</f>
        <v>7000</v>
      </c>
      <c r="E2" s="1">
        <f>IF(AND($A2&lt;&gt;"",$B2&lt;&gt;""),$K$7*$K$8,"")</f>
        <v>2005.1562079445989</v>
      </c>
      <c r="F2" s="1">
        <f>IF(AND($A2&lt;&gt;"",$B2&lt;&gt;""),D2-E2,"")</f>
        <v>4994.8437920554006</v>
      </c>
      <c r="G2" s="1">
        <f>IF(AND($A2&lt;&gt;"",$B2&lt;&gt;""),$K$7-F2,"")</f>
        <v>95005.156207944601</v>
      </c>
      <c r="H2" s="1">
        <f>IF(AND($A2&lt;&gt;"",$B2&lt;&gt;""),$K$7-G2,"")</f>
        <v>4994.8437920553988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L100000W17-Sunita_Group-N205</v>
      </c>
    </row>
    <row r="3" spans="1:11" x14ac:dyDescent="0.3">
      <c r="A3" s="19">
        <v>46251</v>
      </c>
      <c r="B3" s="23">
        <f>IF(A3&lt;&gt;"",B2+1,"")</f>
        <v>2</v>
      </c>
      <c r="C3" s="20"/>
      <c r="D3" s="21">
        <f t="shared" si="0"/>
        <v>7000</v>
      </c>
      <c r="E3" s="21">
        <f t="shared" ref="E3:E18" si="1">IF(AND($A3&lt;&gt;"",$B3&lt;&gt;""),G2*$K$8,"")</f>
        <v>1905.0017875710648</v>
      </c>
      <c r="F3" s="21">
        <f>IF(AND($A3&lt;&gt;"",$B3&lt;&gt;""),D3-E3,"")</f>
        <v>5094.9982124289354</v>
      </c>
      <c r="G3" s="21">
        <f>IF(AND($A3&lt;&gt;"",$B3&lt;&gt;""),G2-F3,"")</f>
        <v>89910.157995515663</v>
      </c>
      <c r="H3" s="21">
        <f t="shared" ref="H3:H18" si="2">IF(AND($A3&lt;&gt;"",$B3&lt;&gt;""),$K$7-G3,"")</f>
        <v>10089.842004484337</v>
      </c>
      <c r="J3" s="4" t="s">
        <v>10</v>
      </c>
      <c r="K3" s="26" t="s">
        <v>23</v>
      </c>
    </row>
    <row r="4" spans="1:11" x14ac:dyDescent="0.3">
      <c r="A4" s="2"/>
      <c r="B4" s="22" t="str">
        <f t="shared" ref="B4:B18" si="3">IF(A4&lt;&gt;"",B3+1,"")</f>
        <v/>
      </c>
      <c r="C4" s="3"/>
      <c r="D4" s="1" t="str">
        <f t="shared" si="0"/>
        <v/>
      </c>
      <c r="E4" s="1" t="str">
        <f t="shared" si="1"/>
        <v/>
      </c>
      <c r="F4" s="1" t="str">
        <f t="shared" ref="F4:F18" si="4">IF(AND($A4&lt;&gt;"",$B4&lt;&gt;""),D4-E4,"")</f>
        <v/>
      </c>
      <c r="G4" s="1" t="str">
        <f t="shared" ref="G4:G18" si="5">IF(AND($A4&lt;&gt;"",$B4&lt;&gt;""),G3-F4,"")</f>
        <v/>
      </c>
      <c r="H4" s="1" t="str">
        <f t="shared" si="2"/>
        <v/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100000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2.005156207944599E-2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7000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2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105000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89910.157995515663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10089.842004484337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46244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46363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2026-08-22T09:34:46Z</dcterms:modified>
</cp:coreProperties>
</file>