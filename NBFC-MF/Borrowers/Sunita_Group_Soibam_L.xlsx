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205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5" i="5" s="1"/>
  <c r="K14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<sst xmlns="http://schemas.openxmlformats.org/spreadsheetml/2006/main" count="25" uniqueCount="24">
  <si>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</si>
  <si>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</si>
  <si>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</si>
  <si>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</si>
  <si>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</si>
  <si>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</si>
  <si>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</si>
  <si>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</si>
  <si>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</si>
  <si>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</si>
  <si>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</si>
  <si>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</si>
  <si>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</si>
  <si>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</si>
  <si>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</si>
  <si>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</si>
  <si>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</si>
  <si>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</si>
  <si>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</si>
  <si>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</si>
  <si>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</si>
  <si>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</si>
  <si>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</si>
  <si>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Sunita_Group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</si>
</sst>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9" sqref="A9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46244</v>
      </c>
      <c r="B2" s="22">
        <f>IF(A2&lt;&gt;"",1,"")</f>
        <v>1</v>
      </c>
      <c r="C2" s="3"/>
      <c r="D2" s="1">
        <f t="shared" ref="D2:D18" si="0">IF(AND($A2&lt;&gt;"",$B2&lt;&gt;""),$K$9,"")</f>
        <v>7000</v>
      </c>
      <c r="E2" s="1">
        <f>IF(AND($A2&lt;&gt;"",$B2&lt;&gt;""),$K$7*$K$8,"")</f>
        <v>2005.1562079445989</v>
      </c>
      <c r="F2" s="1">
        <f>IF(AND($A2&lt;&gt;"",$B2&lt;&gt;""),D2-E2,"")</f>
        <v>4994.8437920554006</v>
      </c>
      <c r="G2" s="1">
        <f>IF(AND($A2&lt;&gt;"",$B2&lt;&gt;""),$K$7-F2,"")</f>
        <v>95005.156207944601</v>
      </c>
      <c r="H2" s="1">
        <f>IF(AND($A2&lt;&gt;"",$B2&lt;&gt;""),$K$7-G2,"")</f>
        <v>4994.8437920553988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L100000W17-Sunita_Group-N205</v>
      </c>
    </row>
    <row r="3" spans="1:11" x14ac:dyDescent="0.3">
      <c r="A3" s="19">
        <v>46251</v>
      </c>
      <c r="B3" s="23">
        <f>IF(A3&lt;&gt;"",B2+1,"")</f>
        <v>2</v>
      </c>
      <c r="C3" s="20"/>
      <c r="D3" s="21">
        <f t="shared" si="0"/>
        <v>7000</v>
      </c>
      <c r="E3" s="21">
        <f t="shared" ref="E3:E18" si="1">IF(AND($A3&lt;&gt;"",$B3&lt;&gt;""),G2*$K$8,"")</f>
        <v>1905.0017875710648</v>
      </c>
      <c r="F3" s="21">
        <f>IF(AND($A3&lt;&gt;"",$B3&lt;&gt;""),D3-E3,"")</f>
        <v>5094.9982124289354</v>
      </c>
      <c r="G3" s="21">
        <f>IF(AND($A3&lt;&gt;"",$B3&lt;&gt;""),G2-F3,"")</f>
        <v>89910.157995515663</v>
      </c>
      <c r="H3" s="21">
        <f t="shared" ref="H3:H18" si="2">IF(AND($A3&lt;&gt;"",$B3&lt;&gt;""),$K$7-G3,"")</f>
        <v>10089.842004484337</v>
      </c>
      <c r="J3" s="4" t="s">
        <v>10</v>
      </c>
      <c r="K3" s="26" t="s">
        <v>23</v>
      </c>
    </row>
    <row r="4" spans="1:11" x14ac:dyDescent="0.3">
      <c r="A4" s="2">
        <v>46258</v>
      </c>
      <c r="B4" s="22">
        <f t="shared" ref="B4:B18" si="3">IF(A4&lt;&gt;"",B3+1,"")</f>
        <v>3</v>
      </c>
      <c r="C4" s="3"/>
      <c r="D4" s="1">
        <f t="shared" si="0"/>
        <v>7000</v>
      </c>
      <c r="E4" s="1">
        <f t="shared" si="1"/>
        <v>1802.8391146198796</v>
      </c>
      <c r="F4" s="1">
        <f t="shared" ref="F4:F18" si="4">IF(AND($A4&lt;&gt;"",$B4&lt;&gt;""),D4-E4,"")</f>
        <v>5197.1608853801208</v>
      </c>
      <c r="G4" s="1">
        <f t="shared" ref="G4:G18" si="5">IF(AND($A4&lt;&gt;"",$B4&lt;&gt;""),G3-F4,"")</f>
        <v>84712.997110135548</v>
      </c>
      <c r="H4" s="1">
        <f t="shared" si="2"/>
        <v>15287.002889864452</v>
      </c>
      <c r="J4" s="4" t="s">
        <v>11</v>
      </c>
      <c r="K4" s="26"/>
    </row>
    <row r="5" spans="1:11" x14ac:dyDescent="0.3">
      <c r="A5" s="19">
        <v>46265</v>
      </c>
      <c r="B5" s="23">
        <f t="shared" si="3"/>
        <v>4</v>
      </c>
      <c r="C5" s="20"/>
      <c r="D5" s="21">
        <f t="shared" si="0"/>
        <v>7000</v>
      </c>
      <c r="E5" s="21">
        <f t="shared" si="1"/>
        <v>1698.6279204898117</v>
      </c>
      <c r="F5" s="21">
        <f t="shared" si="4"/>
        <v>5301.3720795101881</v>
      </c>
      <c r="G5" s="21">
        <f t="shared" si="5"/>
        <v>79411.625030625364</v>
      </c>
      <c r="H5" s="21">
        <f t="shared" si="2"/>
        <v>20588.374969374636</v>
      </c>
      <c r="J5" s="4" t="s">
        <v>12</v>
      </c>
      <c r="K5" s="26"/>
    </row>
    <row r="6" spans="1:11" x14ac:dyDescent="0.3">
      <c r="A6" s="2">
        <v>46272</v>
      </c>
      <c r="B6" s="22">
        <f t="shared" si="3"/>
        <v>5</v>
      </c>
      <c r="C6" s="3"/>
      <c r="D6" s="1">
        <f t="shared" si="0"/>
        <v>7000</v>
      </c>
      <c r="E6" s="1">
        <f t="shared" si="1"/>
        <v>1592.3271291312715</v>
      </c>
      <c r="F6" s="1">
        <f t="shared" si="4"/>
        <v>5407.6728708687288</v>
      </c>
      <c r="G6" s="1">
        <f t="shared" si="5"/>
        <v>74003.952159756635</v>
      </c>
      <c r="H6" s="1">
        <f t="shared" si="2"/>
        <v>25996.047840243365</v>
      </c>
      <c r="J6" s="4" t="s">
        <v>13</v>
      </c>
      <c r="K6" s="26"/>
    </row>
    <row r="7" spans="1:11" x14ac:dyDescent="0.3">
      <c r="A7" s="19">
        <v>46279</v>
      </c>
      <c r="B7" s="23">
        <f t="shared" si="3"/>
        <v>6</v>
      </c>
      <c r="C7" s="20"/>
      <c r="D7" s="21">
        <f t="shared" si="0"/>
        <v>7000</v>
      </c>
      <c r="E7" s="21">
        <f t="shared" si="1"/>
        <v>1483.8948408557112</v>
      </c>
      <c r="F7" s="21">
        <f t="shared" si="4"/>
        <v>5516.1051591442883</v>
      </c>
      <c r="G7" s="21">
        <f t="shared" si="5"/>
        <v>68487.847000612353</v>
      </c>
      <c r="H7" s="21">
        <f t="shared" si="2"/>
        <v>31512.152999387647</v>
      </c>
      <c r="J7" s="4" t="s">
        <v>6</v>
      </c>
      <c r="K7" s="27">
        <v>100000</v>
      </c>
    </row>
    <row r="8" spans="1:11" x14ac:dyDescent="0.3">
      <c r="A8" s="2">
        <v>46286</v>
      </c>
      <c r="B8" s="22">
        <f t="shared" si="3"/>
        <v>7</v>
      </c>
      <c r="C8" s="3"/>
      <c r="D8" s="1">
        <f t="shared" si="0"/>
        <v>7000</v>
      </c>
      <c r="E8" s="1">
        <f t="shared" si="1"/>
        <v>1373.2883158203774</v>
      </c>
      <c r="F8" s="1">
        <f t="shared" si="4"/>
        <v>5626.7116841796224</v>
      </c>
      <c r="G8" s="1">
        <f t="shared" si="5"/>
        <v>62861.13531643273</v>
      </c>
      <c r="H8" s="1">
        <f t="shared" si="2"/>
        <v>37138.86468356727</v>
      </c>
      <c r="J8" s="4" t="s">
        <v>14</v>
      </c>
      <c r="K8" s="6">
        <f>RATE(K10,-K9,K7)</f>
        <v>2.005156207944599E-2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7000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7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70000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62861.13531643273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37138.86468356727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46244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46363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2026-09-24T07:26:34Z</dcterms:modified>
</cp:coreProperties>
</file>