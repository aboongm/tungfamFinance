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2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4" i="5"/>
  <c r="K15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<sst xmlns="http://schemas.openxmlformats.org/spreadsheetml/2006/main" count="25" uniqueCount="24">
  <si>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</si>
  <si>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</si>
  <si>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</si>
  <si>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</si>
  <si>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</si>
  <si>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</si>
  <si>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</si>
  <si>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</si>
  <si>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</si>
  <si>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</si>
  <si>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</si>
  <si>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</si>
  <si>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</si>
  <si>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</si>
  <si>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</si>
  <si>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</si>
  <si>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</si>
  <si>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</si>
  <si>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</si>
  <si>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</si>
  <si>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</si>
  <si>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</si>
  <si>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</si>
  <si>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Kakwa_Lamdaibung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</si>
</sst>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13" sqref="A13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46232</v>
      </c>
      <c r="B2" s="22">
        <f>IF(A2&lt;&gt;"",1,"")</f>
        <v>1</v>
      </c>
      <c r="C2" s="3"/>
      <c r="D2" s="1">
        <f t="shared" ref="D2:D18" si="0">IF(AND($A2&lt;&gt;"",$B2&lt;&gt;""),$K$9,"")</f>
        <v>4200</v>
      </c>
      <c r="E2" s="1">
        <f>IF(AND($A2&lt;&gt;"",$B2&lt;&gt;""),$K$7*$K$8,"")</f>
        <v>1203.0937247667748</v>
      </c>
      <c r="F2" s="1">
        <f>IF(AND($A2&lt;&gt;"",$B2&lt;&gt;""),D2-E2,"")</f>
        <v>2996.9062752332252</v>
      </c>
      <c r="G2" s="1">
        <f>IF(AND($A2&lt;&gt;"",$B2&lt;&gt;""),$K$7-F2,"")</f>
        <v>57003.093724766775</v>
      </c>
      <c r="H2" s="1">
        <f>IF(AND($A2&lt;&gt;"",$B2&lt;&gt;""),$K$7-G2,"")</f>
        <v>2996.9062752332247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L60000W17-Kakwa_Lamdaibung-N202</v>
      </c>
    </row>
    <row r="3" spans="1:11" x14ac:dyDescent="0.3">
      <c r="A3" s="19">
        <v>46238</v>
      </c>
      <c r="B3" s="23">
        <f>IF(A3&lt;&gt;"",B2+1,"")</f>
        <v>2</v>
      </c>
      <c r="C3" s="20"/>
      <c r="D3" s="21">
        <f t="shared" si="0"/>
        <v>4200</v>
      </c>
      <c r="E3" s="21">
        <f t="shared" ref="E3:E18" si="1">IF(AND($A3&lt;&gt;"",$B3&lt;&gt;""),G2*$K$8,"")</f>
        <v>1143.0010725426537</v>
      </c>
      <c r="F3" s="21">
        <f>IF(AND($A3&lt;&gt;"",$B3&lt;&gt;""),D3-E3,"")</f>
        <v>3056.9989274573463</v>
      </c>
      <c r="G3" s="21">
        <f>IF(AND($A3&lt;&gt;"",$B3&lt;&gt;""),G2-F3,"")</f>
        <v>53946.09479730943</v>
      </c>
      <c r="H3" s="21">
        <f t="shared" ref="H3:H18" si="2">IF(AND($A3&lt;&gt;"",$B3&lt;&gt;""),$K$7-G3,"")</f>
        <v>6053.9052026905701</v>
      </c>
      <c r="J3" s="4" t="s">
        <v>10</v>
      </c>
      <c r="K3" s="26" t="s">
        <v>23</v>
      </c>
    </row>
    <row r="4" spans="1:11" x14ac:dyDescent="0.3">
      <c r="A4" s="2">
        <v>46245</v>
      </c>
      <c r="B4" s="22">
        <f t="shared" ref="B4:B18" si="3">IF(A4&lt;&gt;"",B3+1,"")</f>
        <v>3</v>
      </c>
      <c r="C4" s="3"/>
      <c r="D4" s="1">
        <f t="shared" si="0"/>
        <v>4200</v>
      </c>
      <c r="E4" s="1">
        <f t="shared" si="1"/>
        <v>1081.7034687719422</v>
      </c>
      <c r="F4" s="1">
        <f t="shared" ref="F4:F18" si="4">IF(AND($A4&lt;&gt;"",$B4&lt;&gt;""),D4-E4,"")</f>
        <v>3118.2965312280576</v>
      </c>
      <c r="G4" s="1">
        <f t="shared" ref="G4:G18" si="5">IF(AND($A4&lt;&gt;"",$B4&lt;&gt;""),G3-F4,"")</f>
        <v>50827.798266081372</v>
      </c>
      <c r="H4" s="1">
        <f t="shared" si="2"/>
        <v>9172.2017339186277</v>
      </c>
      <c r="J4" s="4" t="s">
        <v>11</v>
      </c>
      <c r="K4" s="26"/>
    </row>
    <row r="5" spans="1:11" x14ac:dyDescent="0.3">
      <c r="A5" s="19">
        <v>46254</v>
      </c>
      <c r="B5" s="23">
        <f t="shared" si="3"/>
        <v>4</v>
      </c>
      <c r="C5" s="20"/>
      <c r="D5" s="21">
        <f t="shared" si="0"/>
        <v>4200</v>
      </c>
      <c r="E5" s="21">
        <f t="shared" si="1"/>
        <v>1019.1767522939009</v>
      </c>
      <c r="F5" s="21">
        <f t="shared" si="4"/>
        <v>3180.8232477060992</v>
      </c>
      <c r="G5" s="21">
        <f t="shared" si="5"/>
        <v>47646.975018375277</v>
      </c>
      <c r="H5" s="21">
        <f t="shared" si="2"/>
        <v>12353.024981624723</v>
      </c>
      <c r="J5" s="4" t="s">
        <v>12</v>
      </c>
      <c r="K5" s="26"/>
    </row>
    <row r="6" spans="1:11" x14ac:dyDescent="0.3">
      <c r="A6" s="2">
        <v>46259</v>
      </c>
      <c r="B6" s="22">
        <f t="shared" si="3"/>
        <v>5</v>
      </c>
      <c r="C6" s="3"/>
      <c r="D6" s="1">
        <f t="shared" si="0"/>
        <v>4200</v>
      </c>
      <c r="E6" s="1">
        <f t="shared" si="1"/>
        <v>955.39627747877637</v>
      </c>
      <c r="F6" s="1">
        <f t="shared" si="4"/>
        <v>3244.6037225212235</v>
      </c>
      <c r="G6" s="1">
        <f t="shared" si="5"/>
        <v>44402.371295854056</v>
      </c>
      <c r="H6" s="1">
        <f t="shared" si="2"/>
        <v>15597.628704145944</v>
      </c>
      <c r="J6" s="4" t="s">
        <v>13</v>
      </c>
      <c r="K6" s="26"/>
    </row>
    <row r="7" spans="1:11" x14ac:dyDescent="0.3">
      <c r="A7" s="19">
        <v>46268</v>
      </c>
      <c r="B7" s="23">
        <f t="shared" si="3"/>
        <v>6</v>
      </c>
      <c r="C7" s="20"/>
      <c r="D7" s="21">
        <f t="shared" si="0"/>
        <v>4200</v>
      </c>
      <c r="E7" s="21">
        <f t="shared" si="1"/>
        <v>890.33690451343966</v>
      </c>
      <c r="F7" s="21">
        <f t="shared" si="4"/>
        <v>3309.6630954865605</v>
      </c>
      <c r="G7" s="21">
        <f t="shared" si="5"/>
        <v>41092.708200367495</v>
      </c>
      <c r="H7" s="21">
        <f t="shared" si="2"/>
        <v>18907.291799632505</v>
      </c>
      <c r="J7" s="4" t="s">
        <v>6</v>
      </c>
      <c r="K7" s="27">
        <v>60000</v>
      </c>
    </row>
    <row r="8" spans="1:11" x14ac:dyDescent="0.3">
      <c r="A8" s="2">
        <v>46274</v>
      </c>
      <c r="B8" s="22">
        <f t="shared" si="3"/>
        <v>7</v>
      </c>
      <c r="C8" s="3"/>
      <c r="D8" s="1">
        <f t="shared" si="0"/>
        <v>4200</v>
      </c>
      <c r="E8" s="1">
        <f t="shared" si="1"/>
        <v>823.97298949223864</v>
      </c>
      <c r="F8" s="1">
        <f t="shared" si="4"/>
        <v>3376.0270105077616</v>
      </c>
      <c r="G8" s="1">
        <f t="shared" si="5"/>
        <v>37716.681189859737</v>
      </c>
      <c r="H8" s="1">
        <f t="shared" si="2"/>
        <v>22283.318810140263</v>
      </c>
      <c r="J8" s="4" t="s">
        <v>14</v>
      </c>
      <c r="K8" s="6">
        <f>RATE(K10,-K9,K7)</f>
        <v>2.0051562079446247E-2</v>
      </c>
    </row>
    <row r="9" spans="1:11" x14ac:dyDescent="0.3">
      <c r="A9" s="19">
        <v>46281</v>
      </c>
      <c r="B9" s="23">
        <f t="shared" si="3"/>
        <v>8</v>
      </c>
      <c r="C9" s="20"/>
      <c r="D9" s="21">
        <f t="shared" si="0"/>
        <v>4200</v>
      </c>
      <c r="E9" s="21">
        <f t="shared" si="1"/>
        <v>756.27837430915508</v>
      </c>
      <c r="F9" s="21">
        <f t="shared" si="4"/>
        <v>3443.721625690845</v>
      </c>
      <c r="G9" s="21">
        <f t="shared" si="5"/>
        <v>34272.959564168894</v>
      </c>
      <c r="H9" s="21">
        <f t="shared" si="2"/>
        <v>25727.040435831106</v>
      </c>
      <c r="J9" s="4" t="s">
        <v>7</v>
      </c>
      <c r="K9" s="28">
        <v>4200</v>
      </c>
    </row>
    <row r="10" spans="1:11" x14ac:dyDescent="0.3">
      <c r="A10" s="2">
        <v>46288</v>
      </c>
      <c r="B10" s="22">
        <f t="shared" si="3"/>
        <v>9</v>
      </c>
      <c r="C10" s="3"/>
      <c r="D10" s="1">
        <f t="shared" si="0"/>
        <v>4200</v>
      </c>
      <c r="E10" s="1">
        <f t="shared" si="1"/>
        <v>687.22637634728358</v>
      </c>
      <c r="F10" s="1">
        <f t="shared" si="4"/>
        <v>3512.7736236527162</v>
      </c>
      <c r="G10" s="1">
        <f t="shared" si="5"/>
        <v>30760.185940516178</v>
      </c>
      <c r="H10" s="1">
        <f t="shared" si="2"/>
        <v>29239.814059483822</v>
      </c>
      <c r="J10" s="4" t="s">
        <v>8</v>
      </c>
      <c r="K10" s="29">
        <v>17</v>
      </c>
    </row>
    <row r="11" spans="1:11" ht="17.25" thickBot="1" x14ac:dyDescent="0.35">
      <c r="A11" s="19">
        <v>46295</v>
      </c>
      <c r="B11" s="23">
        <f t="shared" si="3"/>
        <v>10</v>
      </c>
      <c r="C11" s="20"/>
      <c r="D11" s="21">
        <f t="shared" si="0"/>
        <v>4200</v>
      </c>
      <c r="E11" s="21">
        <f t="shared" si="1"/>
        <v>616.78977796156971</v>
      </c>
      <c r="F11" s="21">
        <f t="shared" si="4"/>
        <v>3583.2102220384304</v>
      </c>
      <c r="G11" s="21">
        <f t="shared" si="5"/>
        <v>27176.975718477748</v>
      </c>
      <c r="H11" s="21">
        <f t="shared" si="2"/>
        <v>32823.024281522252</v>
      </c>
      <c r="J11" s="14"/>
    </row>
    <row r="12" spans="1:11" x14ac:dyDescent="0.3">
      <c r="A12" s="2">
        <v>46303</v>
      </c>
      <c r="B12" s="22">
        <f t="shared" si="3"/>
        <v>11</v>
      </c>
      <c r="C12" s="3"/>
      <c r="D12" s="1">
        <f t="shared" si="0"/>
        <v>4200</v>
      </c>
      <c r="E12" s="1">
        <f t="shared" si="1"/>
        <v>544.94081575065979</v>
      </c>
      <c r="F12" s="1">
        <f t="shared" si="4"/>
        <v>3655.0591842493404</v>
      </c>
      <c r="G12" s="1">
        <f t="shared" si="5"/>
        <v>23521.916534228407</v>
      </c>
      <c r="H12" s="1">
        <f t="shared" si="2"/>
        <v>36478.08346577159</v>
      </c>
      <c r="J12" s="8" t="s">
        <v>16</v>
      </c>
      <c r="K12" s="9">
        <f>IFERROR(MAX($B:$B),"")</f>
        <v>11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25200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23521.916534228407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36478.08346577159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46232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46351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2026-10-13T06:13:55Z</dcterms:modified>
</cp:coreProperties>
</file>