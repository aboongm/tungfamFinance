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<sst xmlns="http://schemas.openxmlformats.org/spreadsheetml/2006/main" count="25" uniqueCount="24">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</sst>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46232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L60000W17-Kakwa_Lamdaibung-N202</v>
      </c>
    </row>
    <row r="3" spans="1:11" x14ac:dyDescent="0.3">
      <c r="A3" s="19">
        <v>46238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>
        <v>46245</v>
      </c>
      <c r="B4" s="22">
        <f t="shared" ref="B4:B18" si="3">IF(A4&lt;&gt;"",B3+1,"")</f>
        <v>3</v>
      </c>
      <c r="C4" s="3"/>
      <c r="D4" s="1">
        <f t="shared" si="0"/>
        <v>4200</v>
      </c>
      <c r="E4" s="1">
        <f t="shared" si="1"/>
        <v>1081.7034687719422</v>
      </c>
      <c r="F4" s="1">
        <f t="shared" ref="F4:F18" si="4">IF(AND($A4&lt;&gt;"",$B4&lt;&gt;""),D4-E4,"")</f>
        <v>3118.2965312280576</v>
      </c>
      <c r="G4" s="1">
        <f t="shared" ref="G4:G18" si="5">IF(AND($A4&lt;&gt;"",$B4&lt;&gt;""),G3-F4,"")</f>
        <v>50827.798266081372</v>
      </c>
      <c r="H4" s="1">
        <f t="shared" si="2"/>
        <v>9172.2017339186277</v>
      </c>
      <c r="J4" s="4" t="s">
        <v>11</v>
      </c>
      <c r="K4" s="26"/>
    </row>
    <row r="5" spans="1:11" x14ac:dyDescent="0.3">
      <c r="A5" s="19">
        <v>46254</v>
      </c>
      <c r="B5" s="23">
        <f t="shared" si="3"/>
        <v>4</v>
      </c>
      <c r="C5" s="20"/>
      <c r="D5" s="21">
        <f t="shared" si="0"/>
        <v>4200</v>
      </c>
      <c r="E5" s="21">
        <f t="shared" si="1"/>
        <v>1019.1767522939009</v>
      </c>
      <c r="F5" s="21">
        <f t="shared" si="4"/>
        <v>3180.8232477060992</v>
      </c>
      <c r="G5" s="21">
        <f t="shared" si="5"/>
        <v>47646.975018375277</v>
      </c>
      <c r="H5" s="21">
        <f t="shared" si="2"/>
        <v>12353.024981624723</v>
      </c>
      <c r="J5" s="4" t="s">
        <v>12</v>
      </c>
      <c r="K5" s="26"/>
    </row>
    <row r="6" spans="1:11" x14ac:dyDescent="0.3">
      <c r="A6" s="2">
        <v>46259</v>
      </c>
      <c r="B6" s="22">
        <f t="shared" si="3"/>
        <v>5</v>
      </c>
      <c r="C6" s="3"/>
      <c r="D6" s="1">
        <f t="shared" si="0"/>
        <v>4200</v>
      </c>
      <c r="E6" s="1">
        <f t="shared" si="1"/>
        <v>955.39627747877637</v>
      </c>
      <c r="F6" s="1">
        <f t="shared" si="4"/>
        <v>3244.6037225212235</v>
      </c>
      <c r="G6" s="1">
        <f t="shared" si="5"/>
        <v>44402.371295854056</v>
      </c>
      <c r="H6" s="1">
        <f t="shared" si="2"/>
        <v>15597.628704145944</v>
      </c>
      <c r="J6" s="4" t="s">
        <v>13</v>
      </c>
      <c r="K6" s="26"/>
    </row>
    <row r="7" spans="1:11" x14ac:dyDescent="0.3">
      <c r="A7" s="19">
        <v>46268</v>
      </c>
      <c r="B7" s="23">
        <f t="shared" si="3"/>
        <v>6</v>
      </c>
      <c r="C7" s="20"/>
      <c r="D7" s="21">
        <f t="shared" si="0"/>
        <v>4200</v>
      </c>
      <c r="E7" s="21">
        <f t="shared" si="1"/>
        <v>890.33690451343966</v>
      </c>
      <c r="F7" s="21">
        <f t="shared" si="4"/>
        <v>3309.6630954865605</v>
      </c>
      <c r="G7" s="21">
        <f t="shared" si="5"/>
        <v>41092.708200367495</v>
      </c>
      <c r="H7" s="21">
        <f t="shared" si="2"/>
        <v>18907.291799632505</v>
      </c>
      <c r="J7" s="4" t="s">
        <v>6</v>
      </c>
      <c r="K7" s="27">
        <v>60000</v>
      </c>
    </row>
    <row r="8" spans="1:11" x14ac:dyDescent="0.3">
      <c r="A8" s="2">
        <v>46274</v>
      </c>
      <c r="B8" s="22">
        <f t="shared" si="3"/>
        <v>7</v>
      </c>
      <c r="C8" s="3"/>
      <c r="D8" s="1">
        <f t="shared" si="0"/>
        <v>4200</v>
      </c>
      <c r="E8" s="1">
        <f t="shared" si="1"/>
        <v>823.97298949223864</v>
      </c>
      <c r="F8" s="1">
        <f t="shared" si="4"/>
        <v>3376.0270105077616</v>
      </c>
      <c r="G8" s="1">
        <f t="shared" si="5"/>
        <v>37716.681189859737</v>
      </c>
      <c r="H8" s="1">
        <f t="shared" si="2"/>
        <v>22283.318810140263</v>
      </c>
      <c r="J8" s="4" t="s">
        <v>14</v>
      </c>
      <c r="K8" s="6">
        <f>RATE(K10,-K9,K7)</f>
        <v>2.0051562079446247E-2</v>
      </c>
    </row>
    <row r="9" spans="1:11" x14ac:dyDescent="0.3">
      <c r="A9" s="19">
        <v>46281</v>
      </c>
      <c r="B9" s="23">
        <f t="shared" si="3"/>
        <v>8</v>
      </c>
      <c r="C9" s="20"/>
      <c r="D9" s="21">
        <f t="shared" si="0"/>
        <v>4200</v>
      </c>
      <c r="E9" s="21">
        <f t="shared" si="1"/>
        <v>756.27837430915508</v>
      </c>
      <c r="F9" s="21">
        <f t="shared" si="4"/>
        <v>3443.721625690845</v>
      </c>
      <c r="G9" s="21">
        <f t="shared" si="5"/>
        <v>34272.959564168894</v>
      </c>
      <c r="H9" s="21">
        <f t="shared" si="2"/>
        <v>25727.040435831106</v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37800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34272.959564168894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25727.040435831106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2026-09-24T06:47:21Z</dcterms:modified>
</cp:coreProperties>
</file>