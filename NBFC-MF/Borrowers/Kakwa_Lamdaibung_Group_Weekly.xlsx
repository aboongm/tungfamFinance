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<sst xmlns="http://schemas.openxmlformats.org/spreadsheetml/2006/main" count="25" uniqueCount="24">
  <si>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</si>
  <si>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</si>
  <si>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</si>
  <si>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</si>
  <si>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</si>
  <si>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</si>
  <si>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</si>
  <si>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</si>
  <si>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</si>
  <si>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</si>
  <si>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</si>
  <si>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</si>
  <si>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</si>
  <si>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</si>
  <si>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</si>
  <si>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</si>
  <si>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</si>
  <si>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</si>
  <si>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</si>
  <si>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</si>
  <si>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</si>
  <si>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</si>
  <si>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</si>
  <si>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Kakwa_Lamdaibung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</si>
</sst>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4" sqref="A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46232</v>
      </c>
      <c r="B2" s="22">
        <f>IF(A2&lt;&gt;"",1,"")</f>
        <v>1</v>
      </c>
      <c r="C2" s="3"/>
      <c r="D2" s="1">
        <f t="shared" ref="D2:D18" si="0">IF(AND($A2&lt;&gt;"",$B2&lt;&gt;""),$K$9,"")</f>
        <v>4200</v>
      </c>
      <c r="E2" s="1">
        <f>IF(AND($A2&lt;&gt;"",$B2&lt;&gt;""),$K$7*$K$8,"")</f>
        <v>1203.0937247667748</v>
      </c>
      <c r="F2" s="1">
        <f>IF(AND($A2&lt;&gt;"",$B2&lt;&gt;""),D2-E2,"")</f>
        <v>2996.9062752332252</v>
      </c>
      <c r="G2" s="1">
        <f>IF(AND($A2&lt;&gt;"",$B2&lt;&gt;""),$K$7-F2,"")</f>
        <v>57003.093724766775</v>
      </c>
      <c r="H2" s="1">
        <f>IF(AND($A2&lt;&gt;"",$B2&lt;&gt;""),$K$7-G2,"")</f>
        <v>2996.9062752332247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L60000W17-Kakwa_Lamdaibung-NLoan1</v>
      </c>
    </row>
    <row r="3" spans="1:11" x14ac:dyDescent="0.3">
      <c r="A3" s="19">
        <v>46238</v>
      </c>
      <c r="B3" s="23">
        <f>IF(A3&lt;&gt;"",B2+1,"")</f>
        <v>2</v>
      </c>
      <c r="C3" s="20"/>
      <c r="D3" s="21">
        <f t="shared" si="0"/>
        <v>4200</v>
      </c>
      <c r="E3" s="21">
        <f t="shared" ref="E3:E18" si="1">IF(AND($A3&lt;&gt;"",$B3&lt;&gt;""),G2*$K$8,"")</f>
        <v>1143.0010725426537</v>
      </c>
      <c r="F3" s="21">
        <f>IF(AND($A3&lt;&gt;"",$B3&lt;&gt;""),D3-E3,"")</f>
        <v>3056.9989274573463</v>
      </c>
      <c r="G3" s="21">
        <f>IF(AND($A3&lt;&gt;"",$B3&lt;&gt;""),G2-F3,"")</f>
        <v>53946.09479730943</v>
      </c>
      <c r="H3" s="21">
        <f t="shared" ref="H3:H18" si="2">IF(AND($A3&lt;&gt;"",$B3&lt;&gt;""),$K$7-G3,"")</f>
        <v>6053.9052026905701</v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60000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4200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2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63000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53946.09479730943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6053.9052026905701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46232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46351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2026-08-07T11:27:16Z</dcterms:modified>
</cp:coreProperties>
</file>