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B3" i="4"/>
  <c r="B118" i="4"/>
  <c r="B119" i="4"/>
  <c r="B120" i="4"/>
  <c r="B12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67" i="4"/>
  <c r="B68" i="4"/>
  <c r="B69" i="4"/>
  <c r="B70" i="4"/>
  <c r="B71" i="4" s="1"/>
  <c r="B4" i="4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K16" i="4" l="1"/>
  <c r="K17" i="4" s="1"/>
  <c r="K2" i="4" l="1"/>
  <c r="K12" i="4" l="1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K13" i="4" l="1"/>
  <c r="F121" i="4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K8" i="4"/>
  <c r="E2" i="4" s="1"/>
  <c r="F2" i="4" s="1"/>
  <c r="G2" i="4" s="1"/>
  <c r="H2" i="4" l="1"/>
  <c r="E3" i="4"/>
  <c r="E107" i="4"/>
  <c r="F107" i="4" s="1"/>
  <c r="G107" i="4" s="1"/>
  <c r="H106" i="4"/>
  <c r="H88" i="4"/>
  <c r="E89" i="4"/>
  <c r="F89" i="4" s="1"/>
  <c r="G89" i="4" s="1"/>
  <c r="H107" i="4" l="1"/>
  <c r="G108" i="4"/>
  <c r="E108" i="4"/>
  <c r="F108" i="4" s="1"/>
  <c r="H89" i="4"/>
  <c r="E90" i="4"/>
  <c r="F90" i="4" s="1"/>
  <c r="G90" i="4" s="1"/>
  <c r="E109" i="4" l="1"/>
  <c r="F109" i="4" s="1"/>
  <c r="H108" i="4"/>
  <c r="G109" i="4"/>
  <c r="E91" i="4"/>
  <c r="F91" i="4" s="1"/>
  <c r="G91" i="4"/>
  <c r="H90" i="4"/>
  <c r="E67" i="4"/>
  <c r="F67" i="4" s="1"/>
  <c r="G67" i="4" s="1"/>
  <c r="E110" i="4" l="1"/>
  <c r="F110" i="4" s="1"/>
  <c r="G110" i="4" s="1"/>
  <c r="H109" i="4"/>
  <c r="H91" i="4"/>
  <c r="E92" i="4"/>
  <c r="F92" i="4" s="1"/>
  <c r="G92" i="4"/>
  <c r="H67" i="4"/>
  <c r="E68" i="4"/>
  <c r="F68" i="4" s="1"/>
  <c r="G68" i="4" s="1"/>
  <c r="G111" i="4" l="1"/>
  <c r="E111" i="4"/>
  <c r="F111" i="4" s="1"/>
  <c r="H110" i="4"/>
  <c r="H92" i="4"/>
  <c r="E93" i="4"/>
  <c r="F93" i="4" s="1"/>
  <c r="G93" i="4" s="1"/>
  <c r="H68" i="4"/>
  <c r="E69" i="4"/>
  <c r="F69" i="4" s="1"/>
  <c r="G69" i="4" s="1"/>
  <c r="E112" i="4" l="1"/>
  <c r="F112" i="4" s="1"/>
  <c r="G112" i="4" s="1"/>
  <c r="H111" i="4"/>
  <c r="H93" i="4"/>
  <c r="E94" i="4"/>
  <c r="F94" i="4" s="1"/>
  <c r="G94" i="4" s="1"/>
  <c r="H69" i="4"/>
  <c r="E70" i="4"/>
  <c r="F70" i="4" s="1"/>
  <c r="G70" i="4" s="1"/>
  <c r="E113" i="4" l="1"/>
  <c r="F113" i="4" s="1"/>
  <c r="H112" i="4"/>
  <c r="G113" i="4"/>
  <c r="E95" i="4"/>
  <c r="F95" i="4" s="1"/>
  <c r="G95" i="4"/>
  <c r="H94" i="4"/>
  <c r="H70" i="4"/>
  <c r="E71" i="4"/>
  <c r="F71" i="4" s="1"/>
  <c r="G71" i="4" s="1"/>
  <c r="K14" i="4" s="1"/>
  <c r="H113" i="4" l="1"/>
  <c r="E114" i="4"/>
  <c r="F114" i="4" s="1"/>
  <c r="G114" i="4"/>
  <c r="H95" i="4"/>
  <c r="E96" i="4"/>
  <c r="F96" i="4" s="1"/>
  <c r="G96" i="4"/>
  <c r="H71" i="4"/>
  <c r="K15" i="4" s="1"/>
  <c r="E72" i="4"/>
  <c r="F72" i="4" s="1"/>
  <c r="G72" i="4"/>
  <c r="E115" i="4" l="1"/>
  <c r="F115" i="4" s="1"/>
  <c r="G115" i="4" s="1"/>
  <c r="H114" i="4"/>
  <c r="H96" i="4"/>
  <c r="E97" i="4"/>
  <c r="F97" i="4" s="1"/>
  <c r="G97" i="4" s="1"/>
  <c r="H72" i="4"/>
  <c r="E73" i="4"/>
  <c r="F73" i="4" s="1"/>
  <c r="G73" i="4" s="1"/>
  <c r="H115" i="4" l="1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H116" i="4" l="1"/>
  <c r="E117" i="4"/>
  <c r="F117" i="4" s="1"/>
  <c r="G117" i="4" s="1"/>
  <c r="E99" i="4"/>
  <c r="F99" i="4" s="1"/>
  <c r="G99" i="4"/>
  <c r="H98" i="4"/>
  <c r="H74" i="4"/>
  <c r="E75" i="4"/>
  <c r="F75" i="4" s="1"/>
  <c r="G75" i="4" s="1"/>
  <c r="E118" i="4" l="1"/>
  <c r="F118" i="4" s="1"/>
  <c r="G118" i="4" s="1"/>
  <c r="H117" i="4"/>
  <c r="H99" i="4"/>
  <c r="E100" i="4"/>
  <c r="F100" i="4" s="1"/>
  <c r="G100" i="4"/>
  <c r="H75" i="4"/>
  <c r="E76" i="4"/>
  <c r="F76" i="4" s="1"/>
  <c r="G76" i="4"/>
  <c r="H118" i="4" l="1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H101" i="4" l="1"/>
  <c r="E102" i="4"/>
  <c r="F102" i="4" s="1"/>
  <c r="G102" i="4" s="1"/>
  <c r="H77" i="4"/>
  <c r="E78" i="4"/>
  <c r="F78" i="4" s="1"/>
  <c r="G78" i="4" s="1"/>
  <c r="E103" i="4" l="1"/>
  <c r="F103" i="4" s="1"/>
  <c r="G103" i="4"/>
  <c r="H102" i="4"/>
  <c r="H78" i="4"/>
  <c r="E79" i="4"/>
  <c r="F79" i="4" s="1"/>
  <c r="G79" i="4" s="1"/>
  <c r="H103" i="4" l="1"/>
  <c r="E104" i="4"/>
  <c r="F104" i="4" s="1"/>
  <c r="G104" i="4"/>
  <c r="H104" i="4" s="1"/>
  <c r="H79" i="4"/>
  <c r="E80" i="4"/>
  <c r="F80" i="4" s="1"/>
  <c r="G80" i="4"/>
  <c r="H80" i="4" l="1"/>
  <c r="E81" i="4"/>
  <c r="F81" i="4" s="1"/>
  <c r="G81" i="4" s="1"/>
  <c r="H81" i="4" l="1"/>
  <c r="E82" i="4"/>
  <c r="F82" i="4" s="1"/>
  <c r="G82" i="4" s="1"/>
  <c r="F3" i="4"/>
  <c r="G3" i="4" s="1"/>
  <c r="E4" i="4" l="1"/>
  <c r="H3" i="4"/>
  <c r="H82" i="4"/>
  <c r="E83" i="4"/>
  <c r="F83" i="4" s="1"/>
  <c r="G83" i="4" s="1"/>
  <c r="F4" i="4"/>
  <c r="G4" i="4" s="1"/>
  <c r="E5" i="4" l="1"/>
  <c r="F5" i="4" s="1"/>
  <c r="G5" i="4" s="1"/>
  <c r="H4" i="4"/>
  <c r="H83" i="4"/>
  <c r="E84" i="4"/>
  <c r="F84" i="4" s="1"/>
  <c r="G84" i="4"/>
  <c r="H5" i="4" l="1"/>
  <c r="E6" i="4"/>
  <c r="F6" i="4" s="1"/>
  <c r="G6" i="4" s="1"/>
  <c r="H84" i="4"/>
  <c r="E85" i="4"/>
  <c r="F85" i="4" s="1"/>
  <c r="G85" i="4" s="1"/>
  <c r="E7" i="4" l="1"/>
  <c r="F7" i="4" s="1"/>
  <c r="G7" i="4"/>
  <c r="H6" i="4"/>
  <c r="H85" i="4"/>
  <c r="E86" i="4"/>
  <c r="F86" i="4" s="1"/>
  <c r="G86" i="4" s="1"/>
  <c r="H86" i="4" s="1"/>
  <c r="H7" i="4" l="1"/>
  <c r="E8" i="4"/>
  <c r="F8" i="4" s="1"/>
  <c r="G8" i="4" s="1"/>
  <c r="E9" i="4" l="1"/>
  <c r="F9" i="4" s="1"/>
  <c r="G9" i="4" s="1"/>
  <c r="H8" i="4"/>
  <c r="H9" i="4" l="1"/>
  <c r="E10" i="4"/>
  <c r="F10" i="4" s="1"/>
  <c r="G10" i="4" s="1"/>
  <c r="E11" i="4" l="1"/>
  <c r="F11" i="4" s="1"/>
  <c r="G11" i="4" s="1"/>
  <c r="H10" i="4"/>
  <c r="E12" i="4" l="1"/>
  <c r="F12" i="4" s="1"/>
  <c r="G12" i="4" s="1"/>
  <c r="H11" i="4"/>
  <c r="H12" i="4" l="1"/>
  <c r="E13" i="4"/>
  <c r="F13" i="4" s="1"/>
  <c r="G13" i="4" s="1"/>
  <c r="H13" i="4" l="1"/>
  <c r="E14" i="4"/>
  <c r="F14" i="4" s="1"/>
  <c r="G14" i="4" s="1"/>
  <c r="H14" i="4" l="1"/>
  <c r="E15" i="4"/>
  <c r="F15" i="4" s="1"/>
  <c r="G15" i="4" s="1"/>
  <c r="H15" i="4" l="1"/>
  <c r="E16" i="4"/>
  <c r="F16" i="4" s="1"/>
  <c r="G16" i="4" s="1"/>
  <c r="E17" i="4" l="1"/>
  <c r="F17" i="4" s="1"/>
  <c r="G17" i="4" s="1"/>
  <c r="H16" i="4"/>
  <c r="H17" i="4" l="1"/>
  <c r="E18" i="4"/>
  <c r="F18" i="4" s="1"/>
  <c r="G18" i="4" s="1"/>
  <c r="E19" i="4" l="1"/>
  <c r="F19" i="4" s="1"/>
  <c r="G19" i="4" s="1"/>
  <c r="H18" i="4"/>
  <c r="H19" i="4" l="1"/>
  <c r="E20" i="4"/>
  <c r="F20" i="4" s="1"/>
  <c r="G20" i="4" s="1"/>
  <c r="E21" i="4" l="1"/>
  <c r="F21" i="4" s="1"/>
  <c r="G21" i="4" s="1"/>
  <c r="H20" i="4"/>
  <c r="H21" i="4" l="1"/>
  <c r="E22" i="4"/>
  <c r="F22" i="4" s="1"/>
  <c r="G22" i="4" s="1"/>
  <c r="H22" i="4" l="1"/>
  <c r="E23" i="4"/>
  <c r="F23" i="4" s="1"/>
  <c r="G23" i="4" s="1"/>
  <c r="H23" i="4" l="1"/>
  <c r="E24" i="4"/>
  <c r="F24" i="4" s="1"/>
  <c r="G24" i="4" s="1"/>
  <c r="E25" i="4" l="1"/>
  <c r="F25" i="4" s="1"/>
  <c r="G25" i="4" s="1"/>
  <c r="H24" i="4"/>
  <c r="H25" i="4" l="1"/>
  <c r="E26" i="4"/>
  <c r="F26" i="4" s="1"/>
  <c r="G26" i="4" s="1"/>
  <c r="H26" i="4" l="1"/>
  <c r="E27" i="4"/>
  <c r="F27" i="4" s="1"/>
  <c r="G27" i="4" s="1"/>
  <c r="H27" i="4" l="1"/>
  <c r="E28" i="4"/>
  <c r="F28" i="4" s="1"/>
  <c r="G28" i="4" s="1"/>
  <c r="H28" i="4" l="1"/>
  <c r="E29" i="4"/>
  <c r="F29" i="4" s="1"/>
  <c r="G29" i="4" s="1"/>
  <c r="H29" i="4" l="1"/>
  <c r="E30" i="4"/>
  <c r="F30" i="4" s="1"/>
  <c r="G30" i="4" s="1"/>
  <c r="H30" i="4" l="1"/>
  <c r="E31" i="4"/>
  <c r="F31" i="4" s="1"/>
  <c r="G31" i="4" s="1"/>
  <c r="E32" i="4" s="1"/>
  <c r="F32" i="4" s="1"/>
  <c r="G32" i="4" s="1"/>
  <c r="E33" i="4" l="1"/>
  <c r="F33" i="4" s="1"/>
  <c r="G33" i="4" s="1"/>
  <c r="H32" i="4"/>
  <c r="H31" i="4"/>
  <c r="H33" i="4" l="1"/>
  <c r="E34" i="4"/>
  <c r="F34" i="4" s="1"/>
  <c r="G34" i="4" s="1"/>
  <c r="E35" i="4" l="1"/>
  <c r="F35" i="4" s="1"/>
  <c r="G35" i="4" s="1"/>
  <c r="H34" i="4"/>
  <c r="E36" i="4" l="1"/>
  <c r="F36" i="4" s="1"/>
  <c r="G36" i="4" s="1"/>
  <c r="H35" i="4"/>
  <c r="H36" i="4" l="1"/>
  <c r="E37" i="4"/>
  <c r="F37" i="4" s="1"/>
  <c r="G37" i="4" s="1"/>
  <c r="H37" i="4" l="1"/>
  <c r="E38" i="4"/>
  <c r="F38" i="4" s="1"/>
  <c r="G38" i="4" s="1"/>
  <c r="H38" i="4" l="1"/>
  <c r="E39" i="4"/>
  <c r="F39" i="4" s="1"/>
  <c r="G39" i="4" s="1"/>
  <c r="E40" i="4" l="1"/>
  <c r="F40" i="4" s="1"/>
  <c r="G40" i="4" s="1"/>
  <c r="H39" i="4"/>
  <c r="H40" i="4" l="1"/>
  <c r="E41" i="4"/>
  <c r="F41" i="4" s="1"/>
  <c r="G41" i="4" s="1"/>
  <c r="E42" i="4" l="1"/>
  <c r="F42" i="4" s="1"/>
  <c r="G42" i="4" s="1"/>
  <c r="H41" i="4"/>
  <c r="E43" i="4" l="1"/>
  <c r="F43" i="4" s="1"/>
  <c r="G43" i="4" s="1"/>
  <c r="H42" i="4"/>
  <c r="E44" i="4" l="1"/>
  <c r="F44" i="4" s="1"/>
  <c r="G44" i="4" s="1"/>
  <c r="H43" i="4"/>
  <c r="H44" i="4" l="1"/>
  <c r="E45" i="4"/>
  <c r="F45" i="4" s="1"/>
  <c r="G45" i="4" s="1"/>
  <c r="H45" i="4" l="1"/>
  <c r="E46" i="4"/>
  <c r="F46" i="4" s="1"/>
  <c r="G46" i="4" s="1"/>
  <c r="H46" i="4" l="1"/>
  <c r="E47" i="4"/>
  <c r="F47" i="4" s="1"/>
  <c r="G47" i="4" s="1"/>
  <c r="H47" i="4" l="1"/>
  <c r="E48" i="4"/>
  <c r="F48" i="4" s="1"/>
  <c r="G48" i="4" s="1"/>
  <c r="E49" i="4" l="1"/>
  <c r="F49" i="4" s="1"/>
  <c r="G49" i="4" s="1"/>
  <c r="H48" i="4"/>
  <c r="E50" i="4" l="1"/>
  <c r="F50" i="4" s="1"/>
  <c r="G50" i="4" s="1"/>
  <c r="H49" i="4"/>
  <c r="H50" i="4" l="1"/>
  <c r="E51" i="4"/>
  <c r="F51" i="4" s="1"/>
  <c r="G51" i="4" s="1"/>
  <c r="H51" i="4" l="1"/>
  <c r="E52" i="4"/>
  <c r="F52" i="4" s="1"/>
  <c r="G52" i="4" s="1"/>
  <c r="E53" i="4" l="1"/>
  <c r="F53" i="4" s="1"/>
  <c r="H52" i="4"/>
  <c r="G53" i="4"/>
  <c r="H53" i="4" l="1"/>
  <c r="E54" i="4"/>
  <c r="F54" i="4" s="1"/>
  <c r="G54" i="4" s="1"/>
  <c r="E55" i="4" l="1"/>
  <c r="F55" i="4" s="1"/>
  <c r="G55" i="4" s="1"/>
  <c r="H54" i="4"/>
  <c r="E56" i="4" l="1"/>
  <c r="F56" i="4" s="1"/>
  <c r="G56" i="4" s="1"/>
  <c r="H55" i="4"/>
  <c r="H56" i="4" l="1"/>
  <c r="E57" i="4"/>
  <c r="F57" i="4" s="1"/>
  <c r="G57" i="4" s="1"/>
  <c r="E58" i="4" l="1"/>
  <c r="F58" i="4" s="1"/>
  <c r="G58" i="4" s="1"/>
  <c r="H57" i="4"/>
  <c r="E59" i="4" l="1"/>
  <c r="F59" i="4" s="1"/>
  <c r="G59" i="4" s="1"/>
  <c r="H58" i="4"/>
  <c r="H59" i="4" l="1"/>
  <c r="E60" i="4"/>
  <c r="F60" i="4" s="1"/>
  <c r="G60" i="4" s="1"/>
  <c r="E61" i="4" l="1"/>
  <c r="F61" i="4" s="1"/>
  <c r="G61" i="4" s="1"/>
  <c r="H60" i="4"/>
  <c r="H61" i="4" l="1"/>
  <c r="E62" i="4"/>
  <c r="F62" i="4" s="1"/>
  <c r="G62" i="4" s="1"/>
  <c r="H62" i="4" l="1"/>
  <c r="E63" i="4"/>
  <c r="F63" i="4" s="1"/>
  <c r="G63" i="4" s="1"/>
  <c r="H63" i="4" l="1"/>
  <c r="E64" i="4"/>
  <c r="F64" i="4" s="1"/>
  <c r="G64" i="4" s="1"/>
  <c r="E65" i="4" l="1"/>
  <c r="F65" i="4" s="1"/>
  <c r="G65" i="4" s="1"/>
  <c r="H64" i="4"/>
  <c r="E66" i="4" l="1"/>
  <c r="F66" i="4" s="1"/>
  <c r="G66" i="4" s="1"/>
  <c r="H65" i="4"/>
  <c r="H66" i="4" l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<sst xmlns="http://schemas.openxmlformats.org/spreadsheetml/2006/main" count="25" uniqueCount="24">
  <si>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</si>
  <si>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</si>
  <si>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</si>
  <si>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</si>
  <si>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</si>
  <si>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</si>
  <si>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</si>
  <si>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</si>
  <si>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</si>
  <si>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</si>
  <si>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</si>
  <si>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</si>
  <si>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</si>
  <si>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</si>
  <si>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</si>
  <si>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</si>
  <si>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</si>
  <si>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</si>
  <si>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</si>
  <si>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</si>
  <si>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</si>
  <si>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Sanasam_Sonia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</si>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</sst>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  <xf numFmtId="165" fontId="4" fillId="5" borderId="9" xfId="0" applyNumberFormat="1" applyFont="1" applyFill="1" applyBorder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62" activePane="bottomLeft" state="frozen"/>
      <selection pane="bottomLeft" activeCell="A68" sqref="A68:A71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46092</v>
      </c>
      <c r="B2" s="23">
        <f>IF(A2&lt;&gt;"",1,"")</f>
        <v>1</v>
      </c>
      <c r="C2" s="3"/>
      <c r="D2" s="4">
        <f t="shared" ref="D2:D33" si="0">IF(AND($A2&lt;&gt;"",$B2&lt;&gt;""),$K$9,"")</f>
        <v>200</v>
      </c>
      <c r="E2" s="4">
        <f>IF(AND($A2&lt;&gt;"",$B2&lt;&gt;""),$K$7*$K$8,"")</f>
        <v>62.283638920024281</v>
      </c>
      <c r="F2" s="4">
        <f>IF(AND($A2&lt;&gt;"",$B2&lt;&gt;""),D2-E2,"")</f>
        <v>137.71636107997571</v>
      </c>
      <c r="G2" s="4">
        <f>IF(AND($A2&lt;&gt;"",$B2&lt;&gt;""),$K$7-F2,"")</f>
        <v>19862.283638920024</v>
      </c>
      <c r="H2" s="4">
        <f>IF(AND($A2&lt;&gt;"",$B2&lt;&gt;""),$K$7-G2,"")</f>
        <v>137.7163610799762</v>
      </c>
      <c r="J2" s="5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L20000D120-Sanasam_Sonia-NLoan1</v>
      </c>
    </row>
    <row r="3" spans="1:12" x14ac:dyDescent="0.3">
      <c r="A3" s="19">
        <v>46092</v>
      </c>
      <c r="B3" s="24">
        <f>IF(A3&lt;&gt;"",B2+1,"")</f>
        <v>2</v>
      </c>
      <c r="C3" s="20"/>
      <c r="D3" s="21">
        <f t="shared" si="0"/>
        <v>200</v>
      </c>
      <c r="E3" s="21">
        <f t="shared" ref="E3:E34" si="1">IF(AND($A3&lt;&gt;"",$B3&lt;&gt;""),G2*$K$8,"")</f>
        <v>61.854765114680035</v>
      </c>
      <c r="F3" s="21">
        <f>IF(AND($A3&lt;&gt;"",$B3&lt;&gt;""),D3-E3,"")</f>
        <v>138.14523488531995</v>
      </c>
      <c r="G3" s="21">
        <f>IF(AND($A3&lt;&gt;"",$B3&lt;&gt;""),G2-F3,"")</f>
        <v>19724.138404034704</v>
      </c>
      <c r="H3" s="21">
        <f t="shared" ref="H3:H34" si="2">IF(AND($A3&lt;&gt;"",$B3&lt;&gt;""),$K$7-G3,"")</f>
        <v>275.86159596529615</v>
      </c>
      <c r="J3" s="5" t="s">
        <v>10</v>
      </c>
      <c r="K3" s="26" t="s">
        <v>21</v>
      </c>
    </row>
    <row r="4" spans="1:12" x14ac:dyDescent="0.3">
      <c r="A4" s="2">
        <v>46092</v>
      </c>
      <c r="B4" s="23">
        <f t="shared" ref="B4:B67" si="3">IF(A4&lt;&gt;"",B3+1,"")</f>
        <v>3</v>
      </c>
      <c r="C4" s="3"/>
      <c r="D4" s="4">
        <f t="shared" si="0"/>
        <v>200</v>
      </c>
      <c r="E4" s="4">
        <f t="shared" si="1"/>
        <v>61.424555718274078</v>
      </c>
      <c r="F4" s="4">
        <f>IF(AND($A4&lt;&gt;"",$B4&lt;&gt;""),D4-E4,"")</f>
        <v>138.57544428172594</v>
      </c>
      <c r="G4" s="4">
        <f>IF(AND($A4&lt;&gt;"",$B4&lt;&gt;""),G3-F4,"")</f>
        <v>19585.562959752977</v>
      </c>
      <c r="H4" s="4">
        <f t="shared" si="2"/>
        <v>414.43704024702311</v>
      </c>
      <c r="J4" s="5" t="s">
        <v>11</v>
      </c>
      <c r="K4" s="26"/>
    </row>
    <row r="5" spans="1:12" x14ac:dyDescent="0.3">
      <c r="A5" s="19">
        <v>46092</v>
      </c>
      <c r="B5" s="24">
        <f t="shared" si="3"/>
        <v>4</v>
      </c>
      <c r="C5" s="20"/>
      <c r="D5" s="21">
        <f t="shared" si="0"/>
        <v>200</v>
      </c>
      <c r="E5" s="21">
        <f t="shared" si="1"/>
        <v>60.993006571532824</v>
      </c>
      <c r="F5" s="21">
        <f>IF(AND($A5&lt;&gt;"",$B5&lt;&gt;""),D5-E5,"")</f>
        <v>139.00699342846718</v>
      </c>
      <c r="G5" s="21">
        <f>IF(AND($A5&lt;&gt;"",$B5&lt;&gt;""),G4-F5,"")</f>
        <v>19446.555966324511</v>
      </c>
      <c r="H5" s="21">
        <f t="shared" si="2"/>
        <v>553.44403367548875</v>
      </c>
      <c r="J5" s="5" t="s">
        <v>12</v>
      </c>
      <c r="K5" s="26"/>
    </row>
    <row r="6" spans="1:12" x14ac:dyDescent="0.3">
      <c r="A6" s="2">
        <v>46092</v>
      </c>
      <c r="B6" s="23">
        <f t="shared" si="3"/>
        <v>5</v>
      </c>
      <c r="C6" s="3"/>
      <c r="D6" s="4">
        <f t="shared" si="0"/>
        <v>200</v>
      </c>
      <c r="E6" s="4">
        <f t="shared" si="1"/>
        <v>60.560113502229989</v>
      </c>
      <c r="F6" s="4">
        <f>IF(AND($A6&lt;&gt;"",$B6&lt;&gt;""),D6-E6,"")</f>
        <v>139.43988649777</v>
      </c>
      <c r="G6" s="4">
        <f t="shared" ref="G6:G69" si="4">IF(AND($A6&lt;&gt;"",$B6&lt;&gt;""),G5-F6,"")</f>
        <v>19307.116079826741</v>
      </c>
      <c r="H6" s="4">
        <f t="shared" si="2"/>
        <v>692.88392017325896</v>
      </c>
      <c r="J6" s="5" t="s">
        <v>13</v>
      </c>
      <c r="K6" s="26"/>
    </row>
    <row r="7" spans="1:12" x14ac:dyDescent="0.3">
      <c r="A7" s="19">
        <v>46099</v>
      </c>
      <c r="B7" s="24">
        <f t="shared" si="3"/>
        <v>6</v>
      </c>
      <c r="C7" s="20"/>
      <c r="D7" s="21">
        <f t="shared" si="0"/>
        <v>200</v>
      </c>
      <c r="E7" s="21">
        <f t="shared" si="1"/>
        <v>60.125872325146176</v>
      </c>
      <c r="F7" s="21">
        <f t="shared" ref="F7:F70" si="5">IF(AND($A7&lt;&gt;"",$B7&lt;&gt;""),D7-E7,"")</f>
        <v>139.87412767485381</v>
      </c>
      <c r="G7" s="21">
        <f t="shared" si="4"/>
        <v>19167.241952151886</v>
      </c>
      <c r="H7" s="21">
        <f t="shared" si="2"/>
        <v>832.75804784811407</v>
      </c>
      <c r="J7" s="5" t="s">
        <v>7</v>
      </c>
      <c r="K7" s="27">
        <v>20000</v>
      </c>
    </row>
    <row r="8" spans="1:12" x14ac:dyDescent="0.3">
      <c r="A8" s="2">
        <v>46099</v>
      </c>
      <c r="B8" s="23">
        <f t="shared" si="3"/>
        <v>7</v>
      </c>
      <c r="C8" s="3"/>
      <c r="D8" s="4">
        <f t="shared" si="0"/>
        <v>200</v>
      </c>
      <c r="E8" s="4">
        <f t="shared" si="1"/>
        <v>59.690278842028469</v>
      </c>
      <c r="F8" s="4">
        <f t="shared" si="5"/>
        <v>140.30972115797152</v>
      </c>
      <c r="G8" s="4">
        <f t="shared" si="4"/>
        <v>19026.932230993916</v>
      </c>
      <c r="H8" s="4">
        <f t="shared" si="2"/>
        <v>973.06776900608384</v>
      </c>
      <c r="J8" s="5" t="s">
        <v>14</v>
      </c>
      <c r="K8" s="28">
        <f>RATE(K10,-K9,K7)</f>
        <v>3.1141819460012141E-3</v>
      </c>
    </row>
    <row r="9" spans="1:12" x14ac:dyDescent="0.3">
      <c r="A9" s="19">
        <v>46099</v>
      </c>
      <c r="B9" s="24">
        <f t="shared" si="3"/>
        <v>8</v>
      </c>
      <c r="C9" s="20"/>
      <c r="D9" s="21">
        <f t="shared" si="0"/>
        <v>200</v>
      </c>
      <c r="E9" s="21">
        <f t="shared" si="1"/>
        <v>59.253328841549859</v>
      </c>
      <c r="F9" s="21">
        <f t="shared" si="5"/>
        <v>140.74667115845014</v>
      </c>
      <c r="G9" s="21">
        <f t="shared" si="4"/>
        <v>18886.185559835467</v>
      </c>
      <c r="H9" s="21">
        <f t="shared" si="2"/>
        <v>1113.8144401645332</v>
      </c>
      <c r="J9" s="5" t="s">
        <v>8</v>
      </c>
      <c r="K9" s="29">
        <v>200</v>
      </c>
    </row>
    <row r="10" spans="1:12" x14ac:dyDescent="0.3">
      <c r="A10" s="2">
        <v>46099</v>
      </c>
      <c r="B10" s="23">
        <f t="shared" si="3"/>
        <v>9</v>
      </c>
      <c r="C10" s="3"/>
      <c r="D10" s="4">
        <f t="shared" si="0"/>
        <v>200</v>
      </c>
      <c r="E10" s="4">
        <f t="shared" si="1"/>
        <v>58.815018099268443</v>
      </c>
      <c r="F10" s="4">
        <f t="shared" si="5"/>
        <v>141.18498190073154</v>
      </c>
      <c r="G10" s="4">
        <f t="shared" si="4"/>
        <v>18745.000577934734</v>
      </c>
      <c r="H10" s="4">
        <f t="shared" si="2"/>
        <v>1254.9994220652661</v>
      </c>
      <c r="J10" s="5" t="s">
        <v>15</v>
      </c>
      <c r="K10" s="30">
        <v>120</v>
      </c>
    </row>
    <row r="11" spans="1:12" ht="17.25" thickBot="1" x14ac:dyDescent="0.35">
      <c r="A11" s="19">
        <v>46099</v>
      </c>
      <c r="B11" s="24">
        <f t="shared" si="3"/>
        <v>10</v>
      </c>
      <c r="C11" s="20"/>
      <c r="D11" s="21">
        <f t="shared" si="0"/>
        <v>200</v>
      </c>
      <c r="E11" s="21">
        <f t="shared" si="1"/>
        <v>58.375342377586676</v>
      </c>
      <c r="F11" s="21">
        <f t="shared" si="5"/>
        <v>141.62465762241334</v>
      </c>
      <c r="G11" s="21">
        <f t="shared" si="4"/>
        <v>18603.375920312319</v>
      </c>
      <c r="H11" s="21">
        <f t="shared" si="2"/>
        <v>1396.6240796876809</v>
      </c>
      <c r="J11" s="8"/>
      <c r="L11" s="22"/>
    </row>
    <row r="12" spans="1:12" x14ac:dyDescent="0.3">
      <c r="A12" s="2">
        <v>46104</v>
      </c>
      <c r="B12" s="23">
        <f t="shared" si="3"/>
        <v>11</v>
      </c>
      <c r="C12" s="3"/>
      <c r="D12" s="4">
        <f t="shared" si="0"/>
        <v>200</v>
      </c>
      <c r="E12" s="4">
        <f t="shared" si="1"/>
        <v>57.934297425710348</v>
      </c>
      <c r="F12" s="4">
        <f t="shared" si="5"/>
        <v>142.06570257428965</v>
      </c>
      <c r="G12" s="4">
        <f t="shared" si="4"/>
        <v>18461.310217738028</v>
      </c>
      <c r="H12" s="4">
        <f t="shared" si="2"/>
        <v>1538.6897822619721</v>
      </c>
      <c r="J12" s="9" t="s">
        <v>16</v>
      </c>
      <c r="K12" s="10">
        <f>IFERROR(MAX($B:$B),"")</f>
        <v>70</v>
      </c>
    </row>
    <row r="13" spans="1:12" x14ac:dyDescent="0.3">
      <c r="A13" s="19">
        <v>46104</v>
      </c>
      <c r="B13" s="24">
        <f t="shared" si="3"/>
        <v>12</v>
      </c>
      <c r="C13" s="20"/>
      <c r="D13" s="21">
        <f t="shared" si="0"/>
        <v>200</v>
      </c>
      <c r="E13" s="21">
        <f t="shared" si="1"/>
        <v>57.491878979607513</v>
      </c>
      <c r="F13" s="21">
        <f t="shared" si="5"/>
        <v>142.50812102039248</v>
      </c>
      <c r="G13" s="21">
        <f t="shared" si="4"/>
        <v>18318.802096717634</v>
      </c>
      <c r="H13" s="21">
        <f t="shared" si="2"/>
        <v>1681.1979032823656</v>
      </c>
      <c r="J13" s="31" t="s">
        <v>22</v>
      </c>
      <c r="K13" s="12">
        <f>(K10*K9)-K9*K12</f>
        <v>10000</v>
      </c>
    </row>
    <row r="14" spans="1:12" x14ac:dyDescent="0.3">
      <c r="A14" s="2">
        <v>46104</v>
      </c>
      <c r="B14" s="23">
        <f t="shared" si="3"/>
        <v>13</v>
      </c>
      <c r="C14" s="3"/>
      <c r="D14" s="4">
        <f t="shared" si="0"/>
        <v>200</v>
      </c>
      <c r="E14" s="4">
        <f t="shared" si="1"/>
        <v>57.048082761967244</v>
      </c>
      <c r="F14" s="4">
        <f t="shared" si="5"/>
        <v>142.95191723803276</v>
      </c>
      <c r="G14" s="4">
        <f t="shared" si="4"/>
        <v>18175.850179479603</v>
      </c>
      <c r="H14" s="4">
        <f t="shared" si="2"/>
        <v>1824.149820520397</v>
      </c>
      <c r="J14" s="11" t="s">
        <v>23</v>
      </c>
      <c r="K14" s="12">
        <f>IF(A2="", K9*K10, IFERROR(INDEX($G:$G, MATCH($K$12, $B:$B, 0)), 0))</f>
        <v>9247.0384022978469</v>
      </c>
    </row>
    <row r="15" spans="1:12" ht="17.25" thickBot="1" x14ac:dyDescent="0.35">
      <c r="A15" s="19">
        <v>46104</v>
      </c>
      <c r="B15" s="24">
        <f t="shared" si="3"/>
        <v>14</v>
      </c>
      <c r="C15" s="20"/>
      <c r="D15" s="21">
        <f t="shared" si="0"/>
        <v>200</v>
      </c>
      <c r="E15" s="21">
        <f t="shared" si="1"/>
        <v>56.602904482158308</v>
      </c>
      <c r="F15" s="21">
        <f t="shared" si="5"/>
        <v>143.39709551784171</v>
      </c>
      <c r="G15" s="21">
        <f t="shared" si="4"/>
        <v>18032.453083961762</v>
      </c>
      <c r="H15" s="21">
        <f t="shared" si="2"/>
        <v>1967.5469160382381</v>
      </c>
      <c r="J15" s="13" t="s">
        <v>6</v>
      </c>
      <c r="K15" s="14">
        <f>IFERROR(INDEX($H:$H, MATCH($K$12, $B:$B, 0)), 0)</f>
        <v>10752.961597702153</v>
      </c>
    </row>
    <row r="16" spans="1:12" x14ac:dyDescent="0.3">
      <c r="A16" s="2">
        <v>46104</v>
      </c>
      <c r="B16" s="23">
        <f t="shared" si="3"/>
        <v>15</v>
      </c>
      <c r="C16" s="3"/>
      <c r="D16" s="4">
        <f t="shared" si="0"/>
        <v>200</v>
      </c>
      <c r="E16" s="4">
        <f t="shared" si="1"/>
        <v>56.156339836187634</v>
      </c>
      <c r="F16" s="4">
        <f t="shared" si="5"/>
        <v>143.84366016381236</v>
      </c>
      <c r="G16" s="4">
        <f t="shared" si="4"/>
        <v>17888.609423797949</v>
      </c>
      <c r="H16" s="4">
        <f t="shared" si="2"/>
        <v>2111.3905762020513</v>
      </c>
      <c r="J16" s="15" t="s">
        <v>18</v>
      </c>
      <c r="K16" s="16">
        <f>IF(A2,A2, "")</f>
        <v>46092</v>
      </c>
    </row>
    <row r="17" spans="1:11" x14ac:dyDescent="0.3">
      <c r="A17" s="19">
        <v>46114</v>
      </c>
      <c r="B17" s="24">
        <f t="shared" si="3"/>
        <v>16</v>
      </c>
      <c r="C17" s="20"/>
      <c r="D17" s="21">
        <f t="shared" si="0"/>
        <v>200</v>
      </c>
      <c r="E17" s="21">
        <f t="shared" si="1"/>
        <v>55.708384506658753</v>
      </c>
      <c r="F17" s="21">
        <f t="shared" si="5"/>
        <v>144.29161549334125</v>
      </c>
      <c r="G17" s="21">
        <f t="shared" si="4"/>
        <v>17744.317808304608</v>
      </c>
      <c r="H17" s="21">
        <f t="shared" si="2"/>
        <v>2255.6821916953922</v>
      </c>
      <c r="J17" s="17" t="s">
        <v>19</v>
      </c>
      <c r="K17" s="18">
        <f xml:space="preserve"> IF(A2,(K16 + 120),"")</f>
        <v>46212</v>
      </c>
    </row>
    <row r="18" spans="1:11" x14ac:dyDescent="0.3">
      <c r="A18" s="2">
        <v>46114</v>
      </c>
      <c r="B18" s="23">
        <f t="shared" si="3"/>
        <v>17</v>
      </c>
      <c r="C18" s="3"/>
      <c r="D18" s="4">
        <f t="shared" si="0"/>
        <v>200</v>
      </c>
      <c r="E18" s="4">
        <f t="shared" si="1"/>
        <v>55.259034162730046</v>
      </c>
      <c r="F18" s="4">
        <f t="shared" si="5"/>
        <v>144.74096583726995</v>
      </c>
      <c r="G18" s="4">
        <f t="shared" si="4"/>
        <v>17599.576842467337</v>
      </c>
      <c r="H18" s="4">
        <f t="shared" si="2"/>
        <v>2400.423157532663</v>
      </c>
    </row>
    <row r="19" spans="1:11" x14ac:dyDescent="0.3">
      <c r="A19" s="19">
        <v>46114</v>
      </c>
      <c r="B19" s="24">
        <f t="shared" si="3"/>
        <v>18</v>
      </c>
      <c r="C19" s="20"/>
      <c r="D19" s="21">
        <f t="shared" si="0"/>
        <v>200</v>
      </c>
      <c r="E19" s="21">
        <f t="shared" si="1"/>
        <v>54.808284460072834</v>
      </c>
      <c r="F19" s="21">
        <f t="shared" si="5"/>
        <v>145.19171553992717</v>
      </c>
      <c r="G19" s="21">
        <f t="shared" si="4"/>
        <v>17454.385126927409</v>
      </c>
      <c r="H19" s="21">
        <f t="shared" si="2"/>
        <v>2545.6148730725909</v>
      </c>
    </row>
    <row r="20" spans="1:11" x14ac:dyDescent="0.3">
      <c r="A20" s="2">
        <v>46114</v>
      </c>
      <c r="B20" s="23">
        <f t="shared" si="3"/>
        <v>19</v>
      </c>
      <c r="C20" s="3"/>
      <c r="D20" s="4">
        <f t="shared" si="0"/>
        <v>200</v>
      </c>
      <c r="E20" s="4">
        <f t="shared" si="1"/>
        <v>54.356131040829446</v>
      </c>
      <c r="F20" s="4">
        <f t="shared" si="5"/>
        <v>145.64386895917056</v>
      </c>
      <c r="G20" s="4">
        <f t="shared" si="4"/>
        <v>17308.741257968239</v>
      </c>
      <c r="H20" s="4">
        <f t="shared" si="2"/>
        <v>2691.2587420317614</v>
      </c>
      <c r="J20" s="22"/>
      <c r="K20" s="22"/>
    </row>
    <row r="21" spans="1:11" x14ac:dyDescent="0.3">
      <c r="A21" s="19">
        <v>46114</v>
      </c>
      <c r="B21" s="24">
        <f t="shared" si="3"/>
        <v>20</v>
      </c>
      <c r="C21" s="20"/>
      <c r="D21" s="21">
        <f t="shared" si="0"/>
        <v>200</v>
      </c>
      <c r="E21" s="21">
        <f t="shared" si="1"/>
        <v>53.902569533571032</v>
      </c>
      <c r="F21" s="21">
        <f t="shared" si="5"/>
        <v>146.09743046642896</v>
      </c>
      <c r="G21" s="21">
        <f t="shared" si="4"/>
        <v>17162.643827501808</v>
      </c>
      <c r="H21" s="21">
        <f t="shared" si="2"/>
        <v>2837.3561724981919</v>
      </c>
    </row>
    <row r="22" spans="1:11" x14ac:dyDescent="0.3">
      <c r="A22" s="2">
        <v>46143</v>
      </c>
      <c r="B22" s="23">
        <f t="shared" si="3"/>
        <v>21</v>
      </c>
      <c r="C22" s="3"/>
      <c r="D22" s="4">
        <f t="shared" si="0"/>
        <v>200</v>
      </c>
      <c r="E22" s="4">
        <f t="shared" si="1"/>
        <v>53.447595553255304</v>
      </c>
      <c r="F22" s="4">
        <f t="shared" si="5"/>
        <v>146.5524044467447</v>
      </c>
      <c r="G22" s="4">
        <f t="shared" si="4"/>
        <v>17016.091423055062</v>
      </c>
      <c r="H22" s="4">
        <f t="shared" si="2"/>
        <v>2983.9085769449375</v>
      </c>
    </row>
    <row r="23" spans="1:11" x14ac:dyDescent="0.3">
      <c r="A23" s="19">
        <v>46143</v>
      </c>
      <c r="B23" s="24">
        <f t="shared" si="3"/>
        <v>22</v>
      </c>
      <c r="C23" s="20"/>
      <c r="D23" s="21">
        <f t="shared" si="0"/>
        <v>200</v>
      </c>
      <c r="E23" s="21">
        <f t="shared" si="1"/>
        <v>52.991204701184181</v>
      </c>
      <c r="F23" s="21">
        <f t="shared" si="5"/>
        <v>147.00879529881581</v>
      </c>
      <c r="G23" s="21">
        <f t="shared" si="4"/>
        <v>16869.082627756248</v>
      </c>
      <c r="H23" s="21">
        <f t="shared" si="2"/>
        <v>3130.9173722437517</v>
      </c>
    </row>
    <row r="24" spans="1:11" x14ac:dyDescent="0.3">
      <c r="A24" s="2">
        <v>46143</v>
      </c>
      <c r="B24" s="23">
        <f t="shared" si="3"/>
        <v>23</v>
      </c>
      <c r="C24" s="3"/>
      <c r="D24" s="4">
        <f t="shared" si="0"/>
        <v>200</v>
      </c>
      <c r="E24" s="4">
        <f t="shared" si="1"/>
        <v>52.533392564961225</v>
      </c>
      <c r="F24" s="4">
        <f t="shared" si="5"/>
        <v>147.46660743503878</v>
      </c>
      <c r="G24" s="4">
        <f t="shared" si="4"/>
        <v>16721.616020321209</v>
      </c>
      <c r="H24" s="4">
        <f t="shared" si="2"/>
        <v>3278.3839796787906</v>
      </c>
    </row>
    <row r="25" spans="1:11" x14ac:dyDescent="0.3">
      <c r="A25" s="19">
        <v>46143</v>
      </c>
      <c r="B25" s="24">
        <f t="shared" si="3"/>
        <v>24</v>
      </c>
      <c r="C25" s="20"/>
      <c r="D25" s="21">
        <f t="shared" si="0"/>
        <v>200</v>
      </c>
      <c r="E25" s="21">
        <f t="shared" si="1"/>
        <v>52.07415471844898</v>
      </c>
      <c r="F25" s="21">
        <f t="shared" si="5"/>
        <v>147.92584528155101</v>
      </c>
      <c r="G25" s="21">
        <f t="shared" si="4"/>
        <v>16573.690175039657</v>
      </c>
      <c r="H25" s="21">
        <f t="shared" si="2"/>
        <v>3426.3098249603427</v>
      </c>
    </row>
    <row r="26" spans="1:11" x14ac:dyDescent="0.3">
      <c r="A26" s="2">
        <v>46143</v>
      </c>
      <c r="B26" s="23">
        <f t="shared" si="3"/>
        <v>25</v>
      </c>
      <c r="C26" s="3"/>
      <c r="D26" s="4">
        <f t="shared" si="0"/>
        <v>200</v>
      </c>
      <c r="E26" s="4">
        <f t="shared" si="1"/>
        <v>51.613486721726204</v>
      </c>
      <c r="F26" s="4">
        <f t="shared" si="5"/>
        <v>148.38651327827381</v>
      </c>
      <c r="G26" s="4">
        <f t="shared" si="4"/>
        <v>16425.303661761383</v>
      </c>
      <c r="H26" s="4">
        <f t="shared" si="2"/>
        <v>3574.6963382386166</v>
      </c>
    </row>
    <row r="27" spans="1:11" x14ac:dyDescent="0.3">
      <c r="A27" s="19">
        <v>46143</v>
      </c>
      <c r="B27" s="24">
        <f t="shared" si="3"/>
        <v>26</v>
      </c>
      <c r="C27" s="20"/>
      <c r="D27" s="21">
        <f t="shared" si="0"/>
        <v>200</v>
      </c>
      <c r="E27" s="21">
        <f t="shared" si="1"/>
        <v>51.151384121044934</v>
      </c>
      <c r="F27" s="21">
        <f t="shared" si="5"/>
        <v>148.84861587895506</v>
      </c>
      <c r="G27" s="21">
        <f t="shared" si="4"/>
        <v>16276.455045882429</v>
      </c>
      <c r="H27" s="21">
        <f t="shared" si="2"/>
        <v>3723.5449541175713</v>
      </c>
    </row>
    <row r="28" spans="1:11" x14ac:dyDescent="0.3">
      <c r="A28" s="2">
        <v>46143</v>
      </c>
      <c r="B28" s="23">
        <f t="shared" si="3"/>
        <v>27</v>
      </c>
      <c r="C28" s="3"/>
      <c r="D28" s="4">
        <f t="shared" si="0"/>
        <v>200</v>
      </c>
      <c r="E28" s="4">
        <f t="shared" si="1"/>
        <v>50.687842448787421</v>
      </c>
      <c r="F28" s="4">
        <f t="shared" si="5"/>
        <v>149.31215755121258</v>
      </c>
      <c r="G28" s="4">
        <f t="shared" si="4"/>
        <v>16127.142888331216</v>
      </c>
      <c r="H28" s="4">
        <f t="shared" si="2"/>
        <v>3872.8571116687835</v>
      </c>
    </row>
    <row r="29" spans="1:11" x14ac:dyDescent="0.3">
      <c r="A29" s="19">
        <v>46143</v>
      </c>
      <c r="B29" s="24">
        <f t="shared" si="3"/>
        <v>28</v>
      </c>
      <c r="C29" s="20"/>
      <c r="D29" s="21">
        <f t="shared" si="0"/>
        <v>200</v>
      </c>
      <c r="E29" s="21">
        <f t="shared" si="1"/>
        <v>50.222857223422949</v>
      </c>
      <c r="F29" s="21">
        <f t="shared" si="5"/>
        <v>149.77714277657705</v>
      </c>
      <c r="G29" s="21">
        <f t="shared" si="4"/>
        <v>15977.36574555464</v>
      </c>
      <c r="H29" s="21">
        <f t="shared" si="2"/>
        <v>4022.6342544453601</v>
      </c>
    </row>
    <row r="30" spans="1:11" x14ac:dyDescent="0.3">
      <c r="A30" s="2">
        <v>46143</v>
      </c>
      <c r="B30" s="23">
        <f t="shared" si="3"/>
        <v>29</v>
      </c>
      <c r="C30" s="3"/>
      <c r="D30" s="4">
        <f t="shared" si="0"/>
        <v>200</v>
      </c>
      <c r="E30" s="4">
        <f t="shared" si="1"/>
        <v>49.756423949464491</v>
      </c>
      <c r="F30" s="4">
        <f t="shared" si="5"/>
        <v>150.24357605053552</v>
      </c>
      <c r="G30" s="4">
        <f t="shared" si="4"/>
        <v>15827.122169504104</v>
      </c>
      <c r="H30" s="4">
        <f t="shared" si="2"/>
        <v>4172.877830495896</v>
      </c>
    </row>
    <row r="31" spans="1:11" x14ac:dyDescent="0.3">
      <c r="A31" s="19">
        <v>46143</v>
      </c>
      <c r="B31" s="24">
        <f t="shared" si="3"/>
        <v>30</v>
      </c>
      <c r="C31" s="20"/>
      <c r="D31" s="21">
        <f t="shared" si="0"/>
        <v>200</v>
      </c>
      <c r="E31" s="21">
        <f t="shared" si="1"/>
        <v>49.288538117425247</v>
      </c>
      <c r="F31" s="21">
        <f t="shared" si="5"/>
        <v>150.71146188257475</v>
      </c>
      <c r="G31" s="21">
        <f t="shared" si="4"/>
        <v>15676.41070762153</v>
      </c>
      <c r="H31" s="21">
        <f t="shared" si="2"/>
        <v>4323.5892923784704</v>
      </c>
    </row>
    <row r="32" spans="1:11" x14ac:dyDescent="0.3">
      <c r="A32" s="2">
        <v>46150</v>
      </c>
      <c r="B32" s="23">
        <f t="shared" si="3"/>
        <v>31</v>
      </c>
      <c r="C32" s="3"/>
      <c r="D32" s="4">
        <f t="shared" si="0"/>
        <v>200</v>
      </c>
      <c r="E32" s="4">
        <f t="shared" si="1"/>
        <v>48.819195203775088</v>
      </c>
      <c r="F32" s="4">
        <f t="shared" si="5"/>
        <v>151.18080479622492</v>
      </c>
      <c r="G32" s="4">
        <f t="shared" si="4"/>
        <v>15525.229902825306</v>
      </c>
      <c r="H32" s="4">
        <f t="shared" si="2"/>
        <v>4474.7700971746945</v>
      </c>
    </row>
    <row r="33" spans="1:8" x14ac:dyDescent="0.3">
      <c r="A33" s="19">
        <v>46150</v>
      </c>
      <c r="B33" s="24">
        <f t="shared" si="3"/>
        <v>32</v>
      </c>
      <c r="C33" s="20"/>
      <c r="D33" s="21">
        <f t="shared" si="0"/>
        <v>200</v>
      </c>
      <c r="E33" s="21">
        <f t="shared" si="1"/>
        <v>48.348390670896748</v>
      </c>
      <c r="F33" s="21">
        <f t="shared" si="5"/>
        <v>151.65160932910325</v>
      </c>
      <c r="G33" s="21">
        <f t="shared" si="4"/>
        <v>15373.578293496203</v>
      </c>
      <c r="H33" s="21">
        <f t="shared" si="2"/>
        <v>4626.4217065037974</v>
      </c>
    </row>
    <row r="34" spans="1:8" x14ac:dyDescent="0.3">
      <c r="A34" s="2">
        <v>46150</v>
      </c>
      <c r="B34" s="23">
        <f t="shared" si="3"/>
        <v>33</v>
      </c>
      <c r="C34" s="3"/>
      <c r="D34" s="4">
        <f t="shared" ref="D34:D65" si="6">IF(AND($A34&lt;&gt;"",$B34&lt;&gt;""),$K$9,"")</f>
        <v>200</v>
      </c>
      <c r="E34" s="4">
        <f t="shared" si="1"/>
        <v>47.87611996704203</v>
      </c>
      <c r="F34" s="4">
        <f t="shared" si="5"/>
        <v>152.12388003295797</v>
      </c>
      <c r="G34" s="4">
        <f t="shared" si="4"/>
        <v>15221.454413463245</v>
      </c>
      <c r="H34" s="4">
        <f t="shared" si="2"/>
        <v>4778.5455865367549</v>
      </c>
    </row>
    <row r="35" spans="1:8" x14ac:dyDescent="0.3">
      <c r="A35" s="19">
        <v>46150</v>
      </c>
      <c r="B35" s="24">
        <f t="shared" si="3"/>
        <v>34</v>
      </c>
      <c r="C35" s="20"/>
      <c r="D35" s="21">
        <f t="shared" si="6"/>
        <v>200</v>
      </c>
      <c r="E35" s="21">
        <f t="shared" ref="E35:E66" si="7">IF(AND($A35&lt;&gt;"",$B35&lt;&gt;""),G34*$K$8,"")</f>
        <v>47.402378526287741</v>
      </c>
      <c r="F35" s="21">
        <f t="shared" si="5"/>
        <v>152.59762147371225</v>
      </c>
      <c r="G35" s="21">
        <f t="shared" si="4"/>
        <v>15068.856791989532</v>
      </c>
      <c r="H35" s="21">
        <f t="shared" ref="H35:H66" si="8">IF(AND($A35&lt;&gt;"",$B35&lt;&gt;""),$K$7-G35,"")</f>
        <v>4931.1432080104678</v>
      </c>
    </row>
    <row r="36" spans="1:8" x14ac:dyDescent="0.3">
      <c r="A36" s="2">
        <v>46150</v>
      </c>
      <c r="B36" s="23">
        <f t="shared" si="3"/>
        <v>35</v>
      </c>
      <c r="C36" s="3"/>
      <c r="D36" s="4">
        <f t="shared" si="6"/>
        <v>200</v>
      </c>
      <c r="E36" s="4">
        <f t="shared" si="7"/>
        <v>46.927161768491573</v>
      </c>
      <c r="F36" s="4">
        <f t="shared" si="5"/>
        <v>153.07283823150843</v>
      </c>
      <c r="G36" s="4">
        <f t="shared" si="4"/>
        <v>14915.783953758024</v>
      </c>
      <c r="H36" s="4">
        <f t="shared" si="8"/>
        <v>5084.2160462419761</v>
      </c>
    </row>
    <row r="37" spans="1:8" x14ac:dyDescent="0.3">
      <c r="A37" s="19">
        <v>46155</v>
      </c>
      <c r="B37" s="24">
        <f t="shared" si="3"/>
        <v>36</v>
      </c>
      <c r="C37" s="20"/>
      <c r="D37" s="21">
        <f t="shared" si="6"/>
        <v>200</v>
      </c>
      <c r="E37" s="21">
        <f t="shared" si="7"/>
        <v>46.45046509924785</v>
      </c>
      <c r="F37" s="21">
        <f t="shared" si="5"/>
        <v>153.54953490075215</v>
      </c>
      <c r="G37" s="21">
        <f t="shared" si="4"/>
        <v>14762.234418857272</v>
      </c>
      <c r="H37" s="21">
        <f t="shared" si="8"/>
        <v>5237.7655811427285</v>
      </c>
    </row>
    <row r="38" spans="1:8" x14ac:dyDescent="0.3">
      <c r="A38" s="2">
        <v>46155</v>
      </c>
      <c r="B38" s="23">
        <f t="shared" si="3"/>
        <v>37</v>
      </c>
      <c r="C38" s="3"/>
      <c r="D38" s="4">
        <f t="shared" si="6"/>
        <v>200</v>
      </c>
      <c r="E38" s="4">
        <f t="shared" si="7"/>
        <v>45.972283909843043</v>
      </c>
      <c r="F38" s="4">
        <f t="shared" si="5"/>
        <v>154.02771609015696</v>
      </c>
      <c r="G38" s="4">
        <f t="shared" si="4"/>
        <v>14608.206702767115</v>
      </c>
      <c r="H38" s="4">
        <f t="shared" si="8"/>
        <v>5391.7932972328854</v>
      </c>
    </row>
    <row r="39" spans="1:8" x14ac:dyDescent="0.3">
      <c r="A39" s="19">
        <v>46155</v>
      </c>
      <c r="B39" s="24">
        <f t="shared" si="3"/>
        <v>38</v>
      </c>
      <c r="C39" s="20"/>
      <c r="D39" s="21">
        <f t="shared" si="6"/>
        <v>200</v>
      </c>
      <c r="E39" s="21">
        <f t="shared" si="7"/>
        <v>45.492613577211273</v>
      </c>
      <c r="F39" s="21">
        <f t="shared" si="5"/>
        <v>154.50738642278873</v>
      </c>
      <c r="G39" s="21">
        <f t="shared" si="4"/>
        <v>14453.699316344326</v>
      </c>
      <c r="H39" s="21">
        <f t="shared" si="8"/>
        <v>5546.3006836556742</v>
      </c>
    </row>
    <row r="40" spans="1:8" x14ac:dyDescent="0.3">
      <c r="A40" s="2">
        <v>46155</v>
      </c>
      <c r="B40" s="23">
        <f t="shared" si="3"/>
        <v>39</v>
      </c>
      <c r="C40" s="3"/>
      <c r="D40" s="4">
        <f t="shared" si="6"/>
        <v>200</v>
      </c>
      <c r="E40" s="4">
        <f t="shared" si="7"/>
        <v>45.011449463889591</v>
      </c>
      <c r="F40" s="4">
        <f t="shared" si="5"/>
        <v>154.98855053611041</v>
      </c>
      <c r="G40" s="4">
        <f t="shared" si="4"/>
        <v>14298.710765808215</v>
      </c>
      <c r="H40" s="4">
        <f t="shared" si="8"/>
        <v>5701.289234191785</v>
      </c>
    </row>
    <row r="41" spans="1:8" x14ac:dyDescent="0.3">
      <c r="A41" s="19">
        <v>46155</v>
      </c>
      <c r="B41" s="24">
        <f t="shared" si="3"/>
        <v>40</v>
      </c>
      <c r="C41" s="20"/>
      <c r="D41" s="21">
        <f t="shared" si="6"/>
        <v>200</v>
      </c>
      <c r="E41" s="21">
        <f t="shared" si="7"/>
        <v>44.528786917973136</v>
      </c>
      <c r="F41" s="21">
        <f t="shared" si="5"/>
        <v>155.47121308202685</v>
      </c>
      <c r="G41" s="21">
        <f t="shared" si="4"/>
        <v>14143.239552726189</v>
      </c>
      <c r="H41" s="21">
        <f t="shared" si="8"/>
        <v>5856.7604472738112</v>
      </c>
    </row>
    <row r="42" spans="1:8" x14ac:dyDescent="0.3">
      <c r="A42" s="2">
        <v>46155</v>
      </c>
      <c r="B42" s="23">
        <f t="shared" si="3"/>
        <v>41</v>
      </c>
      <c r="C42" s="3"/>
      <c r="D42" s="4">
        <f t="shared" si="6"/>
        <v>200</v>
      </c>
      <c r="E42" s="4">
        <f t="shared" si="7"/>
        <v>44.044621273070184</v>
      </c>
      <c r="F42" s="4">
        <f t="shared" si="5"/>
        <v>155.95537872692981</v>
      </c>
      <c r="G42" s="4">
        <f t="shared" si="4"/>
        <v>13987.284173999258</v>
      </c>
      <c r="H42" s="4">
        <f t="shared" si="8"/>
        <v>6012.7158260007418</v>
      </c>
    </row>
    <row r="43" spans="1:8" x14ac:dyDescent="0.3">
      <c r="A43" s="19">
        <v>46155</v>
      </c>
      <c r="B43" s="24">
        <f t="shared" si="3"/>
        <v>42</v>
      </c>
      <c r="C43" s="20"/>
      <c r="D43" s="21">
        <f t="shared" si="6"/>
        <v>200</v>
      </c>
      <c r="E43" s="21">
        <f t="shared" si="7"/>
        <v>43.558947848256992</v>
      </c>
      <c r="F43" s="21">
        <f t="shared" si="5"/>
        <v>156.44105215174301</v>
      </c>
      <c r="G43" s="21">
        <f t="shared" si="4"/>
        <v>13830.843121847514</v>
      </c>
      <c r="H43" s="21">
        <f t="shared" si="8"/>
        <v>6169.1568781524857</v>
      </c>
    </row>
    <row r="44" spans="1:8" x14ac:dyDescent="0.3">
      <c r="A44" s="2">
        <v>46155</v>
      </c>
      <c r="B44" s="23">
        <f t="shared" si="3"/>
        <v>43</v>
      </c>
      <c r="C44" s="3"/>
      <c r="D44" s="4">
        <f t="shared" si="6"/>
        <v>200</v>
      </c>
      <c r="E44" s="4">
        <f t="shared" si="7"/>
        <v>43.071761948032602</v>
      </c>
      <c r="F44" s="4">
        <f t="shared" si="5"/>
        <v>156.92823805196741</v>
      </c>
      <c r="G44" s="4">
        <f t="shared" si="4"/>
        <v>13673.914883795547</v>
      </c>
      <c r="H44" s="4">
        <f t="shared" si="8"/>
        <v>6326.0851162044528</v>
      </c>
    </row>
    <row r="45" spans="1:8" x14ac:dyDescent="0.3">
      <c r="A45" s="19">
        <v>46155</v>
      </c>
      <c r="B45" s="24">
        <f t="shared" si="3"/>
        <v>44</v>
      </c>
      <c r="C45" s="20"/>
      <c r="D45" s="21">
        <f t="shared" si="6"/>
        <v>200</v>
      </c>
      <c r="E45" s="21">
        <f t="shared" si="7"/>
        <v>42.583058862273383</v>
      </c>
      <c r="F45" s="21">
        <f t="shared" si="5"/>
        <v>157.41694113772661</v>
      </c>
      <c r="G45" s="21">
        <f t="shared" si="4"/>
        <v>13516.497942657821</v>
      </c>
      <c r="H45" s="21">
        <f t="shared" si="8"/>
        <v>6483.5020573421789</v>
      </c>
    </row>
    <row r="46" spans="1:8" x14ac:dyDescent="0.3">
      <c r="A46" s="2">
        <v>46155</v>
      </c>
      <c r="B46" s="23">
        <f t="shared" si="3"/>
        <v>45</v>
      </c>
      <c r="C46" s="3"/>
      <c r="D46" s="4">
        <f t="shared" si="6"/>
        <v>200</v>
      </c>
      <c r="E46" s="4">
        <f t="shared" si="7"/>
        <v>42.09283386618754</v>
      </c>
      <c r="F46" s="4">
        <f t="shared" si="5"/>
        <v>157.90716613381247</v>
      </c>
      <c r="G46" s="4">
        <f t="shared" si="4"/>
        <v>13358.590776524008</v>
      </c>
      <c r="H46" s="4">
        <f t="shared" si="8"/>
        <v>6641.4092234759919</v>
      </c>
    </row>
    <row r="47" spans="1:8" x14ac:dyDescent="0.3">
      <c r="A47" s="19">
        <v>46162</v>
      </c>
      <c r="B47" s="24">
        <f t="shared" si="3"/>
        <v>46</v>
      </c>
      <c r="C47" s="20"/>
      <c r="D47" s="21">
        <f t="shared" si="6"/>
        <v>200</v>
      </c>
      <c r="E47" s="21">
        <f t="shared" si="7"/>
        <v>41.601082220269404</v>
      </c>
      <c r="F47" s="21">
        <f t="shared" si="5"/>
        <v>158.3989177797306</v>
      </c>
      <c r="G47" s="21">
        <f t="shared" si="4"/>
        <v>13200.191858744278</v>
      </c>
      <c r="H47" s="21">
        <f t="shared" si="8"/>
        <v>6799.8081412557221</v>
      </c>
    </row>
    <row r="48" spans="1:8" x14ac:dyDescent="0.3">
      <c r="A48" s="2">
        <v>46162</v>
      </c>
      <c r="B48" s="23">
        <f t="shared" si="3"/>
        <v>47</v>
      </c>
      <c r="C48" s="3"/>
      <c r="D48" s="4">
        <f t="shared" si="6"/>
        <v>200</v>
      </c>
      <c r="E48" s="4">
        <f t="shared" si="7"/>
        <v>41.107799170253642</v>
      </c>
      <c r="F48" s="4">
        <f t="shared" si="5"/>
        <v>158.89220082974634</v>
      </c>
      <c r="G48" s="4">
        <f t="shared" si="4"/>
        <v>13041.299657914531</v>
      </c>
      <c r="H48" s="4">
        <f t="shared" si="8"/>
        <v>6958.7003420854689</v>
      </c>
    </row>
    <row r="49" spans="1:8" x14ac:dyDescent="0.3">
      <c r="A49" s="19">
        <v>46162</v>
      </c>
      <c r="B49" s="24">
        <f t="shared" si="3"/>
        <v>48</v>
      </c>
      <c r="C49" s="20"/>
      <c r="D49" s="21">
        <f t="shared" si="6"/>
        <v>200</v>
      </c>
      <c r="E49" s="21">
        <f t="shared" si="7"/>
        <v>40.612979947069242</v>
      </c>
      <c r="F49" s="21">
        <f t="shared" si="5"/>
        <v>159.38702005293075</v>
      </c>
      <c r="G49" s="21">
        <f t="shared" si="4"/>
        <v>12881.9126378616</v>
      </c>
      <c r="H49" s="21">
        <f t="shared" si="8"/>
        <v>7118.0873621383998</v>
      </c>
    </row>
    <row r="50" spans="1:8" x14ac:dyDescent="0.3">
      <c r="A50" s="2">
        <v>46162</v>
      </c>
      <c r="B50" s="23">
        <f t="shared" si="3"/>
        <v>49</v>
      </c>
      <c r="C50" s="3"/>
      <c r="D50" s="4">
        <f t="shared" si="6"/>
        <v>200</v>
      </c>
      <c r="E50" s="4">
        <f t="shared" si="7"/>
        <v>40.11661976679347</v>
      </c>
      <c r="F50" s="4">
        <f t="shared" si="5"/>
        <v>159.88338023320654</v>
      </c>
      <c r="G50" s="4">
        <f t="shared" si="4"/>
        <v>12722.029257628394</v>
      </c>
      <c r="H50" s="4">
        <f t="shared" si="8"/>
        <v>7277.9707423716063</v>
      </c>
    </row>
    <row r="51" spans="1:8" x14ac:dyDescent="0.3">
      <c r="A51" s="19">
        <v>46162</v>
      </c>
      <c r="B51" s="24">
        <f t="shared" si="3"/>
        <v>50</v>
      </c>
      <c r="C51" s="20"/>
      <c r="D51" s="21">
        <f t="shared" si="6"/>
        <v>200</v>
      </c>
      <c r="E51" s="21">
        <f t="shared" si="7"/>
        <v>39.618713830605572</v>
      </c>
      <c r="F51" s="21">
        <f t="shared" si="5"/>
        <v>160.38128616939443</v>
      </c>
      <c r="G51" s="21">
        <f t="shared" si="4"/>
        <v>12561.647971458999</v>
      </c>
      <c r="H51" s="21">
        <f t="shared" si="8"/>
        <v>7438.3520285410013</v>
      </c>
    </row>
    <row r="52" spans="1:8" x14ac:dyDescent="0.3">
      <c r="A52" s="2">
        <v>46171</v>
      </c>
      <c r="B52" s="23">
        <f t="shared" si="3"/>
        <v>51</v>
      </c>
      <c r="C52" s="3"/>
      <c r="D52" s="4">
        <f t="shared" si="6"/>
        <v>200</v>
      </c>
      <c r="E52" s="4">
        <f t="shared" si="7"/>
        <v>39.119257324740389</v>
      </c>
      <c r="F52" s="4">
        <f t="shared" si="5"/>
        <v>160.88074267525963</v>
      </c>
      <c r="G52" s="4">
        <f t="shared" si="4"/>
        <v>12400.767228783739</v>
      </c>
      <c r="H52" s="4">
        <f t="shared" si="8"/>
        <v>7599.2327712162605</v>
      </c>
    </row>
    <row r="53" spans="1:8" x14ac:dyDescent="0.3">
      <c r="A53" s="19">
        <v>46171</v>
      </c>
      <c r="B53" s="24">
        <f t="shared" si="3"/>
        <v>52</v>
      </c>
      <c r="C53" s="20"/>
      <c r="D53" s="21">
        <f t="shared" si="6"/>
        <v>200</v>
      </c>
      <c r="E53" s="21">
        <f t="shared" si="7"/>
        <v>38.618245420441831</v>
      </c>
      <c r="F53" s="21">
        <f t="shared" si="5"/>
        <v>161.38175457955816</v>
      </c>
      <c r="G53" s="21">
        <f t="shared" si="4"/>
        <v>12239.385474204182</v>
      </c>
      <c r="H53" s="21">
        <f t="shared" si="8"/>
        <v>7760.6145257958178</v>
      </c>
    </row>
    <row r="54" spans="1:8" x14ac:dyDescent="0.3">
      <c r="A54" s="2">
        <v>46171</v>
      </c>
      <c r="B54" s="23">
        <f t="shared" si="3"/>
        <v>53</v>
      </c>
      <c r="C54" s="3"/>
      <c r="D54" s="4">
        <f t="shared" si="6"/>
        <v>200</v>
      </c>
      <c r="E54" s="4">
        <f t="shared" si="7"/>
        <v>38.115673273916173</v>
      </c>
      <c r="F54" s="4">
        <f t="shared" si="5"/>
        <v>161.88432672608383</v>
      </c>
      <c r="G54" s="4">
        <f t="shared" si="4"/>
        <v>12077.501147478099</v>
      </c>
      <c r="H54" s="4">
        <f t="shared" si="8"/>
        <v>7922.4988525219014</v>
      </c>
    </row>
    <row r="55" spans="1:8" x14ac:dyDescent="0.3">
      <c r="A55" s="19">
        <v>46171</v>
      </c>
      <c r="B55" s="24">
        <f t="shared" si="3"/>
        <v>54</v>
      </c>
      <c r="C55" s="20"/>
      <c r="D55" s="21">
        <f t="shared" si="6"/>
        <v>200</v>
      </c>
      <c r="E55" s="21">
        <f t="shared" si="7"/>
        <v>37.611536026285243</v>
      </c>
      <c r="F55" s="21">
        <f t="shared" si="5"/>
        <v>162.38846397371475</v>
      </c>
      <c r="G55" s="21">
        <f t="shared" si="4"/>
        <v>11915.112683504383</v>
      </c>
      <c r="H55" s="21">
        <f t="shared" si="8"/>
        <v>8084.8873164956167</v>
      </c>
    </row>
    <row r="56" spans="1:8" x14ac:dyDescent="0.3">
      <c r="A56" s="2">
        <v>46171</v>
      </c>
      <c r="B56" s="23">
        <f t="shared" si="3"/>
        <v>55</v>
      </c>
      <c r="C56" s="3"/>
      <c r="D56" s="4">
        <f t="shared" si="6"/>
        <v>200</v>
      </c>
      <c r="E56" s="4">
        <f t="shared" si="7"/>
        <v>37.105828803539431</v>
      </c>
      <c r="F56" s="4">
        <f t="shared" si="5"/>
        <v>162.89417119646058</v>
      </c>
      <c r="G56" s="4">
        <f t="shared" si="4"/>
        <v>11752.218512307923</v>
      </c>
      <c r="H56" s="4">
        <f t="shared" si="8"/>
        <v>8247.7814876920766</v>
      </c>
    </row>
    <row r="57" spans="1:8" x14ac:dyDescent="0.3">
      <c r="A57" s="19">
        <v>46175</v>
      </c>
      <c r="B57" s="24">
        <f t="shared" si="3"/>
        <v>56</v>
      </c>
      <c r="C57" s="20"/>
      <c r="D57" s="21">
        <f t="shared" si="6"/>
        <v>200</v>
      </c>
      <c r="E57" s="21">
        <f t="shared" si="7"/>
        <v>36.598546716490581</v>
      </c>
      <c r="F57" s="21">
        <f t="shared" si="5"/>
        <v>163.40145328350943</v>
      </c>
      <c r="G57" s="21">
        <f t="shared" si="4"/>
        <v>11588.817059024414</v>
      </c>
      <c r="H57" s="21">
        <f t="shared" si="8"/>
        <v>8411.1829409755865</v>
      </c>
    </row>
    <row r="58" spans="1:8" x14ac:dyDescent="0.3">
      <c r="A58" s="2">
        <v>46175</v>
      </c>
      <c r="B58" s="23">
        <f t="shared" si="3"/>
        <v>57</v>
      </c>
      <c r="C58" s="3"/>
      <c r="D58" s="4">
        <f t="shared" si="6"/>
        <v>200</v>
      </c>
      <c r="E58" s="4">
        <f t="shared" si="7"/>
        <v>36.089684860724716</v>
      </c>
      <c r="F58" s="4">
        <f t="shared" si="5"/>
        <v>163.91031513927527</v>
      </c>
      <c r="G58" s="4">
        <f t="shared" si="4"/>
        <v>11424.906743885138</v>
      </c>
      <c r="H58" s="4">
        <f t="shared" si="8"/>
        <v>8575.093256114862</v>
      </c>
    </row>
    <row r="59" spans="1:8" x14ac:dyDescent="0.3">
      <c r="A59" s="19">
        <v>46175</v>
      </c>
      <c r="B59" s="24">
        <f t="shared" si="3"/>
        <v>58</v>
      </c>
      <c r="C59" s="20"/>
      <c r="D59" s="21">
        <f t="shared" si="6"/>
        <v>200</v>
      </c>
      <c r="E59" s="21">
        <f t="shared" si="7"/>
        <v>35.579238316554616</v>
      </c>
      <c r="F59" s="21">
        <f t="shared" si="5"/>
        <v>164.42076168344539</v>
      </c>
      <c r="G59" s="21">
        <f t="shared" si="4"/>
        <v>11260.485982201693</v>
      </c>
      <c r="H59" s="21">
        <f t="shared" si="8"/>
        <v>8739.5140177983067</v>
      </c>
    </row>
    <row r="60" spans="1:8" x14ac:dyDescent="0.3">
      <c r="A60" s="2">
        <v>46175</v>
      </c>
      <c r="B60" s="23">
        <f t="shared" si="3"/>
        <v>59</v>
      </c>
      <c r="C60" s="3"/>
      <c r="D60" s="4">
        <f t="shared" si="6"/>
        <v>200</v>
      </c>
      <c r="E60" s="4">
        <f t="shared" si="7"/>
        <v>35.067202148972264</v>
      </c>
      <c r="F60" s="4">
        <f t="shared" si="5"/>
        <v>164.93279785102774</v>
      </c>
      <c r="G60" s="4">
        <f t="shared" si="4"/>
        <v>11095.553184350665</v>
      </c>
      <c r="H60" s="4">
        <f t="shared" si="8"/>
        <v>8904.4468156493349</v>
      </c>
    </row>
    <row r="61" spans="1:8" x14ac:dyDescent="0.3">
      <c r="A61" s="19">
        <v>46175</v>
      </c>
      <c r="B61" s="24">
        <f t="shared" si="3"/>
        <v>60</v>
      </c>
      <c r="C61" s="20"/>
      <c r="D61" s="21">
        <f t="shared" si="6"/>
        <v>200</v>
      </c>
      <c r="E61" s="21">
        <f t="shared" si="7"/>
        <v>34.553571407601126</v>
      </c>
      <c r="F61" s="21">
        <f t="shared" si="5"/>
        <v>165.44642859239889</v>
      </c>
      <c r="G61" s="21">
        <f t="shared" si="4"/>
        <v>10930.106755758266</v>
      </c>
      <c r="H61" s="21">
        <f t="shared" si="8"/>
        <v>9069.8932442417336</v>
      </c>
    </row>
    <row r="62" spans="1:8" x14ac:dyDescent="0.3">
      <c r="A62" s="2">
        <v>46181</v>
      </c>
      <c r="B62" s="23">
        <f t="shared" si="3"/>
        <v>61</v>
      </c>
      <c r="C62" s="3"/>
      <c r="D62" s="4">
        <f t="shared" si="6"/>
        <v>200</v>
      </c>
      <c r="E62" s="4">
        <f t="shared" si="7"/>
        <v>34.038341126648298</v>
      </c>
      <c r="F62" s="4">
        <f t="shared" si="5"/>
        <v>165.96165887335169</v>
      </c>
      <c r="G62" s="4">
        <f t="shared" si="4"/>
        <v>10764.145096884915</v>
      </c>
      <c r="H62" s="4">
        <f t="shared" si="8"/>
        <v>9235.8549031150851</v>
      </c>
    </row>
    <row r="63" spans="1:8" x14ac:dyDescent="0.3">
      <c r="A63" s="19">
        <v>46181</v>
      </c>
      <c r="B63" s="24">
        <f t="shared" si="3"/>
        <v>62</v>
      </c>
      <c r="C63" s="20"/>
      <c r="D63" s="21">
        <f t="shared" si="6"/>
        <v>200</v>
      </c>
      <c r="E63" s="21">
        <f t="shared" si="7"/>
        <v>33.521506324856489</v>
      </c>
      <c r="F63" s="21">
        <f t="shared" si="5"/>
        <v>166.47849367514351</v>
      </c>
      <c r="G63" s="21">
        <f t="shared" si="4"/>
        <v>10597.666603209771</v>
      </c>
      <c r="H63" s="21">
        <f t="shared" si="8"/>
        <v>9402.333396790229</v>
      </c>
    </row>
    <row r="64" spans="1:8" x14ac:dyDescent="0.3">
      <c r="A64" s="2">
        <v>46181</v>
      </c>
      <c r="B64" s="23">
        <f t="shared" si="3"/>
        <v>63</v>
      </c>
      <c r="C64" s="3"/>
      <c r="D64" s="4">
        <f t="shared" si="6"/>
        <v>200</v>
      </c>
      <c r="E64" s="4">
        <f t="shared" si="7"/>
        <v>33.003062005455881</v>
      </c>
      <c r="F64" s="4">
        <f t="shared" si="5"/>
        <v>166.99693799454411</v>
      </c>
      <c r="G64" s="4">
        <f t="shared" si="4"/>
        <v>10430.669665215228</v>
      </c>
      <c r="H64" s="4">
        <f t="shared" si="8"/>
        <v>9569.3303347847723</v>
      </c>
    </row>
    <row r="65" spans="1:8" x14ac:dyDescent="0.3">
      <c r="A65" s="19">
        <v>46181</v>
      </c>
      <c r="B65" s="24">
        <f t="shared" si="3"/>
        <v>64</v>
      </c>
      <c r="C65" s="20"/>
      <c r="D65" s="21">
        <f t="shared" si="6"/>
        <v>200</v>
      </c>
      <c r="E65" s="21">
        <f t="shared" si="7"/>
        <v>32.483003156115792</v>
      </c>
      <c r="F65" s="21">
        <f t="shared" si="5"/>
        <v>167.51699684388421</v>
      </c>
      <c r="G65" s="21">
        <f t="shared" si="4"/>
        <v>10263.152668371344</v>
      </c>
      <c r="H65" s="21">
        <f t="shared" si="8"/>
        <v>9736.8473316286563</v>
      </c>
    </row>
    <row r="66" spans="1:8" x14ac:dyDescent="0.3">
      <c r="A66" s="2">
        <v>46181</v>
      </c>
      <c r="B66" s="23">
        <f t="shared" si="3"/>
        <v>65</v>
      </c>
      <c r="C66" s="3"/>
      <c r="D66" s="4">
        <f t="shared" ref="D66:D97" si="9">IF(AND($A66&lt;&gt;"",$B66&lt;&gt;""),$K$9,"")</f>
        <v>200</v>
      </c>
      <c r="E66" s="4">
        <f t="shared" si="7"/>
        <v>31.961324748896224</v>
      </c>
      <c r="F66" s="4">
        <f t="shared" si="5"/>
        <v>168.03867525110377</v>
      </c>
      <c r="G66" s="4">
        <f t="shared" si="4"/>
        <v>10095.11399312024</v>
      </c>
      <c r="H66" s="4">
        <f t="shared" si="8"/>
        <v>9904.8860068797603</v>
      </c>
    </row>
    <row r="67" spans="1:8" x14ac:dyDescent="0.3">
      <c r="A67" s="19">
        <v>46187</v>
      </c>
      <c r="B67" s="24">
        <f t="shared" si="3"/>
        <v>66</v>
      </c>
      <c r="C67" s="20"/>
      <c r="D67" s="21">
        <f t="shared" si="9"/>
        <v>200</v>
      </c>
      <c r="E67" s="21">
        <f t="shared" ref="E67:E98" si="10">IF(AND($A67&lt;&gt;"",$B67&lt;&gt;""),G66*$K$8,"")</f>
        <v>31.438021740199275</v>
      </c>
      <c r="F67" s="21">
        <f t="shared" si="5"/>
        <v>168.56197825980072</v>
      </c>
      <c r="G67" s="21">
        <f t="shared" si="4"/>
        <v>9926.5520148604392</v>
      </c>
      <c r="H67" s="21">
        <f t="shared" ref="H67:H98" si="11">IF(AND($A67&lt;&gt;"",$B67&lt;&gt;""),$K$7-G67,"")</f>
        <v>10073.447985139561</v>
      </c>
    </row>
    <row r="68" spans="1:8" x14ac:dyDescent="0.3">
      <c r="A68" s="2">
        <v>46187</v>
      </c>
      <c r="B68" s="23">
        <f t="shared" ref="B68:B121" si="12">IF(A68&lt;&gt;"",B67+1,"")</f>
        <v>67</v>
      </c>
      <c r="C68" s="3"/>
      <c r="D68" s="4">
        <f t="shared" si="9"/>
        <v>200</v>
      </c>
      <c r="E68" s="4">
        <f t="shared" si="10"/>
        <v>30.913089070720357</v>
      </c>
      <c r="F68" s="4">
        <f t="shared" si="5"/>
        <v>169.08691092927964</v>
      </c>
      <c r="G68" s="4">
        <f t="shared" si="4"/>
        <v>9757.4651039311593</v>
      </c>
      <c r="H68" s="4">
        <f t="shared" si="11"/>
        <v>10242.534896068841</v>
      </c>
    </row>
    <row r="69" spans="1:8" x14ac:dyDescent="0.3">
      <c r="A69" s="19">
        <v>46187</v>
      </c>
      <c r="B69" s="24">
        <f t="shared" si="12"/>
        <v>68</v>
      </c>
      <c r="C69" s="20"/>
      <c r="D69" s="21">
        <f t="shared" si="9"/>
        <v>200</v>
      </c>
      <c r="E69" s="21">
        <f t="shared" si="10"/>
        <v>30.386521665399275</v>
      </c>
      <c r="F69" s="21">
        <f t="shared" si="5"/>
        <v>169.61347833460073</v>
      </c>
      <c r="G69" s="21">
        <f t="shared" si="4"/>
        <v>9587.8516255965587</v>
      </c>
      <c r="H69" s="21">
        <f t="shared" si="11"/>
        <v>10412.148374403441</v>
      </c>
    </row>
    <row r="70" spans="1:8" x14ac:dyDescent="0.3">
      <c r="A70" s="2">
        <v>46187</v>
      </c>
      <c r="B70" s="23">
        <f t="shared" si="12"/>
        <v>69</v>
      </c>
      <c r="C70" s="3"/>
      <c r="D70" s="4">
        <f t="shared" si="9"/>
        <v>200</v>
      </c>
      <c r="E70" s="4">
        <f t="shared" si="10"/>
        <v>29.858314433371195</v>
      </c>
      <c r="F70" s="4">
        <f t="shared" si="5"/>
        <v>170.14168556662881</v>
      </c>
      <c r="G70" s="4">
        <f t="shared" ref="G70:G121" si="13">IF(AND($A70&lt;&gt;"",$B70&lt;&gt;""),G69-F70,"")</f>
        <v>9417.7099400299303</v>
      </c>
      <c r="H70" s="4">
        <f t="shared" si="11"/>
        <v>10582.29005997007</v>
      </c>
    </row>
    <row r="71" spans="1:8" x14ac:dyDescent="0.3">
      <c r="A71" s="19">
        <v>46187</v>
      </c>
      <c r="B71" s="24">
        <f t="shared" si="12"/>
        <v>70</v>
      </c>
      <c r="C71" s="20"/>
      <c r="D71" s="21">
        <f t="shared" si="9"/>
        <v>200</v>
      </c>
      <c r="E71" s="21">
        <f t="shared" si="10"/>
        <v>29.328462267917388</v>
      </c>
      <c r="F71" s="21">
        <f t="shared" ref="F71:F121" si="14">IF(AND($A71&lt;&gt;"",$B71&lt;&gt;""),D71-E71,"")</f>
        <v>170.67153773208261</v>
      </c>
      <c r="G71" s="21">
        <f t="shared" si="13"/>
        <v>9247.0384022978469</v>
      </c>
      <c r="H71" s="21">
        <f t="shared" si="11"/>
        <v>10752.961597702153</v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EXZtTjyjvpuhIGhPJCNAfRIG0Cuy+w4H71JxIdG8OQ3f8/BtzNXOncNkYIZjO8N5SKw/hGzmfoMnLarvk0nQ+A==" saltValue="82xUbbK36MOggE4NGkvRpA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2026-06-27T05:03:35Z</dcterms:modified>
</cp:coreProperties>
</file>