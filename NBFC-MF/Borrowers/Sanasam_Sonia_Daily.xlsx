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/>
  <c r="B72" i="4"/>
  <c r="B73" i="4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/>
  <c r="B98" i="4"/>
  <c r="B99" i="4"/>
  <c r="B100" i="4"/>
  <c r="B101" i="4" s="1"/>
  <c r="B102" i="4"/>
  <c r="B103" i="4"/>
  <c r="B104" i="4" s="1"/>
  <c r="B105" i="4" s="1"/>
  <c r="B106" i="4" s="1"/>
  <c r="B107" i="4"/>
  <c r="B108" i="4"/>
  <c r="B109" i="4"/>
  <c r="B110" i="4"/>
  <c r="B111" i="4" s="1"/>
  <c r="B112" i="4" s="1"/>
  <c r="B113" i="4" s="1"/>
  <c r="B114" i="4" s="1"/>
  <c r="B115" i="4" s="1"/>
  <c r="B116" i="4" s="1"/>
  <c r="B117" i="4"/>
  <c r="B118" i="4" s="1"/>
  <c r="B119" i="4" s="1"/>
  <c r="B120" i="4" s="1"/>
  <c r="B121" i="4" s="1"/>
  <c r="B67" i="4"/>
  <c r="B68" i="4"/>
  <c r="B69" i="4"/>
  <c r="B70" i="4"/>
  <c r="B71" i="4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K16" i="4" l="1"/>
  <c r="K17" i="4" s="1"/>
  <c r="K2" i="4" l="1"/>
  <c r="K12" i="4" l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K13" i="4" l="1"/>
  <c r="K8" i="4"/>
  <c r="E2" i="4" s="1"/>
  <c r="F2" i="4" s="1"/>
  <c r="G2" i="4" s="1"/>
  <c r="H2" i="4" l="1"/>
  <c r="E3" i="4"/>
  <c r="E107" i="4"/>
  <c r="F107" i="4" s="1"/>
  <c r="G107" i="4" s="1"/>
  <c r="H107" i="4" l="1"/>
  <c r="E108" i="4"/>
  <c r="F108" i="4" s="1"/>
  <c r="G108" i="4" s="1"/>
  <c r="E109" i="4" l="1"/>
  <c r="F109" i="4" s="1"/>
  <c r="H108" i="4"/>
  <c r="G109" i="4"/>
  <c r="E67" i="4"/>
  <c r="F67" i="4" s="1"/>
  <c r="G67" i="4" s="1"/>
  <c r="E110" i="4" l="1"/>
  <c r="F110" i="4" s="1"/>
  <c r="G110" i="4" s="1"/>
  <c r="H109" i="4"/>
  <c r="H67" i="4"/>
  <c r="E68" i="4"/>
  <c r="F68" i="4" s="1"/>
  <c r="G68" i="4" s="1"/>
  <c r="E111" i="4" l="1"/>
  <c r="F111" i="4" s="1"/>
  <c r="G111" i="4" s="1"/>
  <c r="H110" i="4"/>
  <c r="H68" i="4"/>
  <c r="E69" i="4"/>
  <c r="F69" i="4" s="1"/>
  <c r="G69" i="4" s="1"/>
  <c r="E112" i="4" l="1"/>
  <c r="F112" i="4" s="1"/>
  <c r="G112" i="4" s="1"/>
  <c r="H111" i="4"/>
  <c r="H69" i="4"/>
  <c r="E70" i="4"/>
  <c r="F70" i="4" s="1"/>
  <c r="G70" i="4" s="1"/>
  <c r="E113" i="4" l="1"/>
  <c r="F113" i="4" s="1"/>
  <c r="H112" i="4"/>
  <c r="G113" i="4"/>
  <c r="H70" i="4"/>
  <c r="E71" i="4"/>
  <c r="F71" i="4" s="1"/>
  <c r="G71" i="4" s="1"/>
  <c r="H113" i="4" l="1"/>
  <c r="E114" i="4"/>
  <c r="F114" i="4" s="1"/>
  <c r="G114" i="4" s="1"/>
  <c r="H71" i="4"/>
  <c r="E72" i="4"/>
  <c r="F72" i="4" s="1"/>
  <c r="G72" i="4" s="1"/>
  <c r="E115" i="4" l="1"/>
  <c r="F115" i="4" s="1"/>
  <c r="G115" i="4" s="1"/>
  <c r="H114" i="4"/>
  <c r="E97" i="4"/>
  <c r="F97" i="4" s="1"/>
  <c r="G97" i="4" s="1"/>
  <c r="H72" i="4"/>
  <c r="E73" i="4"/>
  <c r="F73" i="4" s="1"/>
  <c r="G73" i="4" s="1"/>
  <c r="H115" i="4" l="1"/>
  <c r="E116" i="4"/>
  <c r="F116" i="4" s="1"/>
  <c r="G116" i="4" s="1"/>
  <c r="H97" i="4"/>
  <c r="E98" i="4"/>
  <c r="F98" i="4" s="1"/>
  <c r="G98" i="4" s="1"/>
  <c r="H73" i="4"/>
  <c r="E74" i="4"/>
  <c r="F74" i="4" s="1"/>
  <c r="G74" i="4" s="1"/>
  <c r="H116" i="4" l="1"/>
  <c r="E117" i="4"/>
  <c r="F117" i="4" s="1"/>
  <c r="G117" i="4" s="1"/>
  <c r="E99" i="4"/>
  <c r="F99" i="4" s="1"/>
  <c r="G99" i="4" s="1"/>
  <c r="H98" i="4"/>
  <c r="H74" i="4"/>
  <c r="E75" i="4"/>
  <c r="F75" i="4" s="1"/>
  <c r="G75" i="4" s="1"/>
  <c r="E118" i="4" l="1"/>
  <c r="F118" i="4" s="1"/>
  <c r="G118" i="4" s="1"/>
  <c r="H117" i="4"/>
  <c r="H99" i="4"/>
  <c r="E100" i="4"/>
  <c r="F100" i="4" s="1"/>
  <c r="G100" i="4" s="1"/>
  <c r="H75" i="4"/>
  <c r="E76" i="4"/>
  <c r="F76" i="4" s="1"/>
  <c r="G76" i="4" s="1"/>
  <c r="H118" i="4" l="1"/>
  <c r="E119" i="4"/>
  <c r="F119" i="4" s="1"/>
  <c r="G119" i="4" s="1"/>
  <c r="H100" i="4"/>
  <c r="E101" i="4"/>
  <c r="F101" i="4" s="1"/>
  <c r="G101" i="4" s="1"/>
  <c r="H76" i="4"/>
  <c r="E77" i="4"/>
  <c r="F77" i="4" s="1"/>
  <c r="G77" i="4" s="1"/>
  <c r="H119" i="4" l="1"/>
  <c r="E120" i="4"/>
  <c r="F120" i="4" s="1"/>
  <c r="G120" i="4" s="1"/>
  <c r="H101" i="4"/>
  <c r="E102" i="4"/>
  <c r="F102" i="4" s="1"/>
  <c r="G102" i="4" s="1"/>
  <c r="H77" i="4"/>
  <c r="E78" i="4"/>
  <c r="F78" i="4" s="1"/>
  <c r="G78" i="4" s="1"/>
  <c r="E121" i="4" l="1"/>
  <c r="F121" i="4" s="1"/>
  <c r="G121" i="4" s="1"/>
  <c r="H121" i="4" s="1"/>
  <c r="H120" i="4"/>
  <c r="E103" i="4"/>
  <c r="F103" i="4" s="1"/>
  <c r="G103" i="4"/>
  <c r="H102" i="4"/>
  <c r="H78" i="4"/>
  <c r="E79" i="4"/>
  <c r="F79" i="4" s="1"/>
  <c r="G79" i="4" s="1"/>
  <c r="H103" i="4" l="1"/>
  <c r="E104" i="4"/>
  <c r="F104" i="4" s="1"/>
  <c r="G104" i="4" s="1"/>
  <c r="H79" i="4"/>
  <c r="E80" i="4"/>
  <c r="F80" i="4" s="1"/>
  <c r="G80" i="4"/>
  <c r="H104" i="4" l="1"/>
  <c r="E105" i="4"/>
  <c r="F105" i="4" s="1"/>
  <c r="G105" i="4" s="1"/>
  <c r="H80" i="4"/>
  <c r="E81" i="4"/>
  <c r="F81" i="4" s="1"/>
  <c r="G81" i="4" s="1"/>
  <c r="H105" i="4" l="1"/>
  <c r="E106" i="4"/>
  <c r="F106" i="4" s="1"/>
  <c r="G106" i="4" s="1"/>
  <c r="H106" i="4" s="1"/>
  <c r="H81" i="4"/>
  <c r="E82" i="4"/>
  <c r="F82" i="4" s="1"/>
  <c r="G82" i="4" s="1"/>
  <c r="F3" i="4"/>
  <c r="G3" i="4" s="1"/>
  <c r="E4" i="4" l="1"/>
  <c r="H3" i="4"/>
  <c r="H82" i="4"/>
  <c r="E83" i="4"/>
  <c r="F83" i="4" s="1"/>
  <c r="G83" i="4" s="1"/>
  <c r="F4" i="4"/>
  <c r="G4" i="4" s="1"/>
  <c r="E5" i="4" l="1"/>
  <c r="F5" i="4" s="1"/>
  <c r="G5" i="4" s="1"/>
  <c r="H4" i="4"/>
  <c r="H83" i="4"/>
  <c r="E84" i="4"/>
  <c r="F84" i="4" s="1"/>
  <c r="G84" i="4" s="1"/>
  <c r="H5" i="4" l="1"/>
  <c r="E6" i="4"/>
  <c r="F6" i="4" s="1"/>
  <c r="G6" i="4" s="1"/>
  <c r="H84" i="4"/>
  <c r="E85" i="4"/>
  <c r="F85" i="4" s="1"/>
  <c r="G85" i="4" s="1"/>
  <c r="E7" i="4" l="1"/>
  <c r="F7" i="4" s="1"/>
  <c r="G7" i="4"/>
  <c r="H6" i="4"/>
  <c r="H85" i="4"/>
  <c r="E86" i="4"/>
  <c r="F86" i="4" s="1"/>
  <c r="G86" i="4" s="1"/>
  <c r="H86" i="4" l="1"/>
  <c r="E87" i="4"/>
  <c r="F87" i="4" s="1"/>
  <c r="G87" i="4" s="1"/>
  <c r="H7" i="4"/>
  <c r="E8" i="4"/>
  <c r="F8" i="4" s="1"/>
  <c r="G8" i="4" s="1"/>
  <c r="E88" i="4" l="1"/>
  <c r="F88" i="4" s="1"/>
  <c r="G88" i="4" s="1"/>
  <c r="H87" i="4"/>
  <c r="E9" i="4"/>
  <c r="F9" i="4" s="1"/>
  <c r="G9" i="4" s="1"/>
  <c r="H8" i="4"/>
  <c r="E89" i="4" l="1"/>
  <c r="F89" i="4" s="1"/>
  <c r="G89" i="4" s="1"/>
  <c r="H88" i="4"/>
  <c r="H9" i="4"/>
  <c r="E10" i="4"/>
  <c r="F10" i="4" s="1"/>
  <c r="G10" i="4" s="1"/>
  <c r="E90" i="4" l="1"/>
  <c r="F90" i="4" s="1"/>
  <c r="G90" i="4" s="1"/>
  <c r="H89" i="4"/>
  <c r="E11" i="4"/>
  <c r="F11" i="4" s="1"/>
  <c r="G11" i="4" s="1"/>
  <c r="H10" i="4"/>
  <c r="H90" i="4" l="1"/>
  <c r="E91" i="4"/>
  <c r="F91" i="4" s="1"/>
  <c r="G91" i="4" s="1"/>
  <c r="E12" i="4"/>
  <c r="F12" i="4" s="1"/>
  <c r="G12" i="4" s="1"/>
  <c r="H11" i="4"/>
  <c r="H91" i="4" l="1"/>
  <c r="E92" i="4"/>
  <c r="F92" i="4" s="1"/>
  <c r="G92" i="4" s="1"/>
  <c r="H12" i="4"/>
  <c r="E13" i="4"/>
  <c r="F13" i="4" s="1"/>
  <c r="G13" i="4" s="1"/>
  <c r="E93" i="4" l="1"/>
  <c r="F93" i="4" s="1"/>
  <c r="G93" i="4" s="1"/>
  <c r="H92" i="4"/>
  <c r="H13" i="4"/>
  <c r="E14" i="4"/>
  <c r="F14" i="4" s="1"/>
  <c r="G14" i="4" s="1"/>
  <c r="E94" i="4" l="1"/>
  <c r="F94" i="4" s="1"/>
  <c r="G94" i="4" s="1"/>
  <c r="H93" i="4"/>
  <c r="H14" i="4"/>
  <c r="E15" i="4"/>
  <c r="F15" i="4" s="1"/>
  <c r="G15" i="4" s="1"/>
  <c r="H94" i="4" l="1"/>
  <c r="E95" i="4"/>
  <c r="F95" i="4" s="1"/>
  <c r="G95" i="4"/>
  <c r="H15" i="4"/>
  <c r="E16" i="4"/>
  <c r="F16" i="4" s="1"/>
  <c r="G16" i="4" s="1"/>
  <c r="E96" i="4" l="1"/>
  <c r="F96" i="4" s="1"/>
  <c r="G96" i="4"/>
  <c r="H95" i="4"/>
  <c r="E17" i="4"/>
  <c r="F17" i="4" s="1"/>
  <c r="G17" i="4" s="1"/>
  <c r="H16" i="4"/>
  <c r="H96" i="4" l="1"/>
  <c r="K15" i="4" s="1"/>
  <c r="K14" i="4"/>
  <c r="H17" i="4"/>
  <c r="E18" i="4"/>
  <c r="F18" i="4" s="1"/>
  <c r="G18" i="4" s="1"/>
  <c r="E19" i="4" l="1"/>
  <c r="F19" i="4" s="1"/>
  <c r="G19" i="4" s="1"/>
  <c r="H18" i="4"/>
  <c r="H19" i="4" l="1"/>
  <c r="E20" i="4"/>
  <c r="F20" i="4" s="1"/>
  <c r="G20" i="4" s="1"/>
  <c r="E21" i="4" l="1"/>
  <c r="F21" i="4" s="1"/>
  <c r="G21" i="4" s="1"/>
  <c r="H20" i="4"/>
  <c r="H21" i="4" l="1"/>
  <c r="E22" i="4"/>
  <c r="F22" i="4" s="1"/>
  <c r="G22" i="4" s="1"/>
  <c r="H22" i="4" l="1"/>
  <c r="E23" i="4"/>
  <c r="F23" i="4" s="1"/>
  <c r="G23" i="4" s="1"/>
  <c r="H23" i="4" l="1"/>
  <c r="E24" i="4"/>
  <c r="F24" i="4" s="1"/>
  <c r="G24" i="4" s="1"/>
  <c r="E25" i="4" l="1"/>
  <c r="F25" i="4" s="1"/>
  <c r="G25" i="4" s="1"/>
  <c r="H24" i="4"/>
  <c r="H25" i="4" l="1"/>
  <c r="E26" i="4"/>
  <c r="F26" i="4" s="1"/>
  <c r="G26" i="4" s="1"/>
  <c r="H26" i="4" l="1"/>
  <c r="E27" i="4"/>
  <c r="F27" i="4" s="1"/>
  <c r="G27" i="4" s="1"/>
  <c r="H27" i="4" l="1"/>
  <c r="E28" i="4"/>
  <c r="F28" i="4" s="1"/>
  <c r="G28" i="4" s="1"/>
  <c r="H28" i="4" l="1"/>
  <c r="E29" i="4"/>
  <c r="F29" i="4" s="1"/>
  <c r="G29" i="4" s="1"/>
  <c r="H29" i="4" l="1"/>
  <c r="E30" i="4"/>
  <c r="F30" i="4" s="1"/>
  <c r="G30" i="4" s="1"/>
  <c r="H30" i="4" l="1"/>
  <c r="E31" i="4"/>
  <c r="F31" i="4" s="1"/>
  <c r="G31" i="4" s="1"/>
  <c r="E32" i="4" s="1"/>
  <c r="F32" i="4" s="1"/>
  <c r="G32" i="4" s="1"/>
  <c r="E33" i="4" l="1"/>
  <c r="F33" i="4" s="1"/>
  <c r="G33" i="4" s="1"/>
  <c r="H32" i="4"/>
  <c r="H31" i="4"/>
  <c r="H33" i="4" l="1"/>
  <c r="E34" i="4"/>
  <c r="F34" i="4" s="1"/>
  <c r="G34" i="4" s="1"/>
  <c r="E35" i="4" l="1"/>
  <c r="F35" i="4" s="1"/>
  <c r="G35" i="4" s="1"/>
  <c r="H34" i="4"/>
  <c r="E36" i="4" l="1"/>
  <c r="F36" i="4" s="1"/>
  <c r="G36" i="4" s="1"/>
  <c r="H35" i="4"/>
  <c r="H36" i="4" l="1"/>
  <c r="E37" i="4"/>
  <c r="F37" i="4" s="1"/>
  <c r="G37" i="4" s="1"/>
  <c r="H37" i="4" l="1"/>
  <c r="E38" i="4"/>
  <c r="F38" i="4" s="1"/>
  <c r="G38" i="4" s="1"/>
  <c r="H38" i="4" l="1"/>
  <c r="E39" i="4"/>
  <c r="F39" i="4" s="1"/>
  <c r="G39" i="4" s="1"/>
  <c r="E40" i="4" l="1"/>
  <c r="F40" i="4" s="1"/>
  <c r="G40" i="4" s="1"/>
  <c r="H39" i="4"/>
  <c r="H40" i="4" l="1"/>
  <c r="E41" i="4"/>
  <c r="F41" i="4" s="1"/>
  <c r="G41" i="4" s="1"/>
  <c r="E42" i="4" l="1"/>
  <c r="F42" i="4" s="1"/>
  <c r="G42" i="4" s="1"/>
  <c r="H41" i="4"/>
  <c r="E43" i="4" l="1"/>
  <c r="F43" i="4" s="1"/>
  <c r="G43" i="4" s="1"/>
  <c r="H42" i="4"/>
  <c r="E44" i="4" l="1"/>
  <c r="F44" i="4" s="1"/>
  <c r="G44" i="4" s="1"/>
  <c r="H43" i="4"/>
  <c r="H44" i="4" l="1"/>
  <c r="E45" i="4"/>
  <c r="F45" i="4" s="1"/>
  <c r="G45" i="4" s="1"/>
  <c r="H45" i="4" l="1"/>
  <c r="E46" i="4"/>
  <c r="F46" i="4" s="1"/>
  <c r="G46" i="4" s="1"/>
  <c r="H46" i="4" l="1"/>
  <c r="E47" i="4"/>
  <c r="F47" i="4" s="1"/>
  <c r="G47" i="4" s="1"/>
  <c r="H47" i="4" l="1"/>
  <c r="E48" i="4"/>
  <c r="F48" i="4" s="1"/>
  <c r="G48" i="4" s="1"/>
  <c r="E49" i="4" l="1"/>
  <c r="F49" i="4" s="1"/>
  <c r="G49" i="4" s="1"/>
  <c r="H48" i="4"/>
  <c r="E50" i="4" l="1"/>
  <c r="F50" i="4" s="1"/>
  <c r="G50" i="4" s="1"/>
  <c r="H49" i="4"/>
  <c r="H50" i="4" l="1"/>
  <c r="E51" i="4"/>
  <c r="F51" i="4" s="1"/>
  <c r="G51" i="4" s="1"/>
  <c r="H51" i="4" l="1"/>
  <c r="E52" i="4"/>
  <c r="F52" i="4" s="1"/>
  <c r="G52" i="4" s="1"/>
  <c r="E53" i="4" l="1"/>
  <c r="F53" i="4" s="1"/>
  <c r="H52" i="4"/>
  <c r="G53" i="4"/>
  <c r="H53" i="4" l="1"/>
  <c r="E54" i="4"/>
  <c r="F54" i="4" s="1"/>
  <c r="G54" i="4" s="1"/>
  <c r="E55" i="4" l="1"/>
  <c r="F55" i="4" s="1"/>
  <c r="G55" i="4" s="1"/>
  <c r="H54" i="4"/>
  <c r="E56" i="4" l="1"/>
  <c r="F56" i="4" s="1"/>
  <c r="G56" i="4" s="1"/>
  <c r="H55" i="4"/>
  <c r="H56" i="4" l="1"/>
  <c r="E57" i="4"/>
  <c r="F57" i="4" s="1"/>
  <c r="G57" i="4" s="1"/>
  <c r="E58" i="4" l="1"/>
  <c r="F58" i="4" s="1"/>
  <c r="G58" i="4" s="1"/>
  <c r="H57" i="4"/>
  <c r="E59" i="4" l="1"/>
  <c r="F59" i="4" s="1"/>
  <c r="G59" i="4" s="1"/>
  <c r="H58" i="4"/>
  <c r="H59" i="4" l="1"/>
  <c r="E60" i="4"/>
  <c r="F60" i="4" s="1"/>
  <c r="G60" i="4" s="1"/>
  <c r="E61" i="4" l="1"/>
  <c r="F61" i="4" s="1"/>
  <c r="G61" i="4" s="1"/>
  <c r="H60" i="4"/>
  <c r="H61" i="4" l="1"/>
  <c r="E62" i="4"/>
  <c r="F62" i="4" s="1"/>
  <c r="G62" i="4" s="1"/>
  <c r="H62" i="4" l="1"/>
  <c r="E63" i="4"/>
  <c r="F63" i="4" s="1"/>
  <c r="G63" i="4" s="1"/>
  <c r="H63" i="4" l="1"/>
  <c r="E64" i="4"/>
  <c r="F64" i="4" s="1"/>
  <c r="G64" i="4" s="1"/>
  <c r="E65" i="4" l="1"/>
  <c r="F65" i="4" s="1"/>
  <c r="G65" i="4" s="1"/>
  <c r="H64" i="4"/>
  <c r="E66" i="4" l="1"/>
  <c r="F66" i="4" s="1"/>
  <c r="G66" i="4" s="1"/>
  <c r="H65" i="4"/>
  <c r="H66" i="4" l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<sst xmlns="http://schemas.openxmlformats.org/spreadsheetml/2006/main" count="25" uniqueCount="24">
  <si>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</si>
  <si>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</si>
  <si>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</si>
  <si>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</si>
  <si>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</si>
  <si>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</si>
  <si>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</si>
  <si>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</si>
  <si>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</si>
  <si>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</si>
  <si>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</si>
  <si>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</si>
  <si>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</si>
  <si>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</si>
  <si>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</si>
  <si>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</si>
  <si>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</si>
  <si>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</si>
  <si>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</si>
  <si>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</si>
  <si>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</si>
  <si>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Sanasam_Sonia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</si>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</sst>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  <xf numFmtId="165" fontId="4" fillId="5" borderId="9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113" activePane="bottomLeft" state="frozen"/>
      <selection pane="bottomLeft" activeCell="A117" sqref="A117:A12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1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46092</v>
      </c>
      <c r="B2" s="23">
        <f>IF(A2&lt;&gt;"",1,"")</f>
        <v>1</v>
      </c>
      <c r="C2" s="3"/>
      <c r="D2" s="4">
        <f t="shared" ref="D2:D33" si="0">IF(AND($A2&lt;&gt;"",$B2&lt;&gt;""),$K$9,"")</f>
        <v>200</v>
      </c>
      <c r="E2" s="4">
        <f>IF(AND($A2&lt;&gt;"",$B2&lt;&gt;""),$K$7*$K$8,"")</f>
        <v>62.283638920024281</v>
      </c>
      <c r="F2" s="4">
        <f>IF(AND($A2&lt;&gt;"",$B2&lt;&gt;""),D2-E2,"")</f>
        <v>137.71636107997571</v>
      </c>
      <c r="G2" s="4">
        <f>IF(AND($A2&lt;&gt;"",$B2&lt;&gt;""),$K$7-F2,"")</f>
        <v>19862.283638920024</v>
      </c>
      <c r="H2" s="4">
        <f>IF(AND($A2&lt;&gt;"",$B2&lt;&gt;""),$K$7-G2,"")</f>
        <v>137.7163610799762</v>
      </c>
      <c r="J2" s="5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L20000D120-Sanasam_Sonia-NLoan1</v>
      </c>
    </row>
    <row r="3" spans="1:12" x14ac:dyDescent="0.3">
      <c r="A3" s="19">
        <v>46092</v>
      </c>
      <c r="B3" s="24">
        <f>IF(A3&lt;&gt;"",B2+1,"")</f>
        <v>2</v>
      </c>
      <c r="C3" s="20"/>
      <c r="D3" s="21">
        <f t="shared" si="0"/>
        <v>200</v>
      </c>
      <c r="E3" s="21">
        <f t="shared" ref="E3:E34" si="1">IF(AND($A3&lt;&gt;"",$B3&lt;&gt;""),G2*$K$8,"")</f>
        <v>61.854765114680035</v>
      </c>
      <c r="F3" s="21">
        <f>IF(AND($A3&lt;&gt;"",$B3&lt;&gt;""),D3-E3,"")</f>
        <v>138.14523488531995</v>
      </c>
      <c r="G3" s="21">
        <f>IF(AND($A3&lt;&gt;"",$B3&lt;&gt;""),G2-F3,"")</f>
        <v>19724.138404034704</v>
      </c>
      <c r="H3" s="21">
        <f t="shared" ref="H3:H34" si="2">IF(AND($A3&lt;&gt;"",$B3&lt;&gt;""),$K$7-G3,"")</f>
        <v>275.86159596529615</v>
      </c>
      <c r="J3" s="5" t="s">
        <v>10</v>
      </c>
      <c r="K3" s="26" t="s">
        <v>21</v>
      </c>
    </row>
    <row r="4" spans="1:12" x14ac:dyDescent="0.3">
      <c r="A4" s="2">
        <v>46092</v>
      </c>
      <c r="B4" s="23">
        <f t="shared" ref="B4:B67" si="3">IF(A4&lt;&gt;"",B3+1,"")</f>
        <v>3</v>
      </c>
      <c r="C4" s="3"/>
      <c r="D4" s="4">
        <f t="shared" si="0"/>
        <v>200</v>
      </c>
      <c r="E4" s="4">
        <f t="shared" si="1"/>
        <v>61.424555718274078</v>
      </c>
      <c r="F4" s="4">
        <f>IF(AND($A4&lt;&gt;"",$B4&lt;&gt;""),D4-E4,"")</f>
        <v>138.57544428172594</v>
      </c>
      <c r="G4" s="4">
        <f>IF(AND($A4&lt;&gt;"",$B4&lt;&gt;""),G3-F4,"")</f>
        <v>19585.562959752977</v>
      </c>
      <c r="H4" s="4">
        <f t="shared" si="2"/>
        <v>414.43704024702311</v>
      </c>
      <c r="J4" s="5" t="s">
        <v>11</v>
      </c>
      <c r="K4" s="26"/>
    </row>
    <row r="5" spans="1:12" x14ac:dyDescent="0.3">
      <c r="A5" s="19">
        <v>46092</v>
      </c>
      <c r="B5" s="24">
        <f t="shared" si="3"/>
        <v>4</v>
      </c>
      <c r="C5" s="20"/>
      <c r="D5" s="21">
        <f t="shared" si="0"/>
        <v>200</v>
      </c>
      <c r="E5" s="21">
        <f t="shared" si="1"/>
        <v>60.993006571532824</v>
      </c>
      <c r="F5" s="21">
        <f>IF(AND($A5&lt;&gt;"",$B5&lt;&gt;""),D5-E5,"")</f>
        <v>139.00699342846718</v>
      </c>
      <c r="G5" s="21">
        <f>IF(AND($A5&lt;&gt;"",$B5&lt;&gt;""),G4-F5,"")</f>
        <v>19446.555966324511</v>
      </c>
      <c r="H5" s="21">
        <f t="shared" si="2"/>
        <v>553.44403367548875</v>
      </c>
      <c r="J5" s="5" t="s">
        <v>12</v>
      </c>
      <c r="K5" s="26"/>
    </row>
    <row r="6" spans="1:12" x14ac:dyDescent="0.3">
      <c r="A6" s="2">
        <v>46092</v>
      </c>
      <c r="B6" s="23">
        <f t="shared" si="3"/>
        <v>5</v>
      </c>
      <c r="C6" s="3"/>
      <c r="D6" s="4">
        <f t="shared" si="0"/>
        <v>200</v>
      </c>
      <c r="E6" s="4">
        <f t="shared" si="1"/>
        <v>60.560113502229989</v>
      </c>
      <c r="F6" s="4">
        <f>IF(AND($A6&lt;&gt;"",$B6&lt;&gt;""),D6-E6,"")</f>
        <v>139.43988649777</v>
      </c>
      <c r="G6" s="4">
        <f t="shared" ref="G6:G69" si="4">IF(AND($A6&lt;&gt;"",$B6&lt;&gt;""),G5-F6,"")</f>
        <v>19307.116079826741</v>
      </c>
      <c r="H6" s="4">
        <f t="shared" si="2"/>
        <v>692.88392017325896</v>
      </c>
      <c r="J6" s="5" t="s">
        <v>13</v>
      </c>
      <c r="K6" s="26"/>
    </row>
    <row r="7" spans="1:12" x14ac:dyDescent="0.3">
      <c r="A7" s="19">
        <v>46099</v>
      </c>
      <c r="B7" s="24">
        <f t="shared" si="3"/>
        <v>6</v>
      </c>
      <c r="C7" s="20"/>
      <c r="D7" s="21">
        <f t="shared" si="0"/>
        <v>200</v>
      </c>
      <c r="E7" s="21">
        <f t="shared" si="1"/>
        <v>60.125872325146176</v>
      </c>
      <c r="F7" s="21">
        <f t="shared" ref="F7:F70" si="5">IF(AND($A7&lt;&gt;"",$B7&lt;&gt;""),D7-E7,"")</f>
        <v>139.87412767485381</v>
      </c>
      <c r="G7" s="21">
        <f t="shared" si="4"/>
        <v>19167.241952151886</v>
      </c>
      <c r="H7" s="21">
        <f t="shared" si="2"/>
        <v>832.75804784811407</v>
      </c>
      <c r="J7" s="5" t="s">
        <v>7</v>
      </c>
      <c r="K7" s="27">
        <v>20000</v>
      </c>
    </row>
    <row r="8" spans="1:12" x14ac:dyDescent="0.3">
      <c r="A8" s="2">
        <v>46099</v>
      </c>
      <c r="B8" s="23">
        <f t="shared" si="3"/>
        <v>7</v>
      </c>
      <c r="C8" s="3"/>
      <c r="D8" s="4">
        <f t="shared" si="0"/>
        <v>200</v>
      </c>
      <c r="E8" s="4">
        <f t="shared" si="1"/>
        <v>59.690278842028469</v>
      </c>
      <c r="F8" s="4">
        <f t="shared" si="5"/>
        <v>140.30972115797152</v>
      </c>
      <c r="G8" s="4">
        <f t="shared" si="4"/>
        <v>19026.932230993916</v>
      </c>
      <c r="H8" s="4">
        <f t="shared" si="2"/>
        <v>973.06776900608384</v>
      </c>
      <c r="J8" s="5" t="s">
        <v>14</v>
      </c>
      <c r="K8" s="28">
        <f>RATE(K10,-K9,K7)</f>
        <v>3.1141819460012141E-3</v>
      </c>
    </row>
    <row r="9" spans="1:12" x14ac:dyDescent="0.3">
      <c r="A9" s="19">
        <v>46099</v>
      </c>
      <c r="B9" s="24">
        <f t="shared" si="3"/>
        <v>8</v>
      </c>
      <c r="C9" s="20"/>
      <c r="D9" s="21">
        <f t="shared" si="0"/>
        <v>200</v>
      </c>
      <c r="E9" s="21">
        <f t="shared" si="1"/>
        <v>59.253328841549859</v>
      </c>
      <c r="F9" s="21">
        <f t="shared" si="5"/>
        <v>140.74667115845014</v>
      </c>
      <c r="G9" s="21">
        <f t="shared" si="4"/>
        <v>18886.185559835467</v>
      </c>
      <c r="H9" s="21">
        <f t="shared" si="2"/>
        <v>1113.8144401645332</v>
      </c>
      <c r="J9" s="5" t="s">
        <v>8</v>
      </c>
      <c r="K9" s="29">
        <v>200</v>
      </c>
    </row>
    <row r="10" spans="1:12" x14ac:dyDescent="0.3">
      <c r="A10" s="2">
        <v>46099</v>
      </c>
      <c r="B10" s="23">
        <f t="shared" si="3"/>
        <v>9</v>
      </c>
      <c r="C10" s="3"/>
      <c r="D10" s="4">
        <f t="shared" si="0"/>
        <v>200</v>
      </c>
      <c r="E10" s="4">
        <f t="shared" si="1"/>
        <v>58.815018099268443</v>
      </c>
      <c r="F10" s="4">
        <f t="shared" si="5"/>
        <v>141.18498190073154</v>
      </c>
      <c r="G10" s="4">
        <f t="shared" si="4"/>
        <v>18745.000577934734</v>
      </c>
      <c r="H10" s="4">
        <f t="shared" si="2"/>
        <v>1254.9994220652661</v>
      </c>
      <c r="J10" s="5" t="s">
        <v>15</v>
      </c>
      <c r="K10" s="30">
        <v>120</v>
      </c>
    </row>
    <row r="11" spans="1:12" ht="17.25" thickBot="1" x14ac:dyDescent="0.35">
      <c r="A11" s="19">
        <v>46099</v>
      </c>
      <c r="B11" s="24">
        <f t="shared" si="3"/>
        <v>10</v>
      </c>
      <c r="C11" s="20"/>
      <c r="D11" s="21">
        <f t="shared" si="0"/>
        <v>200</v>
      </c>
      <c r="E11" s="21">
        <f t="shared" si="1"/>
        <v>58.375342377586676</v>
      </c>
      <c r="F11" s="21">
        <f t="shared" si="5"/>
        <v>141.62465762241334</v>
      </c>
      <c r="G11" s="21">
        <f t="shared" si="4"/>
        <v>18603.375920312319</v>
      </c>
      <c r="H11" s="21">
        <f t="shared" si="2"/>
        <v>1396.6240796876809</v>
      </c>
      <c r="J11" s="8"/>
      <c r="L11" s="22"/>
    </row>
    <row r="12" spans="1:12" x14ac:dyDescent="0.3">
      <c r="A12" s="2">
        <v>46104</v>
      </c>
      <c r="B12" s="23">
        <f t="shared" si="3"/>
        <v>11</v>
      </c>
      <c r="C12" s="3"/>
      <c r="D12" s="4">
        <f t="shared" si="0"/>
        <v>200</v>
      </c>
      <c r="E12" s="4">
        <f t="shared" si="1"/>
        <v>57.934297425710348</v>
      </c>
      <c r="F12" s="4">
        <f t="shared" si="5"/>
        <v>142.06570257428965</v>
      </c>
      <c r="G12" s="4">
        <f t="shared" si="4"/>
        <v>18461.310217738028</v>
      </c>
      <c r="H12" s="4">
        <f t="shared" si="2"/>
        <v>1538.6897822619721</v>
      </c>
      <c r="J12" s="9" t="s">
        <v>16</v>
      </c>
      <c r="K12" s="10">
        <f>IFERROR(MAX($B:$B),"")</f>
        <v>120</v>
      </c>
    </row>
    <row r="13" spans="1:12" x14ac:dyDescent="0.3">
      <c r="A13" s="19">
        <v>46104</v>
      </c>
      <c r="B13" s="24">
        <f t="shared" si="3"/>
        <v>12</v>
      </c>
      <c r="C13" s="20"/>
      <c r="D13" s="21">
        <f t="shared" si="0"/>
        <v>200</v>
      </c>
      <c r="E13" s="21">
        <f t="shared" si="1"/>
        <v>57.491878979607513</v>
      </c>
      <c r="F13" s="21">
        <f t="shared" si="5"/>
        <v>142.50812102039248</v>
      </c>
      <c r="G13" s="21">
        <f t="shared" si="4"/>
        <v>18318.802096717634</v>
      </c>
      <c r="H13" s="21">
        <f t="shared" si="2"/>
        <v>1681.1979032823656</v>
      </c>
      <c r="J13" s="31" t="s">
        <v>22</v>
      </c>
      <c r="K13" s="12">
        <f>(K10*K9)-K9*K12</f>
        <v>0</v>
      </c>
    </row>
    <row r="14" spans="1:12" x14ac:dyDescent="0.3">
      <c r="A14" s="2">
        <v>46104</v>
      </c>
      <c r="B14" s="23">
        <f t="shared" si="3"/>
        <v>13</v>
      </c>
      <c r="C14" s="3"/>
      <c r="D14" s="4">
        <f t="shared" si="0"/>
        <v>200</v>
      </c>
      <c r="E14" s="4">
        <f t="shared" si="1"/>
        <v>57.048082761967244</v>
      </c>
      <c r="F14" s="4">
        <f t="shared" si="5"/>
        <v>142.95191723803276</v>
      </c>
      <c r="G14" s="4">
        <f t="shared" si="4"/>
        <v>18175.850179479603</v>
      </c>
      <c r="H14" s="4">
        <f t="shared" si="2"/>
        <v>1824.149820520397</v>
      </c>
      <c r="J14" s="11" t="s">
        <v>23</v>
      </c>
      <c r="K14" s="12">
        <f>IF(A2="", K9*K10, IFERROR(INDEX($G:$G, MATCH($K$12, $B:$B, 0)), 0))</f>
        <v>9.0545881903381087E-10</v>
      </c>
    </row>
    <row r="15" spans="1:12" ht="17.25" thickBot="1" x14ac:dyDescent="0.35">
      <c r="A15" s="19">
        <v>46104</v>
      </c>
      <c r="B15" s="24">
        <f t="shared" si="3"/>
        <v>14</v>
      </c>
      <c r="C15" s="20"/>
      <c r="D15" s="21">
        <f t="shared" si="0"/>
        <v>200</v>
      </c>
      <c r="E15" s="21">
        <f t="shared" si="1"/>
        <v>56.602904482158308</v>
      </c>
      <c r="F15" s="21">
        <f t="shared" si="5"/>
        <v>143.39709551784171</v>
      </c>
      <c r="G15" s="21">
        <f t="shared" si="4"/>
        <v>18032.453083961762</v>
      </c>
      <c r="H15" s="21">
        <f t="shared" si="2"/>
        <v>1967.5469160382381</v>
      </c>
      <c r="J15" s="13" t="s">
        <v>6</v>
      </c>
      <c r="K15" s="14">
        <f>IFERROR(INDEX($H:$H, MATCH($K$12, $B:$B, 0)), 0)</f>
        <v>19999.999999999094</v>
      </c>
    </row>
    <row r="16" spans="1:12" x14ac:dyDescent="0.3">
      <c r="A16" s="2">
        <v>46104</v>
      </c>
      <c r="B16" s="23">
        <f t="shared" si="3"/>
        <v>15</v>
      </c>
      <c r="C16" s="3"/>
      <c r="D16" s="4">
        <f t="shared" si="0"/>
        <v>200</v>
      </c>
      <c r="E16" s="4">
        <f t="shared" si="1"/>
        <v>56.156339836187634</v>
      </c>
      <c r="F16" s="4">
        <f t="shared" si="5"/>
        <v>143.84366016381236</v>
      </c>
      <c r="G16" s="4">
        <f t="shared" si="4"/>
        <v>17888.609423797949</v>
      </c>
      <c r="H16" s="4">
        <f t="shared" si="2"/>
        <v>2111.3905762020513</v>
      </c>
      <c r="J16" s="15" t="s">
        <v>18</v>
      </c>
      <c r="K16" s="16">
        <f>IF(A2,A2, "")</f>
        <v>46092</v>
      </c>
    </row>
    <row r="17" spans="1:11" x14ac:dyDescent="0.3">
      <c r="A17" s="19">
        <v>46114</v>
      </c>
      <c r="B17" s="24">
        <f t="shared" si="3"/>
        <v>16</v>
      </c>
      <c r="C17" s="20"/>
      <c r="D17" s="21">
        <f t="shared" si="0"/>
        <v>200</v>
      </c>
      <c r="E17" s="21">
        <f t="shared" si="1"/>
        <v>55.708384506658753</v>
      </c>
      <c r="F17" s="21">
        <f t="shared" si="5"/>
        <v>144.29161549334125</v>
      </c>
      <c r="G17" s="21">
        <f t="shared" si="4"/>
        <v>17744.317808304608</v>
      </c>
      <c r="H17" s="21">
        <f t="shared" si="2"/>
        <v>2255.6821916953922</v>
      </c>
      <c r="J17" s="17" t="s">
        <v>19</v>
      </c>
      <c r="K17" s="18">
        <f xml:space="preserve"> IF(A2,(K16 + 120),"")</f>
        <v>46212</v>
      </c>
    </row>
    <row r="18" spans="1:11" x14ac:dyDescent="0.3">
      <c r="A18" s="2">
        <v>46114</v>
      </c>
      <c r="B18" s="23">
        <f t="shared" si="3"/>
        <v>17</v>
      </c>
      <c r="C18" s="3"/>
      <c r="D18" s="4">
        <f t="shared" si="0"/>
        <v>200</v>
      </c>
      <c r="E18" s="4">
        <f t="shared" si="1"/>
        <v>55.259034162730046</v>
      </c>
      <c r="F18" s="4">
        <f t="shared" si="5"/>
        <v>144.74096583726995</v>
      </c>
      <c r="G18" s="4">
        <f t="shared" si="4"/>
        <v>17599.576842467337</v>
      </c>
      <c r="H18" s="4">
        <f t="shared" si="2"/>
        <v>2400.423157532663</v>
      </c>
    </row>
    <row r="19" spans="1:11" x14ac:dyDescent="0.3">
      <c r="A19" s="19">
        <v>46114</v>
      </c>
      <c r="B19" s="24">
        <f t="shared" si="3"/>
        <v>18</v>
      </c>
      <c r="C19" s="20"/>
      <c r="D19" s="21">
        <f t="shared" si="0"/>
        <v>200</v>
      </c>
      <c r="E19" s="21">
        <f t="shared" si="1"/>
        <v>54.808284460072834</v>
      </c>
      <c r="F19" s="21">
        <f t="shared" si="5"/>
        <v>145.19171553992717</v>
      </c>
      <c r="G19" s="21">
        <f t="shared" si="4"/>
        <v>17454.385126927409</v>
      </c>
      <c r="H19" s="21">
        <f t="shared" si="2"/>
        <v>2545.6148730725909</v>
      </c>
    </row>
    <row r="20" spans="1:11" x14ac:dyDescent="0.3">
      <c r="A20" s="2">
        <v>46114</v>
      </c>
      <c r="B20" s="23">
        <f t="shared" si="3"/>
        <v>19</v>
      </c>
      <c r="C20" s="3"/>
      <c r="D20" s="4">
        <f t="shared" si="0"/>
        <v>200</v>
      </c>
      <c r="E20" s="4">
        <f t="shared" si="1"/>
        <v>54.356131040829446</v>
      </c>
      <c r="F20" s="4">
        <f t="shared" si="5"/>
        <v>145.64386895917056</v>
      </c>
      <c r="G20" s="4">
        <f t="shared" si="4"/>
        <v>17308.741257968239</v>
      </c>
      <c r="H20" s="4">
        <f t="shared" si="2"/>
        <v>2691.2587420317614</v>
      </c>
      <c r="J20" s="22"/>
      <c r="K20" s="22"/>
    </row>
    <row r="21" spans="1:11" x14ac:dyDescent="0.3">
      <c r="A21" s="19">
        <v>46114</v>
      </c>
      <c r="B21" s="24">
        <f t="shared" si="3"/>
        <v>20</v>
      </c>
      <c r="C21" s="20"/>
      <c r="D21" s="21">
        <f t="shared" si="0"/>
        <v>200</v>
      </c>
      <c r="E21" s="21">
        <f t="shared" si="1"/>
        <v>53.902569533571032</v>
      </c>
      <c r="F21" s="21">
        <f t="shared" si="5"/>
        <v>146.09743046642896</v>
      </c>
      <c r="G21" s="21">
        <f t="shared" si="4"/>
        <v>17162.643827501808</v>
      </c>
      <c r="H21" s="21">
        <f t="shared" si="2"/>
        <v>2837.3561724981919</v>
      </c>
    </row>
    <row r="22" spans="1:11" x14ac:dyDescent="0.3">
      <c r="A22" s="2">
        <v>46143</v>
      </c>
      <c r="B22" s="23">
        <f t="shared" si="3"/>
        <v>21</v>
      </c>
      <c r="C22" s="3"/>
      <c r="D22" s="4">
        <f t="shared" si="0"/>
        <v>200</v>
      </c>
      <c r="E22" s="4">
        <f t="shared" si="1"/>
        <v>53.447595553255304</v>
      </c>
      <c r="F22" s="4">
        <f t="shared" si="5"/>
        <v>146.5524044467447</v>
      </c>
      <c r="G22" s="4">
        <f t="shared" si="4"/>
        <v>17016.091423055062</v>
      </c>
      <c r="H22" s="4">
        <f t="shared" si="2"/>
        <v>2983.9085769449375</v>
      </c>
    </row>
    <row r="23" spans="1:11" x14ac:dyDescent="0.3">
      <c r="A23" s="19">
        <v>46143</v>
      </c>
      <c r="B23" s="24">
        <f t="shared" si="3"/>
        <v>22</v>
      </c>
      <c r="C23" s="20"/>
      <c r="D23" s="21">
        <f t="shared" si="0"/>
        <v>200</v>
      </c>
      <c r="E23" s="21">
        <f t="shared" si="1"/>
        <v>52.991204701184181</v>
      </c>
      <c r="F23" s="21">
        <f t="shared" si="5"/>
        <v>147.00879529881581</v>
      </c>
      <c r="G23" s="21">
        <f t="shared" si="4"/>
        <v>16869.082627756248</v>
      </c>
      <c r="H23" s="21">
        <f t="shared" si="2"/>
        <v>3130.9173722437517</v>
      </c>
    </row>
    <row r="24" spans="1:11" x14ac:dyDescent="0.3">
      <c r="A24" s="2">
        <v>46143</v>
      </c>
      <c r="B24" s="23">
        <f t="shared" si="3"/>
        <v>23</v>
      </c>
      <c r="C24" s="3"/>
      <c r="D24" s="4">
        <f t="shared" si="0"/>
        <v>200</v>
      </c>
      <c r="E24" s="4">
        <f t="shared" si="1"/>
        <v>52.533392564961225</v>
      </c>
      <c r="F24" s="4">
        <f t="shared" si="5"/>
        <v>147.46660743503878</v>
      </c>
      <c r="G24" s="4">
        <f t="shared" si="4"/>
        <v>16721.616020321209</v>
      </c>
      <c r="H24" s="4">
        <f t="shared" si="2"/>
        <v>3278.3839796787906</v>
      </c>
    </row>
    <row r="25" spans="1:11" x14ac:dyDescent="0.3">
      <c r="A25" s="19">
        <v>46143</v>
      </c>
      <c r="B25" s="24">
        <f t="shared" si="3"/>
        <v>24</v>
      </c>
      <c r="C25" s="20"/>
      <c r="D25" s="21">
        <f t="shared" si="0"/>
        <v>200</v>
      </c>
      <c r="E25" s="21">
        <f t="shared" si="1"/>
        <v>52.07415471844898</v>
      </c>
      <c r="F25" s="21">
        <f t="shared" si="5"/>
        <v>147.92584528155101</v>
      </c>
      <c r="G25" s="21">
        <f t="shared" si="4"/>
        <v>16573.690175039657</v>
      </c>
      <c r="H25" s="21">
        <f t="shared" si="2"/>
        <v>3426.3098249603427</v>
      </c>
    </row>
    <row r="26" spans="1:11" x14ac:dyDescent="0.3">
      <c r="A26" s="2">
        <v>46143</v>
      </c>
      <c r="B26" s="23">
        <f t="shared" si="3"/>
        <v>25</v>
      </c>
      <c r="C26" s="3"/>
      <c r="D26" s="4">
        <f t="shared" si="0"/>
        <v>200</v>
      </c>
      <c r="E26" s="4">
        <f t="shared" si="1"/>
        <v>51.613486721726204</v>
      </c>
      <c r="F26" s="4">
        <f t="shared" si="5"/>
        <v>148.38651327827381</v>
      </c>
      <c r="G26" s="4">
        <f t="shared" si="4"/>
        <v>16425.303661761383</v>
      </c>
      <c r="H26" s="4">
        <f t="shared" si="2"/>
        <v>3574.6963382386166</v>
      </c>
    </row>
    <row r="27" spans="1:11" x14ac:dyDescent="0.3">
      <c r="A27" s="19">
        <v>46143</v>
      </c>
      <c r="B27" s="24">
        <f t="shared" si="3"/>
        <v>26</v>
      </c>
      <c r="C27" s="20"/>
      <c r="D27" s="21">
        <f t="shared" si="0"/>
        <v>200</v>
      </c>
      <c r="E27" s="21">
        <f t="shared" si="1"/>
        <v>51.151384121044934</v>
      </c>
      <c r="F27" s="21">
        <f t="shared" si="5"/>
        <v>148.84861587895506</v>
      </c>
      <c r="G27" s="21">
        <f t="shared" si="4"/>
        <v>16276.455045882429</v>
      </c>
      <c r="H27" s="21">
        <f t="shared" si="2"/>
        <v>3723.5449541175713</v>
      </c>
    </row>
    <row r="28" spans="1:11" x14ac:dyDescent="0.3">
      <c r="A28" s="2">
        <v>46143</v>
      </c>
      <c r="B28" s="23">
        <f t="shared" si="3"/>
        <v>27</v>
      </c>
      <c r="C28" s="3"/>
      <c r="D28" s="4">
        <f t="shared" si="0"/>
        <v>200</v>
      </c>
      <c r="E28" s="4">
        <f t="shared" si="1"/>
        <v>50.687842448787421</v>
      </c>
      <c r="F28" s="4">
        <f t="shared" si="5"/>
        <v>149.31215755121258</v>
      </c>
      <c r="G28" s="4">
        <f t="shared" si="4"/>
        <v>16127.142888331216</v>
      </c>
      <c r="H28" s="4">
        <f t="shared" si="2"/>
        <v>3872.8571116687835</v>
      </c>
    </row>
    <row r="29" spans="1:11" x14ac:dyDescent="0.3">
      <c r="A29" s="19">
        <v>46143</v>
      </c>
      <c r="B29" s="24">
        <f t="shared" si="3"/>
        <v>28</v>
      </c>
      <c r="C29" s="20"/>
      <c r="D29" s="21">
        <f t="shared" si="0"/>
        <v>200</v>
      </c>
      <c r="E29" s="21">
        <f t="shared" si="1"/>
        <v>50.222857223422949</v>
      </c>
      <c r="F29" s="21">
        <f t="shared" si="5"/>
        <v>149.77714277657705</v>
      </c>
      <c r="G29" s="21">
        <f t="shared" si="4"/>
        <v>15977.36574555464</v>
      </c>
      <c r="H29" s="21">
        <f t="shared" si="2"/>
        <v>4022.6342544453601</v>
      </c>
    </row>
    <row r="30" spans="1:11" x14ac:dyDescent="0.3">
      <c r="A30" s="2">
        <v>46143</v>
      </c>
      <c r="B30" s="23">
        <f t="shared" si="3"/>
        <v>29</v>
      </c>
      <c r="C30" s="3"/>
      <c r="D30" s="4">
        <f t="shared" si="0"/>
        <v>200</v>
      </c>
      <c r="E30" s="4">
        <f t="shared" si="1"/>
        <v>49.756423949464491</v>
      </c>
      <c r="F30" s="4">
        <f t="shared" si="5"/>
        <v>150.24357605053552</v>
      </c>
      <c r="G30" s="4">
        <f t="shared" si="4"/>
        <v>15827.122169504104</v>
      </c>
      <c r="H30" s="4">
        <f t="shared" si="2"/>
        <v>4172.877830495896</v>
      </c>
    </row>
    <row r="31" spans="1:11" x14ac:dyDescent="0.3">
      <c r="A31" s="19">
        <v>46143</v>
      </c>
      <c r="B31" s="24">
        <f t="shared" si="3"/>
        <v>30</v>
      </c>
      <c r="C31" s="20"/>
      <c r="D31" s="21">
        <f t="shared" si="0"/>
        <v>200</v>
      </c>
      <c r="E31" s="21">
        <f t="shared" si="1"/>
        <v>49.288538117425247</v>
      </c>
      <c r="F31" s="21">
        <f t="shared" si="5"/>
        <v>150.71146188257475</v>
      </c>
      <c r="G31" s="21">
        <f t="shared" si="4"/>
        <v>15676.41070762153</v>
      </c>
      <c r="H31" s="21">
        <f t="shared" si="2"/>
        <v>4323.5892923784704</v>
      </c>
    </row>
    <row r="32" spans="1:11" x14ac:dyDescent="0.3">
      <c r="A32" s="2">
        <v>46150</v>
      </c>
      <c r="B32" s="23">
        <f t="shared" si="3"/>
        <v>31</v>
      </c>
      <c r="C32" s="3"/>
      <c r="D32" s="4">
        <f t="shared" si="0"/>
        <v>200</v>
      </c>
      <c r="E32" s="4">
        <f t="shared" si="1"/>
        <v>48.819195203775088</v>
      </c>
      <c r="F32" s="4">
        <f t="shared" si="5"/>
        <v>151.18080479622492</v>
      </c>
      <c r="G32" s="4">
        <f t="shared" si="4"/>
        <v>15525.229902825306</v>
      </c>
      <c r="H32" s="4">
        <f t="shared" si="2"/>
        <v>4474.7700971746945</v>
      </c>
    </row>
    <row r="33" spans="1:8" x14ac:dyDescent="0.3">
      <c r="A33" s="19">
        <v>46150</v>
      </c>
      <c r="B33" s="24">
        <f t="shared" si="3"/>
        <v>32</v>
      </c>
      <c r="C33" s="20"/>
      <c r="D33" s="21">
        <f t="shared" si="0"/>
        <v>200</v>
      </c>
      <c r="E33" s="21">
        <f t="shared" si="1"/>
        <v>48.348390670896748</v>
      </c>
      <c r="F33" s="21">
        <f t="shared" si="5"/>
        <v>151.65160932910325</v>
      </c>
      <c r="G33" s="21">
        <f t="shared" si="4"/>
        <v>15373.578293496203</v>
      </c>
      <c r="H33" s="21">
        <f t="shared" si="2"/>
        <v>4626.4217065037974</v>
      </c>
    </row>
    <row r="34" spans="1:8" x14ac:dyDescent="0.3">
      <c r="A34" s="2">
        <v>46150</v>
      </c>
      <c r="B34" s="23">
        <f t="shared" si="3"/>
        <v>33</v>
      </c>
      <c r="C34" s="3"/>
      <c r="D34" s="4">
        <f t="shared" ref="D34:D65" si="6">IF(AND($A34&lt;&gt;"",$B34&lt;&gt;""),$K$9,"")</f>
        <v>200</v>
      </c>
      <c r="E34" s="4">
        <f t="shared" si="1"/>
        <v>47.87611996704203</v>
      </c>
      <c r="F34" s="4">
        <f t="shared" si="5"/>
        <v>152.12388003295797</v>
      </c>
      <c r="G34" s="4">
        <f t="shared" si="4"/>
        <v>15221.454413463245</v>
      </c>
      <c r="H34" s="4">
        <f t="shared" si="2"/>
        <v>4778.5455865367549</v>
      </c>
    </row>
    <row r="35" spans="1:8" x14ac:dyDescent="0.3">
      <c r="A35" s="19">
        <v>46150</v>
      </c>
      <c r="B35" s="24">
        <f t="shared" si="3"/>
        <v>34</v>
      </c>
      <c r="C35" s="20"/>
      <c r="D35" s="21">
        <f t="shared" si="6"/>
        <v>200</v>
      </c>
      <c r="E35" s="21">
        <f t="shared" ref="E35:E66" si="7">IF(AND($A35&lt;&gt;"",$B35&lt;&gt;""),G34*$K$8,"")</f>
        <v>47.402378526287741</v>
      </c>
      <c r="F35" s="21">
        <f t="shared" si="5"/>
        <v>152.59762147371225</v>
      </c>
      <c r="G35" s="21">
        <f t="shared" si="4"/>
        <v>15068.856791989532</v>
      </c>
      <c r="H35" s="21">
        <f t="shared" ref="H35:H66" si="8">IF(AND($A35&lt;&gt;"",$B35&lt;&gt;""),$K$7-G35,"")</f>
        <v>4931.1432080104678</v>
      </c>
    </row>
    <row r="36" spans="1:8" x14ac:dyDescent="0.3">
      <c r="A36" s="2">
        <v>46150</v>
      </c>
      <c r="B36" s="23">
        <f t="shared" si="3"/>
        <v>35</v>
      </c>
      <c r="C36" s="3"/>
      <c r="D36" s="4">
        <f t="shared" si="6"/>
        <v>200</v>
      </c>
      <c r="E36" s="4">
        <f t="shared" si="7"/>
        <v>46.927161768491573</v>
      </c>
      <c r="F36" s="4">
        <f t="shared" si="5"/>
        <v>153.07283823150843</v>
      </c>
      <c r="G36" s="4">
        <f t="shared" si="4"/>
        <v>14915.783953758024</v>
      </c>
      <c r="H36" s="4">
        <f t="shared" si="8"/>
        <v>5084.2160462419761</v>
      </c>
    </row>
    <row r="37" spans="1:8" x14ac:dyDescent="0.3">
      <c r="A37" s="19">
        <v>46155</v>
      </c>
      <c r="B37" s="24">
        <f t="shared" si="3"/>
        <v>36</v>
      </c>
      <c r="C37" s="20"/>
      <c r="D37" s="21">
        <f t="shared" si="6"/>
        <v>200</v>
      </c>
      <c r="E37" s="21">
        <f t="shared" si="7"/>
        <v>46.45046509924785</v>
      </c>
      <c r="F37" s="21">
        <f t="shared" si="5"/>
        <v>153.54953490075215</v>
      </c>
      <c r="G37" s="21">
        <f t="shared" si="4"/>
        <v>14762.234418857272</v>
      </c>
      <c r="H37" s="21">
        <f t="shared" si="8"/>
        <v>5237.7655811427285</v>
      </c>
    </row>
    <row r="38" spans="1:8" x14ac:dyDescent="0.3">
      <c r="A38" s="2">
        <v>46155</v>
      </c>
      <c r="B38" s="23">
        <f t="shared" si="3"/>
        <v>37</v>
      </c>
      <c r="C38" s="3"/>
      <c r="D38" s="4">
        <f t="shared" si="6"/>
        <v>200</v>
      </c>
      <c r="E38" s="4">
        <f t="shared" si="7"/>
        <v>45.972283909843043</v>
      </c>
      <c r="F38" s="4">
        <f t="shared" si="5"/>
        <v>154.02771609015696</v>
      </c>
      <c r="G38" s="4">
        <f t="shared" si="4"/>
        <v>14608.206702767115</v>
      </c>
      <c r="H38" s="4">
        <f t="shared" si="8"/>
        <v>5391.7932972328854</v>
      </c>
    </row>
    <row r="39" spans="1:8" x14ac:dyDescent="0.3">
      <c r="A39" s="19">
        <v>46155</v>
      </c>
      <c r="B39" s="24">
        <f t="shared" si="3"/>
        <v>38</v>
      </c>
      <c r="C39" s="20"/>
      <c r="D39" s="21">
        <f t="shared" si="6"/>
        <v>200</v>
      </c>
      <c r="E39" s="21">
        <f t="shared" si="7"/>
        <v>45.492613577211273</v>
      </c>
      <c r="F39" s="21">
        <f t="shared" si="5"/>
        <v>154.50738642278873</v>
      </c>
      <c r="G39" s="21">
        <f t="shared" si="4"/>
        <v>14453.699316344326</v>
      </c>
      <c r="H39" s="21">
        <f t="shared" si="8"/>
        <v>5546.3006836556742</v>
      </c>
    </row>
    <row r="40" spans="1:8" x14ac:dyDescent="0.3">
      <c r="A40" s="2">
        <v>46155</v>
      </c>
      <c r="B40" s="23">
        <f t="shared" si="3"/>
        <v>39</v>
      </c>
      <c r="C40" s="3"/>
      <c r="D40" s="4">
        <f t="shared" si="6"/>
        <v>200</v>
      </c>
      <c r="E40" s="4">
        <f t="shared" si="7"/>
        <v>45.011449463889591</v>
      </c>
      <c r="F40" s="4">
        <f t="shared" si="5"/>
        <v>154.98855053611041</v>
      </c>
      <c r="G40" s="4">
        <f t="shared" si="4"/>
        <v>14298.710765808215</v>
      </c>
      <c r="H40" s="4">
        <f t="shared" si="8"/>
        <v>5701.289234191785</v>
      </c>
    </row>
    <row r="41" spans="1:8" x14ac:dyDescent="0.3">
      <c r="A41" s="19">
        <v>46155</v>
      </c>
      <c r="B41" s="24">
        <f t="shared" si="3"/>
        <v>40</v>
      </c>
      <c r="C41" s="20"/>
      <c r="D41" s="21">
        <f t="shared" si="6"/>
        <v>200</v>
      </c>
      <c r="E41" s="21">
        <f t="shared" si="7"/>
        <v>44.528786917973136</v>
      </c>
      <c r="F41" s="21">
        <f t="shared" si="5"/>
        <v>155.47121308202685</v>
      </c>
      <c r="G41" s="21">
        <f t="shared" si="4"/>
        <v>14143.239552726189</v>
      </c>
      <c r="H41" s="21">
        <f t="shared" si="8"/>
        <v>5856.7604472738112</v>
      </c>
    </row>
    <row r="42" spans="1:8" x14ac:dyDescent="0.3">
      <c r="A42" s="2">
        <v>46155</v>
      </c>
      <c r="B42" s="23">
        <f t="shared" si="3"/>
        <v>41</v>
      </c>
      <c r="C42" s="3"/>
      <c r="D42" s="4">
        <f t="shared" si="6"/>
        <v>200</v>
      </c>
      <c r="E42" s="4">
        <f t="shared" si="7"/>
        <v>44.044621273070184</v>
      </c>
      <c r="F42" s="4">
        <f t="shared" si="5"/>
        <v>155.95537872692981</v>
      </c>
      <c r="G42" s="4">
        <f t="shared" si="4"/>
        <v>13987.284173999258</v>
      </c>
      <c r="H42" s="4">
        <f t="shared" si="8"/>
        <v>6012.7158260007418</v>
      </c>
    </row>
    <row r="43" spans="1:8" x14ac:dyDescent="0.3">
      <c r="A43" s="19">
        <v>46155</v>
      </c>
      <c r="B43" s="24">
        <f t="shared" si="3"/>
        <v>42</v>
      </c>
      <c r="C43" s="20"/>
      <c r="D43" s="21">
        <f t="shared" si="6"/>
        <v>200</v>
      </c>
      <c r="E43" s="21">
        <f t="shared" si="7"/>
        <v>43.558947848256992</v>
      </c>
      <c r="F43" s="21">
        <f t="shared" si="5"/>
        <v>156.44105215174301</v>
      </c>
      <c r="G43" s="21">
        <f t="shared" si="4"/>
        <v>13830.843121847514</v>
      </c>
      <c r="H43" s="21">
        <f t="shared" si="8"/>
        <v>6169.1568781524857</v>
      </c>
    </row>
    <row r="44" spans="1:8" x14ac:dyDescent="0.3">
      <c r="A44" s="2">
        <v>46155</v>
      </c>
      <c r="B44" s="23">
        <f t="shared" si="3"/>
        <v>43</v>
      </c>
      <c r="C44" s="3"/>
      <c r="D44" s="4">
        <f t="shared" si="6"/>
        <v>200</v>
      </c>
      <c r="E44" s="4">
        <f t="shared" si="7"/>
        <v>43.071761948032602</v>
      </c>
      <c r="F44" s="4">
        <f t="shared" si="5"/>
        <v>156.92823805196741</v>
      </c>
      <c r="G44" s="4">
        <f t="shared" si="4"/>
        <v>13673.914883795547</v>
      </c>
      <c r="H44" s="4">
        <f t="shared" si="8"/>
        <v>6326.0851162044528</v>
      </c>
    </row>
    <row r="45" spans="1:8" x14ac:dyDescent="0.3">
      <c r="A45" s="19">
        <v>46155</v>
      </c>
      <c r="B45" s="24">
        <f t="shared" si="3"/>
        <v>44</v>
      </c>
      <c r="C45" s="20"/>
      <c r="D45" s="21">
        <f t="shared" si="6"/>
        <v>200</v>
      </c>
      <c r="E45" s="21">
        <f t="shared" si="7"/>
        <v>42.583058862273383</v>
      </c>
      <c r="F45" s="21">
        <f t="shared" si="5"/>
        <v>157.41694113772661</v>
      </c>
      <c r="G45" s="21">
        <f t="shared" si="4"/>
        <v>13516.497942657821</v>
      </c>
      <c r="H45" s="21">
        <f t="shared" si="8"/>
        <v>6483.5020573421789</v>
      </c>
    </row>
    <row r="46" spans="1:8" x14ac:dyDescent="0.3">
      <c r="A46" s="2">
        <v>46155</v>
      </c>
      <c r="B46" s="23">
        <f t="shared" si="3"/>
        <v>45</v>
      </c>
      <c r="C46" s="3"/>
      <c r="D46" s="4">
        <f t="shared" si="6"/>
        <v>200</v>
      </c>
      <c r="E46" s="4">
        <f t="shared" si="7"/>
        <v>42.09283386618754</v>
      </c>
      <c r="F46" s="4">
        <f t="shared" si="5"/>
        <v>157.90716613381247</v>
      </c>
      <c r="G46" s="4">
        <f t="shared" si="4"/>
        <v>13358.590776524008</v>
      </c>
      <c r="H46" s="4">
        <f t="shared" si="8"/>
        <v>6641.4092234759919</v>
      </c>
    </row>
    <row r="47" spans="1:8" x14ac:dyDescent="0.3">
      <c r="A47" s="19">
        <v>46162</v>
      </c>
      <c r="B47" s="24">
        <f t="shared" si="3"/>
        <v>46</v>
      </c>
      <c r="C47" s="20"/>
      <c r="D47" s="21">
        <f t="shared" si="6"/>
        <v>200</v>
      </c>
      <c r="E47" s="21">
        <f t="shared" si="7"/>
        <v>41.601082220269404</v>
      </c>
      <c r="F47" s="21">
        <f t="shared" si="5"/>
        <v>158.3989177797306</v>
      </c>
      <c r="G47" s="21">
        <f t="shared" si="4"/>
        <v>13200.191858744278</v>
      </c>
      <c r="H47" s="21">
        <f t="shared" si="8"/>
        <v>6799.8081412557221</v>
      </c>
    </row>
    <row r="48" spans="1:8" x14ac:dyDescent="0.3">
      <c r="A48" s="2">
        <v>46162</v>
      </c>
      <c r="B48" s="23">
        <f t="shared" si="3"/>
        <v>47</v>
      </c>
      <c r="C48" s="3"/>
      <c r="D48" s="4">
        <f t="shared" si="6"/>
        <v>200</v>
      </c>
      <c r="E48" s="4">
        <f t="shared" si="7"/>
        <v>41.107799170253642</v>
      </c>
      <c r="F48" s="4">
        <f t="shared" si="5"/>
        <v>158.89220082974634</v>
      </c>
      <c r="G48" s="4">
        <f t="shared" si="4"/>
        <v>13041.299657914531</v>
      </c>
      <c r="H48" s="4">
        <f t="shared" si="8"/>
        <v>6958.7003420854689</v>
      </c>
    </row>
    <row r="49" spans="1:8" x14ac:dyDescent="0.3">
      <c r="A49" s="19">
        <v>46162</v>
      </c>
      <c r="B49" s="24">
        <f t="shared" si="3"/>
        <v>48</v>
      </c>
      <c r="C49" s="20"/>
      <c r="D49" s="21">
        <f t="shared" si="6"/>
        <v>200</v>
      </c>
      <c r="E49" s="21">
        <f t="shared" si="7"/>
        <v>40.612979947069242</v>
      </c>
      <c r="F49" s="21">
        <f t="shared" si="5"/>
        <v>159.38702005293075</v>
      </c>
      <c r="G49" s="21">
        <f t="shared" si="4"/>
        <v>12881.9126378616</v>
      </c>
      <c r="H49" s="21">
        <f t="shared" si="8"/>
        <v>7118.0873621383998</v>
      </c>
    </row>
    <row r="50" spans="1:8" x14ac:dyDescent="0.3">
      <c r="A50" s="2">
        <v>46162</v>
      </c>
      <c r="B50" s="23">
        <f t="shared" si="3"/>
        <v>49</v>
      </c>
      <c r="C50" s="3"/>
      <c r="D50" s="4">
        <f t="shared" si="6"/>
        <v>200</v>
      </c>
      <c r="E50" s="4">
        <f t="shared" si="7"/>
        <v>40.11661976679347</v>
      </c>
      <c r="F50" s="4">
        <f t="shared" si="5"/>
        <v>159.88338023320654</v>
      </c>
      <c r="G50" s="4">
        <f t="shared" si="4"/>
        <v>12722.029257628394</v>
      </c>
      <c r="H50" s="4">
        <f t="shared" si="8"/>
        <v>7277.9707423716063</v>
      </c>
    </row>
    <row r="51" spans="1:8" x14ac:dyDescent="0.3">
      <c r="A51" s="19">
        <v>46162</v>
      </c>
      <c r="B51" s="24">
        <f t="shared" si="3"/>
        <v>50</v>
      </c>
      <c r="C51" s="20"/>
      <c r="D51" s="21">
        <f t="shared" si="6"/>
        <v>200</v>
      </c>
      <c r="E51" s="21">
        <f t="shared" si="7"/>
        <v>39.618713830605572</v>
      </c>
      <c r="F51" s="21">
        <f t="shared" si="5"/>
        <v>160.38128616939443</v>
      </c>
      <c r="G51" s="21">
        <f t="shared" si="4"/>
        <v>12561.647971458999</v>
      </c>
      <c r="H51" s="21">
        <f t="shared" si="8"/>
        <v>7438.3520285410013</v>
      </c>
    </row>
    <row r="52" spans="1:8" x14ac:dyDescent="0.3">
      <c r="A52" s="2">
        <v>46171</v>
      </c>
      <c r="B52" s="23">
        <f t="shared" si="3"/>
        <v>51</v>
      </c>
      <c r="C52" s="3"/>
      <c r="D52" s="4">
        <f t="shared" si="6"/>
        <v>200</v>
      </c>
      <c r="E52" s="4">
        <f t="shared" si="7"/>
        <v>39.119257324740389</v>
      </c>
      <c r="F52" s="4">
        <f t="shared" si="5"/>
        <v>160.88074267525963</v>
      </c>
      <c r="G52" s="4">
        <f t="shared" si="4"/>
        <v>12400.767228783739</v>
      </c>
      <c r="H52" s="4">
        <f t="shared" si="8"/>
        <v>7599.2327712162605</v>
      </c>
    </row>
    <row r="53" spans="1:8" x14ac:dyDescent="0.3">
      <c r="A53" s="19">
        <v>46171</v>
      </c>
      <c r="B53" s="24">
        <f t="shared" si="3"/>
        <v>52</v>
      </c>
      <c r="C53" s="20"/>
      <c r="D53" s="21">
        <f t="shared" si="6"/>
        <v>200</v>
      </c>
      <c r="E53" s="21">
        <f t="shared" si="7"/>
        <v>38.618245420441831</v>
      </c>
      <c r="F53" s="21">
        <f t="shared" si="5"/>
        <v>161.38175457955816</v>
      </c>
      <c r="G53" s="21">
        <f t="shared" si="4"/>
        <v>12239.385474204182</v>
      </c>
      <c r="H53" s="21">
        <f t="shared" si="8"/>
        <v>7760.6145257958178</v>
      </c>
    </row>
    <row r="54" spans="1:8" x14ac:dyDescent="0.3">
      <c r="A54" s="2">
        <v>46171</v>
      </c>
      <c r="B54" s="23">
        <f t="shared" si="3"/>
        <v>53</v>
      </c>
      <c r="C54" s="3"/>
      <c r="D54" s="4">
        <f t="shared" si="6"/>
        <v>200</v>
      </c>
      <c r="E54" s="4">
        <f t="shared" si="7"/>
        <v>38.115673273916173</v>
      </c>
      <c r="F54" s="4">
        <f t="shared" si="5"/>
        <v>161.88432672608383</v>
      </c>
      <c r="G54" s="4">
        <f t="shared" si="4"/>
        <v>12077.501147478099</v>
      </c>
      <c r="H54" s="4">
        <f t="shared" si="8"/>
        <v>7922.4988525219014</v>
      </c>
    </row>
    <row r="55" spans="1:8" x14ac:dyDescent="0.3">
      <c r="A55" s="19">
        <v>46171</v>
      </c>
      <c r="B55" s="24">
        <f t="shared" si="3"/>
        <v>54</v>
      </c>
      <c r="C55" s="20"/>
      <c r="D55" s="21">
        <f t="shared" si="6"/>
        <v>200</v>
      </c>
      <c r="E55" s="21">
        <f t="shared" si="7"/>
        <v>37.611536026285243</v>
      </c>
      <c r="F55" s="21">
        <f t="shared" si="5"/>
        <v>162.38846397371475</v>
      </c>
      <c r="G55" s="21">
        <f t="shared" si="4"/>
        <v>11915.112683504383</v>
      </c>
      <c r="H55" s="21">
        <f t="shared" si="8"/>
        <v>8084.8873164956167</v>
      </c>
    </row>
    <row r="56" spans="1:8" x14ac:dyDescent="0.3">
      <c r="A56" s="2">
        <v>46171</v>
      </c>
      <c r="B56" s="23">
        <f t="shared" si="3"/>
        <v>55</v>
      </c>
      <c r="C56" s="3"/>
      <c r="D56" s="4">
        <f t="shared" si="6"/>
        <v>200</v>
      </c>
      <c r="E56" s="4">
        <f t="shared" si="7"/>
        <v>37.105828803539431</v>
      </c>
      <c r="F56" s="4">
        <f t="shared" si="5"/>
        <v>162.89417119646058</v>
      </c>
      <c r="G56" s="4">
        <f t="shared" si="4"/>
        <v>11752.218512307923</v>
      </c>
      <c r="H56" s="4">
        <f t="shared" si="8"/>
        <v>8247.7814876920766</v>
      </c>
    </row>
    <row r="57" spans="1:8" x14ac:dyDescent="0.3">
      <c r="A57" s="19">
        <v>46175</v>
      </c>
      <c r="B57" s="24">
        <f t="shared" si="3"/>
        <v>56</v>
      </c>
      <c r="C57" s="20"/>
      <c r="D57" s="21">
        <f t="shared" si="6"/>
        <v>200</v>
      </c>
      <c r="E57" s="21">
        <f t="shared" si="7"/>
        <v>36.598546716490581</v>
      </c>
      <c r="F57" s="21">
        <f t="shared" si="5"/>
        <v>163.40145328350943</v>
      </c>
      <c r="G57" s="21">
        <f t="shared" si="4"/>
        <v>11588.817059024414</v>
      </c>
      <c r="H57" s="21">
        <f t="shared" si="8"/>
        <v>8411.1829409755865</v>
      </c>
    </row>
    <row r="58" spans="1:8" x14ac:dyDescent="0.3">
      <c r="A58" s="2">
        <v>46175</v>
      </c>
      <c r="B58" s="23">
        <f t="shared" si="3"/>
        <v>57</v>
      </c>
      <c r="C58" s="3"/>
      <c r="D58" s="4">
        <f t="shared" si="6"/>
        <v>200</v>
      </c>
      <c r="E58" s="4">
        <f t="shared" si="7"/>
        <v>36.089684860724716</v>
      </c>
      <c r="F58" s="4">
        <f t="shared" si="5"/>
        <v>163.91031513927527</v>
      </c>
      <c r="G58" s="4">
        <f t="shared" si="4"/>
        <v>11424.906743885138</v>
      </c>
      <c r="H58" s="4">
        <f t="shared" si="8"/>
        <v>8575.093256114862</v>
      </c>
    </row>
    <row r="59" spans="1:8" x14ac:dyDescent="0.3">
      <c r="A59" s="19">
        <v>46175</v>
      </c>
      <c r="B59" s="24">
        <f t="shared" si="3"/>
        <v>58</v>
      </c>
      <c r="C59" s="20"/>
      <c r="D59" s="21">
        <f t="shared" si="6"/>
        <v>200</v>
      </c>
      <c r="E59" s="21">
        <f t="shared" si="7"/>
        <v>35.579238316554616</v>
      </c>
      <c r="F59" s="21">
        <f t="shared" si="5"/>
        <v>164.42076168344539</v>
      </c>
      <c r="G59" s="21">
        <f t="shared" si="4"/>
        <v>11260.485982201693</v>
      </c>
      <c r="H59" s="21">
        <f t="shared" si="8"/>
        <v>8739.5140177983067</v>
      </c>
    </row>
    <row r="60" spans="1:8" x14ac:dyDescent="0.3">
      <c r="A60" s="2">
        <v>46175</v>
      </c>
      <c r="B60" s="23">
        <f t="shared" si="3"/>
        <v>59</v>
      </c>
      <c r="C60" s="3"/>
      <c r="D60" s="4">
        <f t="shared" si="6"/>
        <v>200</v>
      </c>
      <c r="E60" s="4">
        <f t="shared" si="7"/>
        <v>35.067202148972264</v>
      </c>
      <c r="F60" s="4">
        <f t="shared" si="5"/>
        <v>164.93279785102774</v>
      </c>
      <c r="G60" s="4">
        <f t="shared" si="4"/>
        <v>11095.553184350665</v>
      </c>
      <c r="H60" s="4">
        <f t="shared" si="8"/>
        <v>8904.4468156493349</v>
      </c>
    </row>
    <row r="61" spans="1:8" x14ac:dyDescent="0.3">
      <c r="A61" s="19">
        <v>46175</v>
      </c>
      <c r="B61" s="24">
        <f t="shared" si="3"/>
        <v>60</v>
      </c>
      <c r="C61" s="20"/>
      <c r="D61" s="21">
        <f t="shared" si="6"/>
        <v>200</v>
      </c>
      <c r="E61" s="21">
        <f t="shared" si="7"/>
        <v>34.553571407601126</v>
      </c>
      <c r="F61" s="21">
        <f t="shared" si="5"/>
        <v>165.44642859239889</v>
      </c>
      <c r="G61" s="21">
        <f t="shared" si="4"/>
        <v>10930.106755758266</v>
      </c>
      <c r="H61" s="21">
        <f t="shared" si="8"/>
        <v>9069.8932442417336</v>
      </c>
    </row>
    <row r="62" spans="1:8" x14ac:dyDescent="0.3">
      <c r="A62" s="2">
        <v>46181</v>
      </c>
      <c r="B62" s="23">
        <f t="shared" si="3"/>
        <v>61</v>
      </c>
      <c r="C62" s="3"/>
      <c r="D62" s="4">
        <f t="shared" si="6"/>
        <v>200</v>
      </c>
      <c r="E62" s="4">
        <f t="shared" si="7"/>
        <v>34.038341126648298</v>
      </c>
      <c r="F62" s="4">
        <f t="shared" si="5"/>
        <v>165.96165887335169</v>
      </c>
      <c r="G62" s="4">
        <f t="shared" si="4"/>
        <v>10764.145096884915</v>
      </c>
      <c r="H62" s="4">
        <f t="shared" si="8"/>
        <v>9235.8549031150851</v>
      </c>
    </row>
    <row r="63" spans="1:8" x14ac:dyDescent="0.3">
      <c r="A63" s="19">
        <v>46181</v>
      </c>
      <c r="B63" s="24">
        <f t="shared" si="3"/>
        <v>62</v>
      </c>
      <c r="C63" s="20"/>
      <c r="D63" s="21">
        <f t="shared" si="6"/>
        <v>200</v>
      </c>
      <c r="E63" s="21">
        <f t="shared" si="7"/>
        <v>33.521506324856489</v>
      </c>
      <c r="F63" s="21">
        <f t="shared" si="5"/>
        <v>166.47849367514351</v>
      </c>
      <c r="G63" s="21">
        <f t="shared" si="4"/>
        <v>10597.666603209771</v>
      </c>
      <c r="H63" s="21">
        <f t="shared" si="8"/>
        <v>9402.333396790229</v>
      </c>
    </row>
    <row r="64" spans="1:8" x14ac:dyDescent="0.3">
      <c r="A64" s="2">
        <v>46181</v>
      </c>
      <c r="B64" s="23">
        <f t="shared" si="3"/>
        <v>63</v>
      </c>
      <c r="C64" s="3"/>
      <c r="D64" s="4">
        <f t="shared" si="6"/>
        <v>200</v>
      </c>
      <c r="E64" s="4">
        <f t="shared" si="7"/>
        <v>33.003062005455881</v>
      </c>
      <c r="F64" s="4">
        <f t="shared" si="5"/>
        <v>166.99693799454411</v>
      </c>
      <c r="G64" s="4">
        <f t="shared" si="4"/>
        <v>10430.669665215228</v>
      </c>
      <c r="H64" s="4">
        <f t="shared" si="8"/>
        <v>9569.3303347847723</v>
      </c>
    </row>
    <row r="65" spans="1:8" x14ac:dyDescent="0.3">
      <c r="A65" s="19">
        <v>46181</v>
      </c>
      <c r="B65" s="24">
        <f t="shared" si="3"/>
        <v>64</v>
      </c>
      <c r="C65" s="20"/>
      <c r="D65" s="21">
        <f t="shared" si="6"/>
        <v>200</v>
      </c>
      <c r="E65" s="21">
        <f t="shared" si="7"/>
        <v>32.483003156115792</v>
      </c>
      <c r="F65" s="21">
        <f t="shared" si="5"/>
        <v>167.51699684388421</v>
      </c>
      <c r="G65" s="21">
        <f t="shared" si="4"/>
        <v>10263.152668371344</v>
      </c>
      <c r="H65" s="21">
        <f t="shared" si="8"/>
        <v>9736.8473316286563</v>
      </c>
    </row>
    <row r="66" spans="1:8" x14ac:dyDescent="0.3">
      <c r="A66" s="2">
        <v>46181</v>
      </c>
      <c r="B66" s="23">
        <f t="shared" si="3"/>
        <v>65</v>
      </c>
      <c r="C66" s="3"/>
      <c r="D66" s="4">
        <f t="shared" ref="D66:D97" si="9">IF(AND($A66&lt;&gt;"",$B66&lt;&gt;""),$K$9,"")</f>
        <v>200</v>
      </c>
      <c r="E66" s="4">
        <f t="shared" si="7"/>
        <v>31.961324748896224</v>
      </c>
      <c r="F66" s="4">
        <f t="shared" si="5"/>
        <v>168.03867525110377</v>
      </c>
      <c r="G66" s="4">
        <f t="shared" si="4"/>
        <v>10095.11399312024</v>
      </c>
      <c r="H66" s="4">
        <f t="shared" si="8"/>
        <v>9904.8860068797603</v>
      </c>
    </row>
    <row r="67" spans="1:8" x14ac:dyDescent="0.3">
      <c r="A67" s="19">
        <v>46187</v>
      </c>
      <c r="B67" s="24">
        <f t="shared" si="3"/>
        <v>66</v>
      </c>
      <c r="C67" s="20"/>
      <c r="D67" s="21">
        <f t="shared" si="9"/>
        <v>200</v>
      </c>
      <c r="E67" s="21">
        <f t="shared" ref="E67:E98" si="10">IF(AND($A67&lt;&gt;"",$B67&lt;&gt;""),G66*$K$8,"")</f>
        <v>31.438021740199275</v>
      </c>
      <c r="F67" s="21">
        <f t="shared" si="5"/>
        <v>168.56197825980072</v>
      </c>
      <c r="G67" s="21">
        <f t="shared" si="4"/>
        <v>9926.5520148604392</v>
      </c>
      <c r="H67" s="21">
        <f t="shared" ref="H67:H98" si="11">IF(AND($A67&lt;&gt;"",$B67&lt;&gt;""),$K$7-G67,"")</f>
        <v>10073.447985139561</v>
      </c>
    </row>
    <row r="68" spans="1:8" x14ac:dyDescent="0.3">
      <c r="A68" s="2">
        <v>46187</v>
      </c>
      <c r="B68" s="23">
        <f t="shared" ref="B68:B121" si="12">IF(A68&lt;&gt;"",B67+1,"")</f>
        <v>67</v>
      </c>
      <c r="C68" s="3"/>
      <c r="D68" s="4">
        <f t="shared" si="9"/>
        <v>200</v>
      </c>
      <c r="E68" s="4">
        <f t="shared" si="10"/>
        <v>30.913089070720357</v>
      </c>
      <c r="F68" s="4">
        <f t="shared" si="5"/>
        <v>169.08691092927964</v>
      </c>
      <c r="G68" s="4">
        <f t="shared" si="4"/>
        <v>9757.4651039311593</v>
      </c>
      <c r="H68" s="4">
        <f t="shared" si="11"/>
        <v>10242.534896068841</v>
      </c>
    </row>
    <row r="69" spans="1:8" x14ac:dyDescent="0.3">
      <c r="A69" s="19">
        <v>46187</v>
      </c>
      <c r="B69" s="24">
        <f t="shared" si="12"/>
        <v>68</v>
      </c>
      <c r="C69" s="20"/>
      <c r="D69" s="21">
        <f t="shared" si="9"/>
        <v>200</v>
      </c>
      <c r="E69" s="21">
        <f t="shared" si="10"/>
        <v>30.386521665399275</v>
      </c>
      <c r="F69" s="21">
        <f t="shared" si="5"/>
        <v>169.61347833460073</v>
      </c>
      <c r="G69" s="21">
        <f t="shared" si="4"/>
        <v>9587.8516255965587</v>
      </c>
      <c r="H69" s="21">
        <f t="shared" si="11"/>
        <v>10412.148374403441</v>
      </c>
    </row>
    <row r="70" spans="1:8" x14ac:dyDescent="0.3">
      <c r="A70" s="2">
        <v>46187</v>
      </c>
      <c r="B70" s="23">
        <f t="shared" si="12"/>
        <v>69</v>
      </c>
      <c r="C70" s="3"/>
      <c r="D70" s="4">
        <f t="shared" si="9"/>
        <v>200</v>
      </c>
      <c r="E70" s="4">
        <f t="shared" si="10"/>
        <v>29.858314433371195</v>
      </c>
      <c r="F70" s="4">
        <f t="shared" si="5"/>
        <v>170.14168556662881</v>
      </c>
      <c r="G70" s="4">
        <f t="shared" ref="G70:G121" si="13">IF(AND($A70&lt;&gt;"",$B70&lt;&gt;""),G69-F70,"")</f>
        <v>9417.7099400299303</v>
      </c>
      <c r="H70" s="4">
        <f t="shared" si="11"/>
        <v>10582.29005997007</v>
      </c>
    </row>
    <row r="71" spans="1:8" x14ac:dyDescent="0.3">
      <c r="A71" s="19">
        <v>46187</v>
      </c>
      <c r="B71" s="24">
        <f t="shared" si="12"/>
        <v>70</v>
      </c>
      <c r="C71" s="20"/>
      <c r="D71" s="21">
        <f t="shared" si="9"/>
        <v>200</v>
      </c>
      <c r="E71" s="21">
        <f t="shared" si="10"/>
        <v>29.328462267917388</v>
      </c>
      <c r="F71" s="21">
        <f t="shared" ref="F71:F121" si="14">IF(AND($A71&lt;&gt;"",$B71&lt;&gt;""),D71-E71,"")</f>
        <v>170.67153773208261</v>
      </c>
      <c r="G71" s="21">
        <f t="shared" si="13"/>
        <v>9247.0384022978469</v>
      </c>
      <c r="H71" s="21">
        <f t="shared" si="11"/>
        <v>10752.961597702153</v>
      </c>
    </row>
    <row r="72" spans="1:8" x14ac:dyDescent="0.3">
      <c r="A72" s="2">
        <v>46216</v>
      </c>
      <c r="B72" s="23">
        <f t="shared" si="12"/>
        <v>71</v>
      </c>
      <c r="C72" s="3"/>
      <c r="D72" s="4">
        <f t="shared" si="9"/>
        <v>200</v>
      </c>
      <c r="E72" s="4">
        <f t="shared" si="10"/>
        <v>28.796960046415869</v>
      </c>
      <c r="F72" s="4">
        <f t="shared" si="14"/>
        <v>171.20303995358412</v>
      </c>
      <c r="G72" s="4">
        <f t="shared" si="13"/>
        <v>9075.8353623442636</v>
      </c>
      <c r="H72" s="4">
        <f t="shared" si="11"/>
        <v>10924.164637655736</v>
      </c>
    </row>
    <row r="73" spans="1:8" x14ac:dyDescent="0.3">
      <c r="A73" s="19">
        <v>46216</v>
      </c>
      <c r="B73" s="24">
        <f t="shared" si="12"/>
        <v>72</v>
      </c>
      <c r="C73" s="20"/>
      <c r="D73" s="21">
        <f t="shared" si="9"/>
        <v>200</v>
      </c>
      <c r="E73" s="21">
        <f t="shared" si="10"/>
        <v>28.263802630291892</v>
      </c>
      <c r="F73" s="21">
        <f t="shared" si="14"/>
        <v>171.73619736970812</v>
      </c>
      <c r="G73" s="21">
        <f t="shared" si="13"/>
        <v>8904.0991649745556</v>
      </c>
      <c r="H73" s="21">
        <f t="shared" si="11"/>
        <v>11095.900835025444</v>
      </c>
    </row>
    <row r="74" spans="1:8" x14ac:dyDescent="0.3">
      <c r="A74" s="2">
        <v>46216</v>
      </c>
      <c r="B74" s="23">
        <f t="shared" si="12"/>
        <v>73</v>
      </c>
      <c r="C74" s="3"/>
      <c r="D74" s="4">
        <f t="shared" si="9"/>
        <v>200</v>
      </c>
      <c r="E74" s="4">
        <f t="shared" si="10"/>
        <v>27.728984864968247</v>
      </c>
      <c r="F74" s="4">
        <f t="shared" si="14"/>
        <v>172.27101513503175</v>
      </c>
      <c r="G74" s="4">
        <f t="shared" si="13"/>
        <v>8731.8281498395245</v>
      </c>
      <c r="H74" s="4">
        <f t="shared" si="11"/>
        <v>11268.171850160476</v>
      </c>
    </row>
    <row r="75" spans="1:8" x14ac:dyDescent="0.3">
      <c r="A75" s="19">
        <v>46216</v>
      </c>
      <c r="B75" s="24">
        <f t="shared" si="12"/>
        <v>74</v>
      </c>
      <c r="C75" s="20"/>
      <c r="D75" s="21">
        <f t="shared" si="9"/>
        <v>200</v>
      </c>
      <c r="E75" s="21">
        <f t="shared" si="10"/>
        <v>27.192501579815431</v>
      </c>
      <c r="F75" s="21">
        <f t="shared" si="14"/>
        <v>172.80749842018457</v>
      </c>
      <c r="G75" s="21">
        <f t="shared" si="13"/>
        <v>8559.0206514193396</v>
      </c>
      <c r="H75" s="21">
        <f t="shared" si="11"/>
        <v>11440.97934858066</v>
      </c>
    </row>
    <row r="76" spans="1:8" x14ac:dyDescent="0.3">
      <c r="A76" s="2">
        <v>46216</v>
      </c>
      <c r="B76" s="23">
        <f t="shared" si="12"/>
        <v>75</v>
      </c>
      <c r="C76" s="3"/>
      <c r="D76" s="4">
        <f t="shared" si="9"/>
        <v>200</v>
      </c>
      <c r="E76" s="4">
        <f t="shared" si="10"/>
        <v>26.654347588101658</v>
      </c>
      <c r="F76" s="4">
        <f t="shared" si="14"/>
        <v>173.34565241189836</v>
      </c>
      <c r="G76" s="4">
        <f t="shared" si="13"/>
        <v>8385.6749990074404</v>
      </c>
      <c r="H76" s="4">
        <f t="shared" si="11"/>
        <v>11614.32500099256</v>
      </c>
    </row>
    <row r="77" spans="1:8" x14ac:dyDescent="0.3">
      <c r="A77" s="19">
        <v>46216</v>
      </c>
      <c r="B77" s="24">
        <f t="shared" si="12"/>
        <v>76</v>
      </c>
      <c r="C77" s="20"/>
      <c r="D77" s="21">
        <f t="shared" si="9"/>
        <v>200</v>
      </c>
      <c r="E77" s="21">
        <f t="shared" si="10"/>
        <v>26.114517686942719</v>
      </c>
      <c r="F77" s="21">
        <f t="shared" si="14"/>
        <v>173.88548231305728</v>
      </c>
      <c r="G77" s="21">
        <f t="shared" si="13"/>
        <v>8211.7895166943836</v>
      </c>
      <c r="H77" s="21">
        <f t="shared" si="11"/>
        <v>11788.210483305616</v>
      </c>
    </row>
    <row r="78" spans="1:8" x14ac:dyDescent="0.3">
      <c r="A78" s="2">
        <v>46216</v>
      </c>
      <c r="B78" s="23">
        <f t="shared" si="12"/>
        <v>77</v>
      </c>
      <c r="C78" s="3"/>
      <c r="D78" s="4">
        <f t="shared" si="9"/>
        <v>200</v>
      </c>
      <c r="E78" s="4">
        <f t="shared" si="10"/>
        <v>25.573006657251685</v>
      </c>
      <c r="F78" s="4">
        <f t="shared" si="14"/>
        <v>174.42699334274832</v>
      </c>
      <c r="G78" s="4">
        <f t="shared" si="13"/>
        <v>8037.362523351635</v>
      </c>
      <c r="H78" s="4">
        <f t="shared" si="11"/>
        <v>11962.637476648364</v>
      </c>
    </row>
    <row r="79" spans="1:8" x14ac:dyDescent="0.3">
      <c r="A79" s="19">
        <v>46216</v>
      </c>
      <c r="B79" s="24">
        <f t="shared" si="12"/>
        <v>78</v>
      </c>
      <c r="C79" s="20"/>
      <c r="D79" s="21">
        <f t="shared" si="9"/>
        <v>200</v>
      </c>
      <c r="E79" s="21">
        <f t="shared" si="10"/>
        <v>25.029809263688424</v>
      </c>
      <c r="F79" s="21">
        <f t="shared" si="14"/>
        <v>174.97019073631157</v>
      </c>
      <c r="G79" s="21">
        <f t="shared" si="13"/>
        <v>7862.3923326153235</v>
      </c>
      <c r="H79" s="21">
        <f t="shared" si="11"/>
        <v>12137.607667384676</v>
      </c>
    </row>
    <row r="80" spans="1:8" x14ac:dyDescent="0.3">
      <c r="A80" s="2">
        <v>46216</v>
      </c>
      <c r="B80" s="23">
        <f t="shared" si="12"/>
        <v>79</v>
      </c>
      <c r="C80" s="3"/>
      <c r="D80" s="4">
        <f t="shared" si="9"/>
        <v>200</v>
      </c>
      <c r="E80" s="4">
        <f t="shared" si="10"/>
        <v>24.484920254609012</v>
      </c>
      <c r="F80" s="4">
        <f t="shared" si="14"/>
        <v>175.51507974539098</v>
      </c>
      <c r="G80" s="4">
        <f t="shared" si="13"/>
        <v>7686.8772528699328</v>
      </c>
      <c r="H80" s="4">
        <f t="shared" si="11"/>
        <v>12313.122747130066</v>
      </c>
    </row>
    <row r="81" spans="1:8" x14ac:dyDescent="0.3">
      <c r="A81" s="19">
        <v>46216</v>
      </c>
      <c r="B81" s="24">
        <f t="shared" si="12"/>
        <v>80</v>
      </c>
      <c r="C81" s="20"/>
      <c r="D81" s="21">
        <f t="shared" si="9"/>
        <v>200</v>
      </c>
      <c r="E81" s="21">
        <f t="shared" si="10"/>
        <v>23.938334362014956</v>
      </c>
      <c r="F81" s="21">
        <f t="shared" si="14"/>
        <v>176.06166563798504</v>
      </c>
      <c r="G81" s="21">
        <f t="shared" si="13"/>
        <v>7510.8155872319476</v>
      </c>
      <c r="H81" s="21">
        <f t="shared" si="11"/>
        <v>12489.184412768052</v>
      </c>
    </row>
    <row r="82" spans="1:8" x14ac:dyDescent="0.3">
      <c r="A82" s="2">
        <v>46216</v>
      </c>
      <c r="B82" s="23">
        <f t="shared" si="12"/>
        <v>81</v>
      </c>
      <c r="C82" s="3"/>
      <c r="D82" s="4">
        <f t="shared" si="9"/>
        <v>200</v>
      </c>
      <c r="E82" s="4">
        <f t="shared" si="10"/>
        <v>23.390046301502238</v>
      </c>
      <c r="F82" s="4">
        <f t="shared" si="14"/>
        <v>176.60995369849775</v>
      </c>
      <c r="G82" s="4">
        <f t="shared" si="13"/>
        <v>7334.2056335334501</v>
      </c>
      <c r="H82" s="4">
        <f t="shared" si="11"/>
        <v>12665.794366466551</v>
      </c>
    </row>
    <row r="83" spans="1:8" x14ac:dyDescent="0.3">
      <c r="A83" s="19">
        <v>46216</v>
      </c>
      <c r="B83" s="24">
        <f t="shared" si="12"/>
        <v>82</v>
      </c>
      <c r="C83" s="20"/>
      <c r="D83" s="21">
        <f t="shared" si="9"/>
        <v>200</v>
      </c>
      <c r="E83" s="21">
        <f t="shared" si="10"/>
        <v>22.840050772210269</v>
      </c>
      <c r="F83" s="21">
        <f t="shared" si="14"/>
        <v>177.15994922778972</v>
      </c>
      <c r="G83" s="21">
        <f t="shared" si="13"/>
        <v>7157.04568430566</v>
      </c>
      <c r="H83" s="21">
        <f t="shared" si="11"/>
        <v>12842.95431569434</v>
      </c>
    </row>
    <row r="84" spans="1:8" x14ac:dyDescent="0.3">
      <c r="A84" s="2">
        <v>46216</v>
      </c>
      <c r="B84" s="23">
        <f t="shared" si="12"/>
        <v>83</v>
      </c>
      <c r="C84" s="3"/>
      <c r="D84" s="4">
        <f t="shared" si="9"/>
        <v>200</v>
      </c>
      <c r="E84" s="4">
        <f t="shared" si="10"/>
        <v>22.288342456770593</v>
      </c>
      <c r="F84" s="4">
        <f t="shared" si="14"/>
        <v>177.71165754322942</v>
      </c>
      <c r="G84" s="4">
        <f t="shared" si="13"/>
        <v>6979.3340267624308</v>
      </c>
      <c r="H84" s="4">
        <f t="shared" si="11"/>
        <v>13020.66597323757</v>
      </c>
    </row>
    <row r="85" spans="1:8" x14ac:dyDescent="0.3">
      <c r="A85" s="19">
        <v>46216</v>
      </c>
      <c r="B85" s="24">
        <f t="shared" si="12"/>
        <v>84</v>
      </c>
      <c r="C85" s="20"/>
      <c r="D85" s="21">
        <f t="shared" si="9"/>
        <v>200</v>
      </c>
      <c r="E85" s="21">
        <f t="shared" si="10"/>
        <v>21.734916021255518</v>
      </c>
      <c r="F85" s="21">
        <f t="shared" si="14"/>
        <v>178.26508397874449</v>
      </c>
      <c r="G85" s="21">
        <f t="shared" si="13"/>
        <v>6801.068942783686</v>
      </c>
      <c r="H85" s="21">
        <f t="shared" si="11"/>
        <v>13198.931057216314</v>
      </c>
    </row>
    <row r="86" spans="1:8" x14ac:dyDescent="0.3">
      <c r="A86" s="2">
        <v>46216</v>
      </c>
      <c r="B86" s="23">
        <f t="shared" si="12"/>
        <v>85</v>
      </c>
      <c r="C86" s="3"/>
      <c r="D86" s="4">
        <f t="shared" si="9"/>
        <v>200</v>
      </c>
      <c r="E86" s="4">
        <f t="shared" si="10"/>
        <v>21.179766115126519</v>
      </c>
      <c r="F86" s="4">
        <f t="shared" si="14"/>
        <v>178.82023388487349</v>
      </c>
      <c r="G86" s="4">
        <f t="shared" si="13"/>
        <v>6622.2487088988128</v>
      </c>
      <c r="H86" s="4">
        <f t="shared" si="11"/>
        <v>13377.751291101187</v>
      </c>
    </row>
    <row r="87" spans="1:8" x14ac:dyDescent="0.3">
      <c r="A87" s="19">
        <v>46216</v>
      </c>
      <c r="B87" s="24">
        <f t="shared" si="12"/>
        <v>86</v>
      </c>
      <c r="C87" s="20"/>
      <c r="D87" s="21">
        <f t="shared" si="9"/>
        <v>200</v>
      </c>
      <c r="E87" s="21">
        <f t="shared" si="10"/>
        <v>20.622887371182532</v>
      </c>
      <c r="F87" s="21">
        <f t="shared" si="14"/>
        <v>179.37711262881746</v>
      </c>
      <c r="G87" s="21">
        <f t="shared" si="13"/>
        <v>6442.8715962699953</v>
      </c>
      <c r="H87" s="21">
        <f t="shared" si="11"/>
        <v>13557.128403730005</v>
      </c>
    </row>
    <row r="88" spans="1:8" x14ac:dyDescent="0.3">
      <c r="A88" s="2">
        <v>46216</v>
      </c>
      <c r="B88" s="23">
        <f t="shared" si="12"/>
        <v>87</v>
      </c>
      <c r="C88" s="3"/>
      <c r="D88" s="4">
        <f t="shared" si="9"/>
        <v>200</v>
      </c>
      <c r="E88" s="4">
        <f t="shared" si="10"/>
        <v>20.064274405508044</v>
      </c>
      <c r="F88" s="4">
        <f t="shared" si="14"/>
        <v>179.93572559449194</v>
      </c>
      <c r="G88" s="4">
        <f t="shared" si="13"/>
        <v>6262.9358706755029</v>
      </c>
      <c r="H88" s="4">
        <f t="shared" si="11"/>
        <v>13737.064129324497</v>
      </c>
    </row>
    <row r="89" spans="1:8" x14ac:dyDescent="0.3">
      <c r="A89" s="19">
        <v>46216</v>
      </c>
      <c r="B89" s="24">
        <f t="shared" si="12"/>
        <v>88</v>
      </c>
      <c r="C89" s="20"/>
      <c r="D89" s="21">
        <f t="shared" si="9"/>
        <v>200</v>
      </c>
      <c r="E89" s="21">
        <f t="shared" si="10"/>
        <v>19.503921817421045</v>
      </c>
      <c r="F89" s="21">
        <f t="shared" si="14"/>
        <v>180.49607818257897</v>
      </c>
      <c r="G89" s="21">
        <f t="shared" si="13"/>
        <v>6082.4397924929235</v>
      </c>
      <c r="H89" s="21">
        <f t="shared" si="11"/>
        <v>13917.560207507076</v>
      </c>
    </row>
    <row r="90" spans="1:8" x14ac:dyDescent="0.3">
      <c r="A90" s="2">
        <v>46216</v>
      </c>
      <c r="B90" s="23">
        <f t="shared" si="12"/>
        <v>89</v>
      </c>
      <c r="C90" s="3"/>
      <c r="D90" s="4">
        <f t="shared" si="9"/>
        <v>200</v>
      </c>
      <c r="E90" s="4">
        <f t="shared" si="10"/>
        <v>18.941824189420835</v>
      </c>
      <c r="F90" s="4">
        <f t="shared" si="14"/>
        <v>181.05817581057917</v>
      </c>
      <c r="G90" s="4">
        <f t="shared" si="13"/>
        <v>5901.3816166823444</v>
      </c>
      <c r="H90" s="4">
        <f t="shared" si="11"/>
        <v>14098.618383317655</v>
      </c>
    </row>
    <row r="91" spans="1:8" x14ac:dyDescent="0.3">
      <c r="A91" s="19">
        <v>46216</v>
      </c>
      <c r="B91" s="24">
        <f t="shared" si="12"/>
        <v>90</v>
      </c>
      <c r="C91" s="20"/>
      <c r="D91" s="21">
        <f t="shared" si="9"/>
        <v>200</v>
      </c>
      <c r="E91" s="21">
        <f t="shared" si="10"/>
        <v>18.377976087135615</v>
      </c>
      <c r="F91" s="21">
        <f t="shared" si="14"/>
        <v>181.62202391286439</v>
      </c>
      <c r="G91" s="21">
        <f t="shared" si="13"/>
        <v>5719.7595927694802</v>
      </c>
      <c r="H91" s="21">
        <f t="shared" si="11"/>
        <v>14280.24040723052</v>
      </c>
    </row>
    <row r="92" spans="1:8" x14ac:dyDescent="0.3">
      <c r="A92" s="2">
        <v>46216</v>
      </c>
      <c r="B92" s="23">
        <f t="shared" si="12"/>
        <v>91</v>
      </c>
      <c r="C92" s="3"/>
      <c r="D92" s="4">
        <f t="shared" si="9"/>
        <v>200</v>
      </c>
      <c r="E92" s="4">
        <f t="shared" si="10"/>
        <v>17.812372059269972</v>
      </c>
      <c r="F92" s="4">
        <f t="shared" si="14"/>
        <v>182.18762794073004</v>
      </c>
      <c r="G92" s="4">
        <f t="shared" si="13"/>
        <v>5537.5719648287504</v>
      </c>
      <c r="H92" s="4">
        <f t="shared" si="11"/>
        <v>14462.42803517125</v>
      </c>
    </row>
    <row r="93" spans="1:8" x14ac:dyDescent="0.3">
      <c r="A93" s="19">
        <v>46216</v>
      </c>
      <c r="B93" s="24">
        <f t="shared" si="12"/>
        <v>92</v>
      </c>
      <c r="C93" s="20"/>
      <c r="D93" s="21">
        <f t="shared" si="9"/>
        <v>200</v>
      </c>
      <c r="E93" s="21">
        <f t="shared" si="10"/>
        <v>17.245006637552166</v>
      </c>
      <c r="F93" s="21">
        <f t="shared" si="14"/>
        <v>182.75499336244783</v>
      </c>
      <c r="G93" s="21">
        <f t="shared" si="13"/>
        <v>5354.8169714663027</v>
      </c>
      <c r="H93" s="21">
        <f t="shared" si="11"/>
        <v>14645.183028533698</v>
      </c>
    </row>
    <row r="94" spans="1:8" x14ac:dyDescent="0.3">
      <c r="A94" s="2">
        <v>46216</v>
      </c>
      <c r="B94" s="23">
        <f t="shared" si="12"/>
        <v>93</v>
      </c>
      <c r="C94" s="3"/>
      <c r="D94" s="4">
        <f t="shared" si="9"/>
        <v>200</v>
      </c>
      <c r="E94" s="4">
        <f t="shared" si="10"/>
        <v>16.675874336681257</v>
      </c>
      <c r="F94" s="4">
        <f t="shared" si="14"/>
        <v>183.32412566331874</v>
      </c>
      <c r="G94" s="4">
        <f t="shared" si="13"/>
        <v>5171.4928458029835</v>
      </c>
      <c r="H94" s="4">
        <f t="shared" si="11"/>
        <v>14828.507154197017</v>
      </c>
    </row>
    <row r="95" spans="1:8" x14ac:dyDescent="0.3">
      <c r="A95" s="19">
        <v>46216</v>
      </c>
      <c r="B95" s="24">
        <f t="shared" si="12"/>
        <v>94</v>
      </c>
      <c r="C95" s="20"/>
      <c r="D95" s="21">
        <f t="shared" si="9"/>
        <v>200</v>
      </c>
      <c r="E95" s="21">
        <f t="shared" si="10"/>
        <v>16.104969654274093</v>
      </c>
      <c r="F95" s="21">
        <f t="shared" si="14"/>
        <v>183.8950303457259</v>
      </c>
      <c r="G95" s="21">
        <f t="shared" si="13"/>
        <v>4987.5978154572576</v>
      </c>
      <c r="H95" s="21">
        <f t="shared" si="11"/>
        <v>15012.402184542741</v>
      </c>
    </row>
    <row r="96" spans="1:8" x14ac:dyDescent="0.3">
      <c r="A96" s="2">
        <v>46216</v>
      </c>
      <c r="B96" s="23">
        <f t="shared" si="12"/>
        <v>95</v>
      </c>
      <c r="C96" s="3"/>
      <c r="D96" s="4">
        <f t="shared" si="9"/>
        <v>200</v>
      </c>
      <c r="E96" s="4">
        <f t="shared" si="10"/>
        <v>15.532287070812087</v>
      </c>
      <c r="F96" s="4">
        <f t="shared" si="14"/>
        <v>184.46771292918791</v>
      </c>
      <c r="G96" s="4">
        <f t="shared" si="13"/>
        <v>4803.13010252807</v>
      </c>
      <c r="H96" s="4">
        <f t="shared" si="11"/>
        <v>15196.86989747193</v>
      </c>
    </row>
    <row r="97" spans="1:8" x14ac:dyDescent="0.3">
      <c r="A97" s="19">
        <v>46249</v>
      </c>
      <c r="B97" s="24">
        <f t="shared" si="12"/>
        <v>96</v>
      </c>
      <c r="C97" s="20"/>
      <c r="D97" s="21">
        <f t="shared" si="9"/>
        <v>200</v>
      </c>
      <c r="E97" s="21">
        <f t="shared" si="10"/>
        <v>14.957821049587876</v>
      </c>
      <c r="F97" s="21">
        <f t="shared" si="14"/>
        <v>185.04217895041214</v>
      </c>
      <c r="G97" s="21">
        <f t="shared" si="13"/>
        <v>4618.0879235776574</v>
      </c>
      <c r="H97" s="21">
        <f t="shared" si="11"/>
        <v>15381.912076422343</v>
      </c>
    </row>
    <row r="98" spans="1:8" x14ac:dyDescent="0.3">
      <c r="A98" s="2">
        <v>46249</v>
      </c>
      <c r="B98" s="23">
        <f t="shared" si="12"/>
        <v>97</v>
      </c>
      <c r="C98" s="3"/>
      <c r="D98" s="4">
        <f t="shared" ref="D98:D121" si="15">IF(AND($A98&lt;&gt;"",$B98&lt;&gt;""),$K$9,"")</f>
        <v>200</v>
      </c>
      <c r="E98" s="4">
        <f t="shared" si="10"/>
        <v>14.381566036651776</v>
      </c>
      <c r="F98" s="4">
        <f t="shared" si="14"/>
        <v>185.61843396334822</v>
      </c>
      <c r="G98" s="4">
        <f t="shared" si="13"/>
        <v>4432.4694896143092</v>
      </c>
      <c r="H98" s="4">
        <f t="shared" si="11"/>
        <v>15567.530510385692</v>
      </c>
    </row>
    <row r="99" spans="1:8" x14ac:dyDescent="0.3">
      <c r="A99" s="19">
        <v>46249</v>
      </c>
      <c r="B99" s="24">
        <f t="shared" si="12"/>
        <v>98</v>
      </c>
      <c r="C99" s="20"/>
      <c r="D99" s="21">
        <f t="shared" si="15"/>
        <v>200</v>
      </c>
      <c r="E99" s="21">
        <f t="shared" ref="E99:E121" si="16">IF(AND($A99&lt;&gt;"",$B99&lt;&gt;""),G98*$K$8,"")</f>
        <v>13.803516460758098</v>
      </c>
      <c r="F99" s="21">
        <f t="shared" si="14"/>
        <v>186.19648353924191</v>
      </c>
      <c r="G99" s="21">
        <f t="shared" si="13"/>
        <v>4246.2730060750673</v>
      </c>
      <c r="H99" s="21">
        <f t="shared" ref="H99:H121" si="17">IF(AND($A99&lt;&gt;"",$B99&lt;&gt;""),$K$7-G99,"")</f>
        <v>15753.726993924933</v>
      </c>
    </row>
    <row r="100" spans="1:8" x14ac:dyDescent="0.3">
      <c r="A100" s="2">
        <v>46249</v>
      </c>
      <c r="B100" s="23">
        <f t="shared" si="12"/>
        <v>99</v>
      </c>
      <c r="C100" s="3"/>
      <c r="D100" s="4">
        <f t="shared" si="15"/>
        <v>200</v>
      </c>
      <c r="E100" s="4">
        <f t="shared" si="16"/>
        <v>13.223666733311278</v>
      </c>
      <c r="F100" s="4">
        <f t="shared" si="14"/>
        <v>186.77633326668871</v>
      </c>
      <c r="G100" s="4">
        <f t="shared" si="13"/>
        <v>4059.4966728083787</v>
      </c>
      <c r="H100" s="4">
        <f t="shared" si="17"/>
        <v>15940.503327191622</v>
      </c>
    </row>
    <row r="101" spans="1:8" x14ac:dyDescent="0.3">
      <c r="A101" s="19">
        <v>46249</v>
      </c>
      <c r="B101" s="24">
        <f t="shared" si="12"/>
        <v>100</v>
      </c>
      <c r="C101" s="20"/>
      <c r="D101" s="21">
        <f t="shared" si="15"/>
        <v>200</v>
      </c>
      <c r="E101" s="21">
        <f t="shared" si="16"/>
        <v>12.642011248311851</v>
      </c>
      <c r="F101" s="21">
        <f t="shared" si="14"/>
        <v>187.35798875168814</v>
      </c>
      <c r="G101" s="21">
        <f t="shared" si="13"/>
        <v>3872.1386840566906</v>
      </c>
      <c r="H101" s="21">
        <f t="shared" si="17"/>
        <v>16127.86131594331</v>
      </c>
    </row>
    <row r="102" spans="1:8" x14ac:dyDescent="0.3">
      <c r="A102" s="2">
        <v>46259</v>
      </c>
      <c r="B102" s="23">
        <f t="shared" si="12"/>
        <v>101</v>
      </c>
      <c r="C102" s="3"/>
      <c r="D102" s="4">
        <f t="shared" si="15"/>
        <v>200</v>
      </c>
      <c r="E102" s="4">
        <f t="shared" si="16"/>
        <v>12.058544382302246</v>
      </c>
      <c r="F102" s="4">
        <f t="shared" si="14"/>
        <v>187.94145561769776</v>
      </c>
      <c r="G102" s="4">
        <f t="shared" si="13"/>
        <v>3684.1972284389931</v>
      </c>
      <c r="H102" s="4">
        <f t="shared" si="17"/>
        <v>16315.802771561008</v>
      </c>
    </row>
    <row r="103" spans="1:8" x14ac:dyDescent="0.3">
      <c r="A103" s="19">
        <v>46259</v>
      </c>
      <c r="B103" s="24">
        <f t="shared" si="12"/>
        <v>102</v>
      </c>
      <c r="C103" s="20"/>
      <c r="D103" s="21">
        <f t="shared" si="15"/>
        <v>200</v>
      </c>
      <c r="E103" s="21">
        <f t="shared" si="16"/>
        <v>11.473260494312424</v>
      </c>
      <c r="F103" s="21">
        <f t="shared" si="14"/>
        <v>188.52673950568757</v>
      </c>
      <c r="G103" s="21">
        <f t="shared" si="13"/>
        <v>3495.6704889333055</v>
      </c>
      <c r="H103" s="21">
        <f t="shared" si="17"/>
        <v>16504.329511066695</v>
      </c>
    </row>
    <row r="104" spans="1:8" x14ac:dyDescent="0.3">
      <c r="A104" s="2">
        <v>46259</v>
      </c>
      <c r="B104" s="23">
        <f t="shared" si="12"/>
        <v>103</v>
      </c>
      <c r="C104" s="3"/>
      <c r="D104" s="4">
        <f t="shared" si="15"/>
        <v>200</v>
      </c>
      <c r="E104" s="4">
        <f t="shared" si="16"/>
        <v>10.886153925805337</v>
      </c>
      <c r="F104" s="4">
        <f t="shared" si="14"/>
        <v>189.11384607419467</v>
      </c>
      <c r="G104" s="4">
        <f t="shared" si="13"/>
        <v>3306.556642859111</v>
      </c>
      <c r="H104" s="4">
        <f t="shared" si="17"/>
        <v>16693.443357140888</v>
      </c>
    </row>
    <row r="105" spans="1:8" x14ac:dyDescent="0.3">
      <c r="A105" s="19">
        <v>46259</v>
      </c>
      <c r="B105" s="24">
        <f t="shared" si="12"/>
        <v>104</v>
      </c>
      <c r="C105" s="20"/>
      <c r="D105" s="21">
        <f t="shared" si="15"/>
        <v>200</v>
      </c>
      <c r="E105" s="21">
        <f t="shared" si="16"/>
        <v>10.297219000622228</v>
      </c>
      <c r="F105" s="21">
        <f t="shared" si="14"/>
        <v>189.70278099937778</v>
      </c>
      <c r="G105" s="21">
        <f t="shared" si="13"/>
        <v>3116.8538618597331</v>
      </c>
      <c r="H105" s="21">
        <f t="shared" si="17"/>
        <v>16883.146138140266</v>
      </c>
    </row>
    <row r="106" spans="1:8" x14ac:dyDescent="0.3">
      <c r="A106" s="2">
        <v>46259</v>
      </c>
      <c r="B106" s="23">
        <f t="shared" si="12"/>
        <v>105</v>
      </c>
      <c r="C106" s="3"/>
      <c r="D106" s="4">
        <f t="shared" si="15"/>
        <v>200</v>
      </c>
      <c r="E106" s="4">
        <f t="shared" si="16"/>
        <v>9.7064500249277437</v>
      </c>
      <c r="F106" s="4">
        <f t="shared" si="14"/>
        <v>190.29354997507227</v>
      </c>
      <c r="G106" s="4">
        <f t="shared" si="13"/>
        <v>2926.5603118846607</v>
      </c>
      <c r="H106" s="4">
        <f t="shared" si="17"/>
        <v>17073.439688115341</v>
      </c>
    </row>
    <row r="107" spans="1:8" x14ac:dyDescent="0.3">
      <c r="A107" s="19">
        <v>46283</v>
      </c>
      <c r="B107" s="24">
        <f t="shared" si="12"/>
        <v>106</v>
      </c>
      <c r="C107" s="20"/>
      <c r="D107" s="21">
        <f t="shared" si="15"/>
        <v>200</v>
      </c>
      <c r="E107" s="21">
        <f t="shared" si="16"/>
        <v>9.1138412871548926</v>
      </c>
      <c r="F107" s="21">
        <f t="shared" si="14"/>
        <v>190.88615871284512</v>
      </c>
      <c r="G107" s="21">
        <f t="shared" si="13"/>
        <v>2735.6741531718158</v>
      </c>
      <c r="H107" s="21">
        <f t="shared" si="17"/>
        <v>17264.325846828186</v>
      </c>
    </row>
    <row r="108" spans="1:8" x14ac:dyDescent="0.3">
      <c r="A108" s="2">
        <v>46283</v>
      </c>
      <c r="B108" s="23">
        <f t="shared" si="12"/>
        <v>107</v>
      </c>
      <c r="C108" s="3"/>
      <c r="D108" s="4">
        <f t="shared" si="15"/>
        <v>200</v>
      </c>
      <c r="E108" s="4">
        <f t="shared" si="16"/>
        <v>8.5193870579498281</v>
      </c>
      <c r="F108" s="4">
        <f t="shared" si="14"/>
        <v>191.48061294205019</v>
      </c>
      <c r="G108" s="4">
        <f t="shared" si="13"/>
        <v>2544.1935402297654</v>
      </c>
      <c r="H108" s="4">
        <f t="shared" si="17"/>
        <v>17455.806459770236</v>
      </c>
    </row>
    <row r="109" spans="1:8" x14ac:dyDescent="0.3">
      <c r="A109" s="19">
        <v>46283</v>
      </c>
      <c r="B109" s="24">
        <f t="shared" si="12"/>
        <v>108</v>
      </c>
      <c r="C109" s="20"/>
      <c r="D109" s="21">
        <f t="shared" si="15"/>
        <v>200</v>
      </c>
      <c r="E109" s="21">
        <f t="shared" si="16"/>
        <v>7.9230815901164489</v>
      </c>
      <c r="F109" s="21">
        <f t="shared" si="14"/>
        <v>192.07691840988355</v>
      </c>
      <c r="G109" s="21">
        <f t="shared" si="13"/>
        <v>2352.1166218198819</v>
      </c>
      <c r="H109" s="21">
        <f t="shared" si="17"/>
        <v>17647.883378180119</v>
      </c>
    </row>
    <row r="110" spans="1:8" x14ac:dyDescent="0.3">
      <c r="A110" s="2">
        <v>46283</v>
      </c>
      <c r="B110" s="23">
        <f t="shared" si="12"/>
        <v>109</v>
      </c>
      <c r="C110" s="3"/>
      <c r="D110" s="4">
        <f t="shared" si="15"/>
        <v>200</v>
      </c>
      <c r="E110" s="4">
        <f t="shared" si="16"/>
        <v>7.3249191185608415</v>
      </c>
      <c r="F110" s="4">
        <f t="shared" si="14"/>
        <v>192.67508088143916</v>
      </c>
      <c r="G110" s="4">
        <f t="shared" si="13"/>
        <v>2159.4415409384428</v>
      </c>
      <c r="H110" s="4">
        <f t="shared" si="17"/>
        <v>17840.558459061558</v>
      </c>
    </row>
    <row r="111" spans="1:8" x14ac:dyDescent="0.3">
      <c r="A111" s="19">
        <v>46283</v>
      </c>
      <c r="B111" s="24">
        <f t="shared" si="12"/>
        <v>110</v>
      </c>
      <c r="C111" s="20"/>
      <c r="D111" s="21">
        <f t="shared" si="15"/>
        <v>200</v>
      </c>
      <c r="E111" s="21">
        <f t="shared" si="16"/>
        <v>6.7248938602355404</v>
      </c>
      <c r="F111" s="21">
        <f t="shared" si="14"/>
        <v>193.27510613976446</v>
      </c>
      <c r="G111" s="21">
        <f t="shared" si="13"/>
        <v>1966.1664347986784</v>
      </c>
      <c r="H111" s="21">
        <f t="shared" si="17"/>
        <v>18033.833565201323</v>
      </c>
    </row>
    <row r="112" spans="1:8" x14ac:dyDescent="0.3">
      <c r="A112" s="2">
        <v>46283</v>
      </c>
      <c r="B112" s="23">
        <f t="shared" si="12"/>
        <v>111</v>
      </c>
      <c r="C112" s="3"/>
      <c r="D112" s="4">
        <f t="shared" si="15"/>
        <v>200</v>
      </c>
      <c r="E112" s="4">
        <f t="shared" si="16"/>
        <v>6.123000014083618</v>
      </c>
      <c r="F112" s="4">
        <f t="shared" si="14"/>
        <v>193.87699998591637</v>
      </c>
      <c r="G112" s="4">
        <f t="shared" si="13"/>
        <v>1772.289434812762</v>
      </c>
      <c r="H112" s="4">
        <f t="shared" si="17"/>
        <v>18227.710565187237</v>
      </c>
    </row>
    <row r="113" spans="1:8" x14ac:dyDescent="0.3">
      <c r="A113" s="19">
        <v>46283</v>
      </c>
      <c r="B113" s="24">
        <f t="shared" si="12"/>
        <v>112</v>
      </c>
      <c r="C113" s="20"/>
      <c r="D113" s="21">
        <f t="shared" si="15"/>
        <v>200</v>
      </c>
      <c r="E113" s="21">
        <f t="shared" si="16"/>
        <v>5.5192317609825992</v>
      </c>
      <c r="F113" s="21">
        <f t="shared" si="14"/>
        <v>194.48076823901741</v>
      </c>
      <c r="G113" s="21">
        <f t="shared" si="13"/>
        <v>1577.8086665737446</v>
      </c>
      <c r="H113" s="21">
        <f t="shared" si="17"/>
        <v>18422.191333426257</v>
      </c>
    </row>
    <row r="114" spans="1:8" x14ac:dyDescent="0.3">
      <c r="A114" s="2">
        <v>46283</v>
      </c>
      <c r="B114" s="23">
        <f t="shared" si="12"/>
        <v>113</v>
      </c>
      <c r="C114" s="3"/>
      <c r="D114" s="4">
        <f t="shared" si="15"/>
        <v>200</v>
      </c>
      <c r="E114" s="4">
        <f t="shared" si="16"/>
        <v>4.9135832636882046</v>
      </c>
      <c r="F114" s="4">
        <f t="shared" si="14"/>
        <v>195.0864167363118</v>
      </c>
      <c r="G114" s="4">
        <f t="shared" si="13"/>
        <v>1382.7222498374329</v>
      </c>
      <c r="H114" s="4">
        <f t="shared" si="17"/>
        <v>18617.277750162568</v>
      </c>
    </row>
    <row r="115" spans="1:8" x14ac:dyDescent="0.3">
      <c r="A115" s="19">
        <v>46283</v>
      </c>
      <c r="B115" s="24">
        <f t="shared" si="12"/>
        <v>114</v>
      </c>
      <c r="C115" s="20"/>
      <c r="D115" s="21">
        <f t="shared" si="15"/>
        <v>200</v>
      </c>
      <c r="E115" s="21">
        <f t="shared" si="16"/>
        <v>4.3060486667779134</v>
      </c>
      <c r="F115" s="21">
        <f t="shared" si="14"/>
        <v>195.69395133322209</v>
      </c>
      <c r="G115" s="21">
        <f t="shared" si="13"/>
        <v>1187.0282985042109</v>
      </c>
      <c r="H115" s="21">
        <f t="shared" si="17"/>
        <v>18812.97170149579</v>
      </c>
    </row>
    <row r="116" spans="1:8" x14ac:dyDescent="0.3">
      <c r="A116" s="2">
        <v>46283</v>
      </c>
      <c r="B116" s="23">
        <f t="shared" si="12"/>
        <v>115</v>
      </c>
      <c r="C116" s="3"/>
      <c r="D116" s="4">
        <f t="shared" si="15"/>
        <v>200</v>
      </c>
      <c r="E116" s="4">
        <f t="shared" si="16"/>
        <v>3.6966220965943535</v>
      </c>
      <c r="F116" s="4">
        <f t="shared" si="14"/>
        <v>196.30337790340565</v>
      </c>
      <c r="G116" s="4">
        <f t="shared" si="13"/>
        <v>990.72492060080526</v>
      </c>
      <c r="H116" s="4">
        <f t="shared" si="17"/>
        <v>19009.275079399195</v>
      </c>
    </row>
    <row r="117" spans="1:8" x14ac:dyDescent="0.3">
      <c r="A117" s="19">
        <v>46283</v>
      </c>
      <c r="B117" s="24">
        <f t="shared" si="12"/>
        <v>116</v>
      </c>
      <c r="C117" s="20"/>
      <c r="D117" s="21">
        <f t="shared" si="15"/>
        <v>200</v>
      </c>
      <c r="E117" s="21">
        <f t="shared" si="16"/>
        <v>3.0852976611885139</v>
      </c>
      <c r="F117" s="21">
        <f t="shared" si="14"/>
        <v>196.91470233881148</v>
      </c>
      <c r="G117" s="21">
        <f t="shared" si="13"/>
        <v>793.81021826199378</v>
      </c>
      <c r="H117" s="21">
        <f t="shared" si="17"/>
        <v>19206.189781738005</v>
      </c>
    </row>
    <row r="118" spans="1:8" x14ac:dyDescent="0.3">
      <c r="A118" s="2">
        <v>46283</v>
      </c>
      <c r="B118" s="23">
        <f t="shared" si="12"/>
        <v>117</v>
      </c>
      <c r="C118" s="3"/>
      <c r="D118" s="4">
        <f t="shared" si="15"/>
        <v>200</v>
      </c>
      <c r="E118" s="4">
        <f t="shared" si="16"/>
        <v>2.4720694502627842</v>
      </c>
      <c r="F118" s="4">
        <f t="shared" si="14"/>
        <v>197.52793054973722</v>
      </c>
      <c r="G118" s="4">
        <f t="shared" si="13"/>
        <v>596.28228771225656</v>
      </c>
      <c r="H118" s="4">
        <f t="shared" si="17"/>
        <v>19403.717712287744</v>
      </c>
    </row>
    <row r="119" spans="1:8" x14ac:dyDescent="0.3">
      <c r="A119" s="19">
        <v>46283</v>
      </c>
      <c r="B119" s="24">
        <f t="shared" si="12"/>
        <v>118</v>
      </c>
      <c r="C119" s="20"/>
      <c r="D119" s="21">
        <f t="shared" si="15"/>
        <v>200</v>
      </c>
      <c r="E119" s="21">
        <f t="shared" si="16"/>
        <v>1.8569315351138109</v>
      </c>
      <c r="F119" s="21">
        <f t="shared" si="14"/>
        <v>198.1430684648862</v>
      </c>
      <c r="G119" s="21">
        <f t="shared" si="13"/>
        <v>398.13921924737036</v>
      </c>
      <c r="H119" s="21">
        <f t="shared" si="17"/>
        <v>19601.860780752631</v>
      </c>
    </row>
    <row r="120" spans="1:8" x14ac:dyDescent="0.3">
      <c r="A120" s="2">
        <v>46283</v>
      </c>
      <c r="B120" s="23">
        <f t="shared" si="12"/>
        <v>119</v>
      </c>
      <c r="C120" s="3"/>
      <c r="D120" s="4">
        <f t="shared" si="15"/>
        <v>200</v>
      </c>
      <c r="E120" s="4">
        <f t="shared" si="16"/>
        <v>1.23987796857518</v>
      </c>
      <c r="F120" s="4">
        <f t="shared" si="14"/>
        <v>198.76012203142483</v>
      </c>
      <c r="G120" s="4">
        <f t="shared" si="13"/>
        <v>199.37909721594554</v>
      </c>
      <c r="H120" s="4">
        <f t="shared" si="17"/>
        <v>19800.620902784056</v>
      </c>
    </row>
    <row r="121" spans="1:8" x14ac:dyDescent="0.3">
      <c r="A121" s="19">
        <v>46283</v>
      </c>
      <c r="B121" s="24">
        <f t="shared" si="12"/>
        <v>120</v>
      </c>
      <c r="C121" s="20"/>
      <c r="D121" s="21">
        <f t="shared" si="15"/>
        <v>200</v>
      </c>
      <c r="E121" s="21">
        <f t="shared" si="16"/>
        <v>0.62090278495991857</v>
      </c>
      <c r="F121" s="21">
        <f t="shared" si="14"/>
        <v>199.37909721504008</v>
      </c>
      <c r="G121" s="21">
        <f t="shared" si="13"/>
        <v>9.0545881903381087E-10</v>
      </c>
      <c r="H121" s="21">
        <f t="shared" si="17"/>
        <v>19999.999999999094</v>
      </c>
    </row>
  </sheetData>
  <sheetProtection algorithmName="SHA-512" hashValue="EXZtTjyjvpuhIGhPJCNAfRIG0Cuy+w4H71JxIdG8OQ3f8/BtzNXOncNkYIZjO8N5SKw/hGzmfoMnLarvk0nQ+A==" saltValue="82xUbbK36MOggE4NGkvRp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2026-09-24T06:57:55Z</dcterms:modified>
</cp:coreProperties>
</file>