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5" r:id="rId1"/>
    <sheet name="210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6" l="1"/>
  <c r="K17" i="6" s="1"/>
  <c r="K8" i="6"/>
  <c r="B3" i="6"/>
  <c r="B4" i="6" s="1"/>
  <c r="K2" i="6"/>
  <c r="B2" i="6"/>
  <c r="E2" i="6" s="1"/>
  <c r="D4" i="6" l="1"/>
  <c r="B5" i="6"/>
  <c r="D3" i="6"/>
  <c r="D2" i="6"/>
  <c r="F2" i="6" s="1"/>
  <c r="G2" i="6" s="1"/>
  <c r="E3" i="6" s="1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" i="5"/>
  <c r="B3" i="5" s="1"/>
  <c r="B4" i="5" s="1"/>
  <c r="B5" i="5" s="1"/>
  <c r="B6" i="6" l="1"/>
  <c r="D5" i="6"/>
  <c r="H2" i="6"/>
  <c r="F3" i="6"/>
  <c r="G3" i="6" s="1"/>
  <c r="K16" i="5"/>
  <c r="K2" i="5"/>
  <c r="B7" i="6" l="1"/>
  <c r="D6" i="6"/>
  <c r="E4" i="6"/>
  <c r="F4" i="6" s="1"/>
  <c r="G4" i="6" s="1"/>
  <c r="H3" i="6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4" i="6" l="1"/>
  <c r="E5" i="6"/>
  <c r="F5" i="6" s="1"/>
  <c r="G5" i="6"/>
  <c r="B8" i="6"/>
  <c r="D7" i="6"/>
  <c r="K13" i="5"/>
  <c r="K8" i="5"/>
  <c r="E2" i="5" s="1"/>
  <c r="F2" i="5" s="1"/>
  <c r="G2" i="5" s="1"/>
  <c r="H2" i="5" s="1"/>
  <c r="H5" i="6" l="1"/>
  <c r="E6" i="6"/>
  <c r="F6" i="6" s="1"/>
  <c r="G6" i="6"/>
  <c r="B9" i="6"/>
  <c r="D8" i="6"/>
  <c r="E3" i="5"/>
  <c r="F3" i="5" s="1"/>
  <c r="G3" i="5" s="1"/>
  <c r="E4" i="5" s="1"/>
  <c r="F4" i="5" s="1"/>
  <c r="G4" i="5" s="1"/>
  <c r="H4" i="5" s="1"/>
  <c r="H6" i="6" l="1"/>
  <c r="E7" i="6"/>
  <c r="F7" i="6" s="1"/>
  <c r="G7" i="6" s="1"/>
  <c r="D9" i="6"/>
  <c r="B10" i="6"/>
  <c r="H3" i="5"/>
  <c r="E5" i="5"/>
  <c r="F5" i="5" s="1"/>
  <c r="G5" i="5" s="1"/>
  <c r="H7" i="6" l="1"/>
  <c r="E8" i="6"/>
  <c r="F8" i="6" s="1"/>
  <c r="G8" i="6" s="1"/>
  <c r="D10" i="6"/>
  <c r="B11" i="6"/>
  <c r="H5" i="5"/>
  <c r="E6" i="5"/>
  <c r="F6" i="5" s="1"/>
  <c r="G6" i="5" s="1"/>
  <c r="H8" i="6" l="1"/>
  <c r="E9" i="6"/>
  <c r="F9" i="6" s="1"/>
  <c r="G9" i="6" s="1"/>
  <c r="D11" i="6"/>
  <c r="B12" i="6"/>
  <c r="H6" i="5"/>
  <c r="E7" i="5"/>
  <c r="F7" i="5" s="1"/>
  <c r="G7" i="5" s="1"/>
  <c r="H7" i="5" s="1"/>
  <c r="H9" i="6" l="1"/>
  <c r="E10" i="6"/>
  <c r="F10" i="6" s="1"/>
  <c r="G10" i="6"/>
  <c r="B13" i="6"/>
  <c r="D12" i="6"/>
  <c r="E8" i="5"/>
  <c r="F8" i="5" s="1"/>
  <c r="G8" i="5" s="1"/>
  <c r="H8" i="5" s="1"/>
  <c r="B14" i="6" l="1"/>
  <c r="D13" i="6"/>
  <c r="H10" i="6"/>
  <c r="E11" i="6"/>
  <c r="F11" i="6" s="1"/>
  <c r="G11" i="6"/>
  <c r="E9" i="5"/>
  <c r="F9" i="5" s="1"/>
  <c r="G9" i="5" s="1"/>
  <c r="H9" i="5" s="1"/>
  <c r="D14" i="6" l="1"/>
  <c r="B15" i="6"/>
  <c r="H11" i="6"/>
  <c r="E12" i="6"/>
  <c r="F12" i="6" s="1"/>
  <c r="G12" i="6" s="1"/>
  <c r="E10" i="5"/>
  <c r="F10" i="5" s="1"/>
  <c r="G10" i="5" s="1"/>
  <c r="H10" i="5" s="1"/>
  <c r="H12" i="6" l="1"/>
  <c r="E13" i="6"/>
  <c r="F13" i="6" s="1"/>
  <c r="G13" i="6" s="1"/>
  <c r="D15" i="6"/>
  <c r="B16" i="6"/>
  <c r="E11" i="5"/>
  <c r="F11" i="5" s="1"/>
  <c r="G11" i="5" s="1"/>
  <c r="H11" i="5" s="1"/>
  <c r="H13" i="6" l="1"/>
  <c r="E14" i="6"/>
  <c r="F14" i="6" s="1"/>
  <c r="G14" i="6"/>
  <c r="B17" i="6"/>
  <c r="D16" i="6"/>
  <c r="E12" i="5"/>
  <c r="F12" i="5" s="1"/>
  <c r="G12" i="5" s="1"/>
  <c r="H12" i="5" s="1"/>
  <c r="H14" i="6" l="1"/>
  <c r="E15" i="6"/>
  <c r="F15" i="6" s="1"/>
  <c r="G15" i="6" s="1"/>
  <c r="B18" i="6"/>
  <c r="D17" i="6"/>
  <c r="E13" i="5"/>
  <c r="F13" i="5" s="1"/>
  <c r="G13" i="5" s="1"/>
  <c r="H13" i="5" s="1"/>
  <c r="H15" i="6" l="1"/>
  <c r="E16" i="6"/>
  <c r="F16" i="6" s="1"/>
  <c r="G16" i="6" s="1"/>
  <c r="D18" i="6"/>
  <c r="K12" i="6"/>
  <c r="E14" i="5"/>
  <c r="F14" i="5" s="1"/>
  <c r="G14" i="5" s="1"/>
  <c r="H14" i="5" s="1"/>
  <c r="H16" i="6" l="1"/>
  <c r="E17" i="6"/>
  <c r="F17" i="6" s="1"/>
  <c r="G17" i="6"/>
  <c r="K13" i="6"/>
  <c r="E15" i="5"/>
  <c r="F15" i="5" s="1"/>
  <c r="G15" i="5" s="1"/>
  <c r="H15" i="5" s="1"/>
  <c r="H17" i="6" l="1"/>
  <c r="E18" i="6"/>
  <c r="F18" i="6" s="1"/>
  <c r="G18" i="6" s="1"/>
  <c r="E16" i="5"/>
  <c r="F16" i="5" s="1"/>
  <c r="G16" i="5" s="1"/>
  <c r="H16" i="5" s="1"/>
  <c r="H18" i="6" l="1"/>
  <c r="K15" i="6" s="1"/>
  <c r="K14" i="6"/>
  <c r="E17" i="5"/>
  <c r="F17" i="5" s="1"/>
  <c r="G17" i="5" s="1"/>
  <c r="H17" i="5" l="1"/>
  <c r="E18" i="5"/>
  <c r="F18" i="5" s="1"/>
  <c r="G18" i="5" s="1"/>
  <c r="H18" i="5" s="1"/>
  <c r="K15" i="5" l="1"/>
  <c r="K14" i="5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<sst xmlns="http://schemas.openxmlformats.org/spreadsheetml/2006/main" count="50" uniqueCount="24">
  <si>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</si>
  <si>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</si>
  <si>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</si>
  <si>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</si>
  <si>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</si>
  <si>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</si>
  <si>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</si>
  <si>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</si>
  <si>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</si>
  <si>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</si>
  <si>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</si>
  <si>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</si>
  <si>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</si>
  <si>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</si>
  <si>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</si>
  <si>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</si>
  <si>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</si>
  <si>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</si>
  <si>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</si>
  <si>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</si>
  <si>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</si>
  <si>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Sudhana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</si>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</sst>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  <xf numFmtId="165" fontId="4" fillId="5" borderId="9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5" activePane="bottomLeft" state="frozen"/>
      <selection pane="bottomLeft" activeCell="A18" sqref="A1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46150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4" t="str">
        <f ca="1">IF(K3&lt;&gt;"",
   "L" &amp; TEXT(K7,"0") &amp;
   IF(J10="Weeks","W","D") &amp; K10 &amp;
   "-" &amp; K3 &amp;
   "-N" &amp; RIGHT(CELL("filename",A1),LEN(CELL("filename",A1))-FIND("]",CELL("filename",A1))),
   "")</f>
        <v>L20000W17-Sudhana-NLoan1</v>
      </c>
    </row>
    <row r="3" spans="1:11" x14ac:dyDescent="0.3">
      <c r="A3" s="19">
        <v>46157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5" t="s">
        <v>21</v>
      </c>
    </row>
    <row r="4" spans="1:11" x14ac:dyDescent="0.3">
      <c r="A4" s="2">
        <v>46164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5"/>
    </row>
    <row r="5" spans="1:11" x14ac:dyDescent="0.3">
      <c r="A5" s="19">
        <v>46178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5"/>
    </row>
    <row r="6" spans="1:11" x14ac:dyDescent="0.3">
      <c r="A6" s="2">
        <v>46185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5"/>
    </row>
    <row r="7" spans="1:11" x14ac:dyDescent="0.3">
      <c r="A7" s="19">
        <v>46192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6">
        <v>20000</v>
      </c>
    </row>
    <row r="8" spans="1:11" x14ac:dyDescent="0.3">
      <c r="A8" s="2">
        <v>46199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46206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7">
        <v>1400</v>
      </c>
    </row>
    <row r="10" spans="1:11" x14ac:dyDescent="0.3">
      <c r="A10" s="2">
        <v>46220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8">
        <v>17</v>
      </c>
    </row>
    <row r="11" spans="1:11" ht="17.25" thickBot="1" x14ac:dyDescent="0.35">
      <c r="A11" s="19">
        <v>46220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46220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46228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9" t="s">
        <v>22</v>
      </c>
      <c r="K13" s="11">
        <f>(K10*K9)-K9*K12</f>
        <v>0</v>
      </c>
    </row>
    <row r="14" spans="1:11" x14ac:dyDescent="0.3">
      <c r="A14" s="2">
        <v>46234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46241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46248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46150</v>
      </c>
    </row>
    <row r="17" spans="1:11" x14ac:dyDescent="0.3">
      <c r="A17" s="19">
        <v>46248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46269</v>
      </c>
    </row>
    <row r="18" spans="1:11" x14ac:dyDescent="0.3">
      <c r="A18" s="2">
        <v>46248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F9MM+D7PoW8f+vP3FG88uxMNqFkn/ehhQoDG6tTp7ZnHw08o376AzzQvGXh5iSlLdfakUfbQta5JUX5/86+xOg==" saltValue="Oo66uG9FZuofKoXhucs3x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B9" sqref="B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46255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4" t="str">
        <f ca="1">IF(K3&lt;&gt;"",
   "L" &amp; TEXT(K7,"0") &amp;
   IF(J10="Weeks","W","D") &amp; K10 &amp;
   "-" &amp; K3 &amp;
   "-N" &amp; RIGHT(CELL("filename",A1),LEN(CELL("filename",A1))-FIND("]",CELL("filename",A1))),
   "")</f>
        <v>L20000W17-Sudhana-N210</v>
      </c>
    </row>
    <row r="3" spans="1:11" x14ac:dyDescent="0.3">
      <c r="A3" s="19">
        <v>46262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5" t="s">
        <v>21</v>
      </c>
    </row>
    <row r="4" spans="1:11" x14ac:dyDescent="0.3">
      <c r="A4" s="2">
        <v>46269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5"/>
    </row>
    <row r="5" spans="1:11" x14ac:dyDescent="0.3">
      <c r="A5" s="19">
        <v>46276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5"/>
    </row>
    <row r="6" spans="1:11" x14ac:dyDescent="0.3">
      <c r="A6" s="2">
        <v>46283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5"/>
    </row>
    <row r="7" spans="1:11" x14ac:dyDescent="0.3">
      <c r="A7" s="19">
        <v>46290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6">
        <v>20000</v>
      </c>
    </row>
    <row r="8" spans="1:11" x14ac:dyDescent="0.3">
      <c r="A8" s="2">
        <v>46297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46305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7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8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8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9" t="s">
        <v>22</v>
      </c>
      <c r="K13" s="11">
        <f>(K10*K9)-K9*K12</f>
        <v>12600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11424.319854722999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8575.6801452770014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46255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46374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2026-10-13T06:48:26Z</dcterms:modified>
</cp:coreProperties>
</file>