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95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6" l="1"/>
  <c r="B3" i="6" s="1"/>
  <c r="D3" i="6" s="1"/>
  <c r="K2" i="6"/>
  <c r="K8" i="6"/>
  <c r="K16" i="6"/>
  <c r="K17" i="6"/>
  <c r="E2" i="6" l="1"/>
  <c r="D2" i="6"/>
  <c r="B4" i="6"/>
  <c r="F2" i="6" l="1"/>
  <c r="G2" i="6" s="1"/>
  <c r="H2" i="6" s="1"/>
  <c r="E3" i="6"/>
  <c r="F3" i="6" s="1"/>
  <c r="G3" i="6" s="1"/>
  <c r="H3" i="6" s="1"/>
  <c r="B5" i="6"/>
  <c r="D4" i="6"/>
  <c r="E4" i="6" l="1"/>
  <c r="F4" i="6"/>
  <c r="G4" i="6" s="1"/>
  <c r="H4" i="6" s="1"/>
  <c r="D5" i="6"/>
  <c r="E5" i="6"/>
  <c r="B6" i="6"/>
  <c r="F5" i="6" l="1"/>
  <c r="G5" i="6" s="1"/>
  <c r="H5" i="6" s="1"/>
  <c r="E6" i="6"/>
  <c r="D6" i="6"/>
  <c r="B7" i="6"/>
  <c r="F6" i="6" l="1"/>
  <c r="G6" i="6" s="1"/>
  <c r="H6" i="6" s="1"/>
  <c r="D7" i="6"/>
  <c r="E7" i="6"/>
  <c r="F7" i="6" s="1"/>
  <c r="G7" i="6" s="1"/>
  <c r="H7" i="6" s="1"/>
  <c r="B8" i="6"/>
  <c r="B9" i="6" l="1"/>
  <c r="E8" i="6"/>
  <c r="D8" i="6"/>
  <c r="F8" i="6" l="1"/>
  <c r="G8" i="6" s="1"/>
  <c r="H8" i="6" s="1"/>
  <c r="D9" i="6"/>
  <c r="F9" i="6" s="1"/>
  <c r="G9" i="6" s="1"/>
  <c r="H9" i="6" s="1"/>
  <c r="E9" i="6"/>
  <c r="B10" i="6"/>
  <c r="E10" i="6" l="1"/>
  <c r="B11" i="6"/>
  <c r="D10" i="6"/>
  <c r="F10" i="6" l="1"/>
  <c r="G10" i="6" s="1"/>
  <c r="H10" i="6" s="1"/>
  <c r="D11" i="6"/>
  <c r="F11" i="6"/>
  <c r="G11" i="6" s="1"/>
  <c r="H11" i="6" s="1"/>
  <c r="E11" i="6"/>
  <c r="B12" i="6"/>
  <c r="E12" i="6" l="1"/>
  <c r="B13" i="6"/>
  <c r="D12" i="6"/>
  <c r="F12" i="6" s="1"/>
  <c r="G12" i="6" s="1"/>
  <c r="H12" i="6" s="1"/>
  <c r="B14" i="6" l="1"/>
  <c r="E13" i="6"/>
  <c r="D13" i="6"/>
  <c r="F13" i="6" s="1"/>
  <c r="G13" i="6" s="1"/>
  <c r="H13" i="6" s="1"/>
  <c r="D14" i="6" l="1"/>
  <c r="E14" i="6"/>
  <c r="F14" i="6"/>
  <c r="G14" i="6" s="1"/>
  <c r="H14" i="6" s="1"/>
  <c r="B15" i="6"/>
  <c r="D15" i="6" l="1"/>
  <c r="E15" i="6"/>
  <c r="F15" i="6" s="1"/>
  <c r="G15" i="6" s="1"/>
  <c r="H15" i="6" s="1"/>
  <c r="B16" i="6"/>
  <c r="E16" i="6" l="1"/>
  <c r="B17" i="6"/>
  <c r="D16" i="6"/>
  <c r="F16" i="6" s="1"/>
  <c r="G16" i="6" s="1"/>
  <c r="H16" i="6" s="1"/>
  <c r="B18" i="6" l="1"/>
  <c r="D17" i="6"/>
  <c r="F17" i="6" s="1"/>
  <c r="G17" i="6" s="1"/>
  <c r="H17" i="6" s="1"/>
  <c r="E17" i="6"/>
  <c r="D18" i="6" l="1"/>
  <c r="F18" i="6" s="1"/>
  <c r="G18" i="6" s="1"/>
  <c r="H18" i="6" s="1"/>
  <c r="E18" i="6"/>
  <c r="K12" i="6"/>
  <c r="K15" i="6" l="1"/>
  <c r="K14" i="6"/>
  <c r="K13" i="6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<sst xmlns="http://schemas.openxmlformats.org/spreadsheetml/2006/main" count="25" uniqueCount="24">
  <si>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</si>
  <si>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</si>
  <si>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</si>
  <si>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</si>
  <si>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</si>
  <si>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</si>
  <si>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</si>
  <si>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</si>
  <si>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</si>
  <si>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</si>
  <si>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</si>
  <si>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</si>
  <si>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</si>
  <si>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</si>
  <si>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</si>
  <si>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</si>
  <si>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</si>
  <si>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</si>
  <si>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</si>
  <si>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</si>
  <si>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</si>
  <si>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Out(Int + Principal)</t>
  </si>
  <si>
    <t>Principal Outstanding</t>
  </si>
  <si>
    <t>Khurai_Ahongei_Group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</si>
</sst>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A14" sqref="A14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46230</v>
      </c>
      <c r="B2" s="22">
        <f>IF(A2&lt;&gt;"",1,"")</f>
        <v>1</v>
      </c>
      <c r="C2" s="3"/>
      <c r="D2" s="1">
        <f t="shared" ref="D2:D18" si="0">IF(AND($A2&lt;&gt;"",$B2&lt;&gt;""),$K$9,"")</f>
        <v>7000</v>
      </c>
      <c r="E2" s="1">
        <f>IF(AND($A2&lt;&gt;"",$B2&lt;&gt;""),$K$7*$K$8,"")</f>
        <v>2005.1562079445989</v>
      </c>
      <c r="F2" s="1">
        <f>IF(AND($A2&lt;&gt;"",$B2&lt;&gt;""),D2-E2,"")</f>
        <v>4994.8437920554006</v>
      </c>
      <c r="G2" s="1">
        <f>IF(AND($A2&lt;&gt;"",$B2&lt;&gt;""),$K$7-F2,"")</f>
        <v>95005.156207944601</v>
      </c>
      <c r="H2" s="1">
        <f>IF(AND($A2&lt;&gt;"",$B2&lt;&gt;""),$K$7-G2,"")</f>
        <v>4994.8437920553988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L100000W17-Khurai_Ahongei_Group-N195</v>
      </c>
    </row>
    <row r="3" spans="1:11" x14ac:dyDescent="0.3">
      <c r="A3" s="19">
        <v>46237</v>
      </c>
      <c r="B3" s="23">
        <f>IF(A3&lt;&gt;"",B2+1,"")</f>
        <v>2</v>
      </c>
      <c r="C3" s="20"/>
      <c r="D3" s="21">
        <f t="shared" si="0"/>
        <v>7000</v>
      </c>
      <c r="E3" s="21">
        <f t="shared" ref="E3:E18" si="1">IF(AND($A3&lt;&gt;"",$B3&lt;&gt;""),G2*$K$8,"")</f>
        <v>1905.0017875710648</v>
      </c>
      <c r="F3" s="21">
        <f>IF(AND($A3&lt;&gt;"",$B3&lt;&gt;""),D3-E3,"")</f>
        <v>5094.9982124289354</v>
      </c>
      <c r="G3" s="21">
        <f>IF(AND($A3&lt;&gt;"",$B3&lt;&gt;""),G2-F3,"")</f>
        <v>89910.157995515663</v>
      </c>
      <c r="H3" s="21">
        <f t="shared" ref="H3:H18" si="2">IF(AND($A3&lt;&gt;"",$B3&lt;&gt;""),$K$7-G3,"")</f>
        <v>10089.842004484337</v>
      </c>
      <c r="J3" s="4" t="s">
        <v>10</v>
      </c>
      <c r="K3" s="26" t="s">
        <v>23</v>
      </c>
    </row>
    <row r="4" spans="1:11" x14ac:dyDescent="0.3">
      <c r="A4" s="2">
        <v>46244</v>
      </c>
      <c r="B4" s="22">
        <f t="shared" ref="B4:B18" si="3">IF(A4&lt;&gt;"",B3+1,"")</f>
        <v>3</v>
      </c>
      <c r="C4" s="3"/>
      <c r="D4" s="1">
        <f t="shared" si="0"/>
        <v>7000</v>
      </c>
      <c r="E4" s="1">
        <f t="shared" si="1"/>
        <v>1802.8391146198796</v>
      </c>
      <c r="F4" s="1">
        <f t="shared" ref="F4:F18" si="4">IF(AND($A4&lt;&gt;"",$B4&lt;&gt;""),D4-E4,"")</f>
        <v>5197.1608853801208</v>
      </c>
      <c r="G4" s="1">
        <f t="shared" ref="G4:G18" si="5">IF(AND($A4&lt;&gt;"",$B4&lt;&gt;""),G3-F4,"")</f>
        <v>84712.997110135548</v>
      </c>
      <c r="H4" s="1">
        <f t="shared" si="2"/>
        <v>15287.002889864452</v>
      </c>
      <c r="J4" s="4" t="s">
        <v>11</v>
      </c>
      <c r="K4" s="26"/>
    </row>
    <row r="5" spans="1:11" x14ac:dyDescent="0.3">
      <c r="A5" s="19">
        <v>46251</v>
      </c>
      <c r="B5" s="23">
        <f t="shared" si="3"/>
        <v>4</v>
      </c>
      <c r="C5" s="20"/>
      <c r="D5" s="21">
        <f t="shared" si="0"/>
        <v>7000</v>
      </c>
      <c r="E5" s="21">
        <f t="shared" si="1"/>
        <v>1698.6279204898117</v>
      </c>
      <c r="F5" s="21">
        <f t="shared" si="4"/>
        <v>5301.3720795101881</v>
      </c>
      <c r="G5" s="21">
        <f t="shared" si="5"/>
        <v>79411.625030625364</v>
      </c>
      <c r="H5" s="21">
        <f t="shared" si="2"/>
        <v>20588.374969374636</v>
      </c>
      <c r="J5" s="4" t="s">
        <v>12</v>
      </c>
      <c r="K5" s="26"/>
    </row>
    <row r="6" spans="1:11" x14ac:dyDescent="0.3">
      <c r="A6" s="2">
        <v>46258</v>
      </c>
      <c r="B6" s="22">
        <f t="shared" si="3"/>
        <v>5</v>
      </c>
      <c r="C6" s="3"/>
      <c r="D6" s="1">
        <f t="shared" si="0"/>
        <v>7000</v>
      </c>
      <c r="E6" s="1">
        <f t="shared" si="1"/>
        <v>1592.3271291312715</v>
      </c>
      <c r="F6" s="1">
        <f t="shared" si="4"/>
        <v>5407.6728708687288</v>
      </c>
      <c r="G6" s="1">
        <f t="shared" si="5"/>
        <v>74003.952159756635</v>
      </c>
      <c r="H6" s="1">
        <f t="shared" si="2"/>
        <v>25996.047840243365</v>
      </c>
      <c r="J6" s="4" t="s">
        <v>13</v>
      </c>
      <c r="K6" s="26"/>
    </row>
    <row r="7" spans="1:11" x14ac:dyDescent="0.3">
      <c r="A7" s="19">
        <v>46265</v>
      </c>
      <c r="B7" s="23">
        <f t="shared" si="3"/>
        <v>6</v>
      </c>
      <c r="C7" s="20"/>
      <c r="D7" s="21">
        <f t="shared" si="0"/>
        <v>7000</v>
      </c>
      <c r="E7" s="21">
        <f t="shared" si="1"/>
        <v>1483.8948408557112</v>
      </c>
      <c r="F7" s="21">
        <f t="shared" si="4"/>
        <v>5516.1051591442883</v>
      </c>
      <c r="G7" s="21">
        <f t="shared" si="5"/>
        <v>68487.847000612353</v>
      </c>
      <c r="H7" s="21">
        <f t="shared" si="2"/>
        <v>31512.152999387647</v>
      </c>
      <c r="J7" s="4" t="s">
        <v>6</v>
      </c>
      <c r="K7" s="27">
        <v>100000</v>
      </c>
    </row>
    <row r="8" spans="1:11" x14ac:dyDescent="0.3">
      <c r="A8" s="2">
        <v>46272</v>
      </c>
      <c r="B8" s="22">
        <f t="shared" si="3"/>
        <v>7</v>
      </c>
      <c r="C8" s="3"/>
      <c r="D8" s="1">
        <f t="shared" si="0"/>
        <v>7000</v>
      </c>
      <c r="E8" s="1">
        <f t="shared" si="1"/>
        <v>1373.2883158203774</v>
      </c>
      <c r="F8" s="1">
        <f t="shared" si="4"/>
        <v>5626.7116841796224</v>
      </c>
      <c r="G8" s="1">
        <f t="shared" si="5"/>
        <v>62861.13531643273</v>
      </c>
      <c r="H8" s="1">
        <f t="shared" si="2"/>
        <v>37138.86468356727</v>
      </c>
      <c r="J8" s="4" t="s">
        <v>14</v>
      </c>
      <c r="K8" s="6">
        <f>RATE(K10,-K9,K7)</f>
        <v>2.005156207944599E-2</v>
      </c>
    </row>
    <row r="9" spans="1:11" x14ac:dyDescent="0.3">
      <c r="A9" s="19">
        <v>46279</v>
      </c>
      <c r="B9" s="23">
        <f t="shared" si="3"/>
        <v>8</v>
      </c>
      <c r="C9" s="20"/>
      <c r="D9" s="21">
        <f t="shared" si="0"/>
        <v>7000</v>
      </c>
      <c r="E9" s="21">
        <f t="shared" si="1"/>
        <v>1260.4639571819057</v>
      </c>
      <c r="F9" s="21">
        <f t="shared" si="4"/>
        <v>5739.5360428180938</v>
      </c>
      <c r="G9" s="21">
        <f t="shared" si="5"/>
        <v>57121.599273614636</v>
      </c>
      <c r="H9" s="21">
        <f t="shared" si="2"/>
        <v>42878.400726385364</v>
      </c>
      <c r="J9" s="4" t="s">
        <v>7</v>
      </c>
      <c r="K9" s="28">
        <v>7000</v>
      </c>
    </row>
    <row r="10" spans="1:11" x14ac:dyDescent="0.3">
      <c r="A10" s="2">
        <v>46286</v>
      </c>
      <c r="B10" s="22">
        <f t="shared" si="3"/>
        <v>9</v>
      </c>
      <c r="C10" s="3"/>
      <c r="D10" s="1">
        <f t="shared" si="0"/>
        <v>7000</v>
      </c>
      <c r="E10" s="1">
        <f t="shared" si="1"/>
        <v>1145.3772939121209</v>
      </c>
      <c r="F10" s="1">
        <f t="shared" si="4"/>
        <v>5854.6227060878791</v>
      </c>
      <c r="G10" s="1">
        <f t="shared" si="5"/>
        <v>51266.976567526755</v>
      </c>
      <c r="H10" s="1">
        <f t="shared" si="2"/>
        <v>48733.023432473245</v>
      </c>
      <c r="J10" s="4" t="s">
        <v>8</v>
      </c>
      <c r="K10" s="29">
        <v>17</v>
      </c>
    </row>
    <row r="11" spans="1:11" ht="17.25" thickBot="1" x14ac:dyDescent="0.35">
      <c r="A11" s="19">
        <v>46293</v>
      </c>
      <c r="B11" s="23">
        <f t="shared" si="3"/>
        <v>10</v>
      </c>
      <c r="C11" s="20"/>
      <c r="D11" s="21">
        <f t="shared" si="0"/>
        <v>7000</v>
      </c>
      <c r="E11" s="21">
        <f t="shared" si="1"/>
        <v>1027.9829632692656</v>
      </c>
      <c r="F11" s="21">
        <f t="shared" si="4"/>
        <v>5972.0170367307346</v>
      </c>
      <c r="G11" s="21">
        <f t="shared" si="5"/>
        <v>45294.959530796019</v>
      </c>
      <c r="H11" s="21">
        <f t="shared" si="2"/>
        <v>54705.040469203981</v>
      </c>
      <c r="J11" s="14"/>
    </row>
    <row r="12" spans="1:11" x14ac:dyDescent="0.3">
      <c r="A12" s="2">
        <v>46300</v>
      </c>
      <c r="B12" s="22">
        <f t="shared" si="3"/>
        <v>11</v>
      </c>
      <c r="C12" s="3"/>
      <c r="D12" s="1">
        <f t="shared" si="0"/>
        <v>7000</v>
      </c>
      <c r="E12" s="1">
        <f t="shared" si="1"/>
        <v>908.23469291775018</v>
      </c>
      <c r="F12" s="1">
        <f t="shared" si="4"/>
        <v>6091.7653070822498</v>
      </c>
      <c r="G12" s="1">
        <f t="shared" si="5"/>
        <v>39203.19422371377</v>
      </c>
      <c r="H12" s="1">
        <f t="shared" si="2"/>
        <v>60796.80577628623</v>
      </c>
      <c r="J12" s="8" t="s">
        <v>16</v>
      </c>
      <c r="K12" s="9">
        <f>IFERROR(MAX($B:$B),"")</f>
        <v>12</v>
      </c>
    </row>
    <row r="13" spans="1:11" x14ac:dyDescent="0.3">
      <c r="A13" s="19">
        <v>46307</v>
      </c>
      <c r="B13" s="23">
        <f t="shared" si="3"/>
        <v>12</v>
      </c>
      <c r="C13" s="20"/>
      <c r="D13" s="21">
        <f t="shared" si="0"/>
        <v>7000</v>
      </c>
      <c r="E13" s="21">
        <f t="shared" si="1"/>
        <v>786.08528268937505</v>
      </c>
      <c r="F13" s="21">
        <f t="shared" si="4"/>
        <v>6213.9147173106248</v>
      </c>
      <c r="G13" s="21">
        <f t="shared" si="5"/>
        <v>32989.279506403145</v>
      </c>
      <c r="H13" s="21">
        <f t="shared" si="2"/>
        <v>67010.720493596862</v>
      </c>
      <c r="J13" s="24" t="s">
        <v>21</v>
      </c>
      <c r="K13" s="11">
        <f>(K10*K9)-K9*K12</f>
        <v>35000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22</v>
      </c>
      <c r="K14" s="11">
        <f>IF(A2="", K9*K10, IFERROR(INDEX($G:$G, MATCH($K$12, $B:$B, 0)), 0))</f>
        <v>32989.279506403145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67010.720493596862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46230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46349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2026-10-13T06:51:09Z</dcterms:modified>
</cp:coreProperties>
</file>