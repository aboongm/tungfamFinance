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<sst xmlns="http://schemas.openxmlformats.org/spreadsheetml/2006/main" count="25" uniqueCount="24">
  <si>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</si>
  <si>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</si>
  <si>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</si>
  <si>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</si>
  <si>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</si>
  <si>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</si>
  <si>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</si>
  <si>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</si>
  <si>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</si>
  <si>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</si>
  <si>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</si>
  <si>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</si>
  <si>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</si>
  <si>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</si>
  <si>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</si>
  <si>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</si>
  <si>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</si>
  <si>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</si>
  <si>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</si>
  <si>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</si>
  <si>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</si>
  <si>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</si>
  <si>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</si>
  <si>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A_Ranita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</si>
</sst>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5" sqref="A1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46201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L30000W17-A_Ranita-N191</v>
      </c>
    </row>
    <row r="3" spans="1:11" x14ac:dyDescent="0.3">
      <c r="A3" s="19">
        <v>46208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23</v>
      </c>
    </row>
    <row r="4" spans="1:11" x14ac:dyDescent="0.3">
      <c r="A4" s="2">
        <v>46215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46222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46229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46236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46242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46249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46256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46263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>
        <v>46270</v>
      </c>
      <c r="B12" s="22">
        <f t="shared" si="3"/>
        <v>11</v>
      </c>
      <c r="C12" s="3"/>
      <c r="D12" s="1">
        <f t="shared" si="0"/>
        <v>2100</v>
      </c>
      <c r="E12" s="1">
        <f t="shared" si="1"/>
        <v>272.4704078753299</v>
      </c>
      <c r="F12" s="1">
        <f t="shared" si="4"/>
        <v>1827.5295921246702</v>
      </c>
      <c r="G12" s="1">
        <f t="shared" si="5"/>
        <v>11760.958267114203</v>
      </c>
      <c r="H12" s="1">
        <f t="shared" si="2"/>
        <v>18239.041732885795</v>
      </c>
      <c r="J12" s="8" t="s">
        <v>16</v>
      </c>
      <c r="K12" s="9">
        <f>IFERROR(MAX($B:$B),"")</f>
        <v>13</v>
      </c>
    </row>
    <row r="13" spans="1:11" x14ac:dyDescent="0.3">
      <c r="A13" s="19">
        <v>46278</v>
      </c>
      <c r="B13" s="23">
        <f t="shared" si="3"/>
        <v>12</v>
      </c>
      <c r="C13" s="20"/>
      <c r="D13" s="21">
        <f t="shared" si="0"/>
        <v>2100</v>
      </c>
      <c r="E13" s="21">
        <f t="shared" si="1"/>
        <v>235.82558480681701</v>
      </c>
      <c r="F13" s="21">
        <f t="shared" si="4"/>
        <v>1864.174415193183</v>
      </c>
      <c r="G13" s="21">
        <f t="shared" si="5"/>
        <v>9896.78385192102</v>
      </c>
      <c r="H13" s="21">
        <f t="shared" si="2"/>
        <v>20103.21614807898</v>
      </c>
      <c r="J13" s="24" t="s">
        <v>21</v>
      </c>
      <c r="K13" s="11">
        <f>(K10*K9)-K9*K12</f>
        <v>8400</v>
      </c>
    </row>
    <row r="14" spans="1:11" x14ac:dyDescent="0.3">
      <c r="A14" s="2">
        <v>46285</v>
      </c>
      <c r="B14" s="22">
        <f t="shared" si="3"/>
        <v>13</v>
      </c>
      <c r="C14" s="3"/>
      <c r="D14" s="1">
        <f t="shared" si="0"/>
        <v>2100</v>
      </c>
      <c r="E14" s="1">
        <f t="shared" si="1"/>
        <v>198.44597579365549</v>
      </c>
      <c r="F14" s="1">
        <f t="shared" si="4"/>
        <v>1901.5540242063446</v>
      </c>
      <c r="G14" s="1">
        <f t="shared" si="5"/>
        <v>7995.2298277146756</v>
      </c>
      <c r="H14" s="1">
        <f t="shared" si="2"/>
        <v>22004.770172285323</v>
      </c>
      <c r="J14" s="10" t="s">
        <v>22</v>
      </c>
      <c r="K14" s="11">
        <f>IF(A2="", K9*K10, IFERROR(INDEX($G:$G, MATCH($K$12, $B:$B, 0)), 0))</f>
        <v>7995.2298277146756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22004.770172285323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2026-09-24T07:21:53Z</dcterms:modified>
</cp:coreProperties>
</file>