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9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<sst xmlns="http://schemas.openxmlformats.org/spreadsheetml/2006/main" count="25" uniqueCount="24">
  <si>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</si>
  <si>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</si>
  <si>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</si>
  <si>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</si>
  <si>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</si>
  <si>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</si>
  <si>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</si>
  <si>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</si>
  <si>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</si>
  <si>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</si>
  <si>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</si>
  <si>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</si>
  <si>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</si>
  <si>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</si>
  <si>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</si>
  <si>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</si>
  <si>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</si>
  <si>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</si>
  <si>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</si>
  <si>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</si>
  <si>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</si>
  <si>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</si>
  <si>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</si>
  <si>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A_Ranita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</si>
</sst>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B2" sqref="B2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46201</v>
      </c>
      <c r="B2" s="22">
        <f>IF(A2&lt;&gt;"",1,"")</f>
        <v>1</v>
      </c>
      <c r="C2" s="3"/>
      <c r="D2" s="1">
        <f t="shared" ref="D2:D18" si="0">IF(AND($A2&lt;&gt;"",$B2&lt;&gt;""),$K$9,"")</f>
        <v>2100</v>
      </c>
      <c r="E2" s="1">
        <f>IF(AND($A2&lt;&gt;"",$B2&lt;&gt;""),$K$7*$K$8,"")</f>
        <v>601.54686238338741</v>
      </c>
      <c r="F2" s="1">
        <f>IF(AND($A2&lt;&gt;"",$B2&lt;&gt;""),D2-E2,"")</f>
        <v>1498.4531376166126</v>
      </c>
      <c r="G2" s="1">
        <f>IF(AND($A2&lt;&gt;"",$B2&lt;&gt;""),$K$7-F2,"")</f>
        <v>28501.546862383388</v>
      </c>
      <c r="H2" s="1">
        <f>IF(AND($A2&lt;&gt;"",$B2&lt;&gt;""),$K$7-G2,"")</f>
        <v>1498.4531376166124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L30000W17-A_Ranita-N191</v>
      </c>
    </row>
    <row r="3" spans="1:11" x14ac:dyDescent="0.3">
      <c r="A3" s="19"/>
      <c r="B3" s="23" t="str">
        <f>IF(A3&lt;&gt;"",B2+1,"")</f>
        <v/>
      </c>
      <c r="C3" s="20"/>
      <c r="D3" s="21" t="str">
        <f t="shared" si="0"/>
        <v/>
      </c>
      <c r="E3" s="21" t="str">
        <f t="shared" ref="E3:E18" si="1">IF(AND($A3&lt;&gt;"",$B3&lt;&gt;""),G2*$K$8,"")</f>
        <v/>
      </c>
      <c r="F3" s="21" t="str">
        <f>IF(AND($A3&lt;&gt;"",$B3&lt;&gt;""),D3-E3,"")</f>
        <v/>
      </c>
      <c r="G3" s="21" t="str">
        <f>IF(AND($A3&lt;&gt;"",$B3&lt;&gt;""),G2-F3,"")</f>
        <v/>
      </c>
      <c r="H3" s="21" t="str">
        <f t="shared" ref="H3:H18" si="2">IF(AND($A3&lt;&gt;"",$B3&lt;&gt;""),$K$7-G3,"")</f>
        <v/>
      </c>
      <c r="J3" s="4" t="s">
        <v>10</v>
      </c>
      <c r="K3" s="26" t="s">
        <v>23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30000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2.0051562079446247E-2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2100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1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33600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28501.546862383388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1498.4531376166124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46201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46320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2026-07-02T04:15:25Z</dcterms:modified>
</cp:coreProperties>
</file>