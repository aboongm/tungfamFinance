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8" i="5" l="1"/>
  <c r="B17" i="5"/>
  <c r="B16" i="5"/>
  <c r="B15" i="5"/>
  <c r="B14" i="5"/>
  <c r="B13" i="5"/>
  <c r="B12" i="5"/>
  <c r="B11" i="5"/>
  <c r="B10" i="5"/>
  <c r="B9" i="5"/>
  <c r="B8" i="5"/>
  <c r="B7" i="5"/>
  <c r="B5" i="5"/>
  <c r="B6" i="5" s="1"/>
  <c r="B4" i="5"/>
  <c r="B3" i="5"/>
  <c r="B2" i="5"/>
  <c r="K16" i="5" l="1"/>
  <c r="K2" i="5"/>
  <c r="K17" i="5" l="1"/>
  <c r="K12" i="5"/>
  <c r="K13" i="5" s="1"/>
  <c r="E4" i="5"/>
  <c r="D3" i="5"/>
  <c r="D4" i="5"/>
  <c r="F4" i="5" s="1"/>
  <c r="G4" i="5" s="1"/>
  <c r="H4" i="5" s="1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E3" i="5" l="1"/>
  <c r="F3" i="5" s="1"/>
  <c r="G3" i="5" s="1"/>
  <c r="K8" i="5"/>
  <c r="E2" i="5" s="1"/>
  <c r="F2" i="5" s="1"/>
  <c r="G2" i="5" s="1"/>
  <c r="H2" i="5" l="1"/>
  <c r="H3" i="5"/>
  <c r="E5" i="5" l="1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l="1"/>
  <c r="K15" i="5" s="1"/>
  <c r="K14" i="5"/>
  <c r="E13" i="5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s="1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<sst xmlns="http://schemas.openxmlformats.org/spreadsheetml/2006/main" count="25" uniqueCount="24">
  <si>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</si>
  <si>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</si>
  <si>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</si>
  <si>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</si>
  <si>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</si>
  <si>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</si>
  <si>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</si>
  <si>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</si>
  <si>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</si>
  <si>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</si>
  <si>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</si>
  <si>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</si>
  <si>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</si>
  <si>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</si>
  <si>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</si>
  <si>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</si>
  <si>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</si>
  <si>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</si>
  <si>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</si>
  <si>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</si>
  <si>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</si>
  <si>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Lanchenbi_Ibeyaima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</si>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</sst>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B13" sqref="B13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46178</v>
      </c>
      <c r="B2" s="22">
        <f>IF(A2&lt;&gt;"",1,"")</f>
        <v>1</v>
      </c>
      <c r="C2" s="3"/>
      <c r="D2" s="1">
        <f t="shared" ref="D2:D18" si="0">IF(AND($A2&lt;&gt;"",$B2&lt;&gt;""),$K$9,"")</f>
        <v>2100</v>
      </c>
      <c r="E2" s="1">
        <f>IF(AND($A2&lt;&gt;"",$B2&lt;&gt;""),$K$7*$K$8,"")</f>
        <v>601.54686238338741</v>
      </c>
      <c r="F2" s="1">
        <f>IF(AND($A2&lt;&gt;"",$B2&lt;&gt;""),D2-E2,"")</f>
        <v>1498.4531376166126</v>
      </c>
      <c r="G2" s="1">
        <f>IF(AND($A2&lt;&gt;"",$B2&lt;&gt;""),$K$7-F2,"")</f>
        <v>28501.546862383388</v>
      </c>
      <c r="H2" s="1">
        <f>IF(AND($A2&lt;&gt;"",$B2&lt;&gt;""),$K$7-G2,"")</f>
        <v>1498.4531376166124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L30000W17-Lanchenbi_Ibeyaima-NLoan1</v>
      </c>
    </row>
    <row r="3" spans="1:11" x14ac:dyDescent="0.3">
      <c r="A3" s="19">
        <v>46185</v>
      </c>
      <c r="B3" s="23">
        <f>IF(A3&lt;&gt;"",B2+1,"")</f>
        <v>2</v>
      </c>
      <c r="C3" s="20"/>
      <c r="D3" s="21">
        <f t="shared" si="0"/>
        <v>2100</v>
      </c>
      <c r="E3" s="21">
        <f t="shared" ref="E3:E18" si="1">IF(AND($A3&lt;&gt;"",$B3&lt;&gt;""),G2*$K$8,"")</f>
        <v>571.50053627132684</v>
      </c>
      <c r="F3" s="21">
        <f>IF(AND($A3&lt;&gt;"",$B3&lt;&gt;""),D3-E3,"")</f>
        <v>1528.4994637286732</v>
      </c>
      <c r="G3" s="21">
        <f>IF(AND($A3&lt;&gt;"",$B3&lt;&gt;""),G2-F3,"")</f>
        <v>26973.047398654715</v>
      </c>
      <c r="H3" s="21">
        <f t="shared" ref="H3:H18" si="2">IF(AND($A3&lt;&gt;"",$B3&lt;&gt;""),$K$7-G3,"")</f>
        <v>3026.9526013452851</v>
      </c>
      <c r="J3" s="4" t="s">
        <v>10</v>
      </c>
      <c r="K3" s="26" t="s">
        <v>21</v>
      </c>
    </row>
    <row r="4" spans="1:11" x14ac:dyDescent="0.3">
      <c r="A4" s="2">
        <v>46192</v>
      </c>
      <c r="B4" s="22">
        <f t="shared" ref="B4:B18" si="3">IF(A4&lt;&gt;"",B3+1,"")</f>
        <v>3</v>
      </c>
      <c r="C4" s="3"/>
      <c r="D4" s="1">
        <f t="shared" si="0"/>
        <v>2100</v>
      </c>
      <c r="E4" s="1">
        <f t="shared" si="1"/>
        <v>540.8517343859711</v>
      </c>
      <c r="F4" s="1">
        <f t="shared" ref="F4:F18" si="4">IF(AND($A4&lt;&gt;"",$B4&lt;&gt;""),D4-E4,"")</f>
        <v>1559.1482656140288</v>
      </c>
      <c r="G4" s="1">
        <f t="shared" ref="G4:G18" si="5">IF(AND($A4&lt;&gt;"",$B4&lt;&gt;""),G3-F4,"")</f>
        <v>25413.899133040686</v>
      </c>
      <c r="H4" s="1">
        <f t="shared" si="2"/>
        <v>4586.1008669593139</v>
      </c>
      <c r="J4" s="4" t="s">
        <v>11</v>
      </c>
      <c r="K4" s="26"/>
    </row>
    <row r="5" spans="1:11" x14ac:dyDescent="0.3">
      <c r="A5" s="19">
        <v>46199</v>
      </c>
      <c r="B5" s="23">
        <f t="shared" si="3"/>
        <v>4</v>
      </c>
      <c r="C5" s="20"/>
      <c r="D5" s="21">
        <f t="shared" si="0"/>
        <v>2100</v>
      </c>
      <c r="E5" s="21">
        <f t="shared" si="1"/>
        <v>509.58837614695045</v>
      </c>
      <c r="F5" s="21">
        <f t="shared" si="4"/>
        <v>1590.4116238530496</v>
      </c>
      <c r="G5" s="21">
        <f t="shared" si="5"/>
        <v>23823.487509187638</v>
      </c>
      <c r="H5" s="21">
        <f t="shared" si="2"/>
        <v>6176.5124908123616</v>
      </c>
      <c r="J5" s="4" t="s">
        <v>12</v>
      </c>
      <c r="K5" s="26"/>
    </row>
    <row r="6" spans="1:11" x14ac:dyDescent="0.3">
      <c r="A6" s="2">
        <v>46206</v>
      </c>
      <c r="B6" s="22">
        <f t="shared" si="3"/>
        <v>5</v>
      </c>
      <c r="C6" s="3"/>
      <c r="D6" s="1">
        <f t="shared" si="0"/>
        <v>2100</v>
      </c>
      <c r="E6" s="1">
        <f t="shared" si="1"/>
        <v>477.69813873938818</v>
      </c>
      <c r="F6" s="1">
        <f t="shared" si="4"/>
        <v>1622.3018612606118</v>
      </c>
      <c r="G6" s="1">
        <f t="shared" si="5"/>
        <v>22201.185647927028</v>
      </c>
      <c r="H6" s="1">
        <f t="shared" si="2"/>
        <v>7798.8143520729718</v>
      </c>
      <c r="J6" s="4" t="s">
        <v>13</v>
      </c>
      <c r="K6" s="26"/>
    </row>
    <row r="7" spans="1:11" x14ac:dyDescent="0.3">
      <c r="A7" s="19">
        <v>46213</v>
      </c>
      <c r="B7" s="23">
        <f t="shared" si="3"/>
        <v>6</v>
      </c>
      <c r="C7" s="20"/>
      <c r="D7" s="21">
        <f t="shared" si="0"/>
        <v>2100</v>
      </c>
      <c r="E7" s="21">
        <f t="shared" si="1"/>
        <v>445.16845225671983</v>
      </c>
      <c r="F7" s="21">
        <f t="shared" si="4"/>
        <v>1654.8315477432802</v>
      </c>
      <c r="G7" s="21">
        <f t="shared" si="5"/>
        <v>20546.354100183748</v>
      </c>
      <c r="H7" s="21">
        <f t="shared" si="2"/>
        <v>9453.6458998162525</v>
      </c>
      <c r="J7" s="4" t="s">
        <v>6</v>
      </c>
      <c r="K7" s="27">
        <v>30000</v>
      </c>
    </row>
    <row r="8" spans="1:11" x14ac:dyDescent="0.3">
      <c r="A8" s="2">
        <v>46220</v>
      </c>
      <c r="B8" s="22">
        <f t="shared" si="3"/>
        <v>7</v>
      </c>
      <c r="C8" s="3"/>
      <c r="D8" s="1">
        <f t="shared" si="0"/>
        <v>2100</v>
      </c>
      <c r="E8" s="1">
        <f t="shared" si="1"/>
        <v>411.98649474611932</v>
      </c>
      <c r="F8" s="1">
        <f t="shared" si="4"/>
        <v>1688.0135052538808</v>
      </c>
      <c r="G8" s="1">
        <f t="shared" si="5"/>
        <v>18858.340594929869</v>
      </c>
      <c r="H8" s="1">
        <f t="shared" si="2"/>
        <v>11141.659405070131</v>
      </c>
      <c r="J8" s="4" t="s">
        <v>14</v>
      </c>
      <c r="K8" s="6">
        <f>RATE(K10,-K9,K7)</f>
        <v>2.0051562079446247E-2</v>
      </c>
    </row>
    <row r="9" spans="1:11" x14ac:dyDescent="0.3">
      <c r="A9" s="19">
        <v>46228</v>
      </c>
      <c r="B9" s="23">
        <f t="shared" si="3"/>
        <v>8</v>
      </c>
      <c r="C9" s="20"/>
      <c r="D9" s="21">
        <f t="shared" si="0"/>
        <v>2100</v>
      </c>
      <c r="E9" s="21">
        <f t="shared" si="1"/>
        <v>378.13918715457754</v>
      </c>
      <c r="F9" s="21">
        <f t="shared" si="4"/>
        <v>1721.8608128454225</v>
      </c>
      <c r="G9" s="21">
        <f t="shared" si="5"/>
        <v>17136.479782084447</v>
      </c>
      <c r="H9" s="21">
        <f t="shared" si="2"/>
        <v>12863.520217915553</v>
      </c>
      <c r="J9" s="4" t="s">
        <v>7</v>
      </c>
      <c r="K9" s="28">
        <v>2100</v>
      </c>
    </row>
    <row r="10" spans="1:11" x14ac:dyDescent="0.3">
      <c r="A10" s="2">
        <v>46234</v>
      </c>
      <c r="B10" s="22">
        <f t="shared" si="3"/>
        <v>9</v>
      </c>
      <c r="C10" s="3"/>
      <c r="D10" s="1">
        <f t="shared" si="0"/>
        <v>2100</v>
      </c>
      <c r="E10" s="1">
        <f t="shared" si="1"/>
        <v>343.61318817364179</v>
      </c>
      <c r="F10" s="1">
        <f t="shared" si="4"/>
        <v>1756.3868118263581</v>
      </c>
      <c r="G10" s="1">
        <f t="shared" si="5"/>
        <v>15380.092970258089</v>
      </c>
      <c r="H10" s="1">
        <f t="shared" si="2"/>
        <v>14619.907029741911</v>
      </c>
      <c r="J10" s="4" t="s">
        <v>8</v>
      </c>
      <c r="K10" s="29">
        <v>17</v>
      </c>
    </row>
    <row r="11" spans="1:11" ht="17.25" thickBot="1" x14ac:dyDescent="0.35">
      <c r="A11" s="19">
        <v>46241</v>
      </c>
      <c r="B11" s="23">
        <f t="shared" si="3"/>
        <v>10</v>
      </c>
      <c r="C11" s="20"/>
      <c r="D11" s="21">
        <f t="shared" si="0"/>
        <v>2100</v>
      </c>
      <c r="E11" s="21">
        <f t="shared" si="1"/>
        <v>308.39488898078486</v>
      </c>
      <c r="F11" s="21">
        <f t="shared" si="4"/>
        <v>1791.6051110192152</v>
      </c>
      <c r="G11" s="21">
        <f t="shared" si="5"/>
        <v>13588.487859238874</v>
      </c>
      <c r="H11" s="21">
        <f t="shared" si="2"/>
        <v>16411.512140761126</v>
      </c>
      <c r="J11" s="14"/>
    </row>
    <row r="12" spans="1:11" x14ac:dyDescent="0.3">
      <c r="A12" s="2">
        <v>46248</v>
      </c>
      <c r="B12" s="22">
        <f t="shared" si="3"/>
        <v>11</v>
      </c>
      <c r="C12" s="3"/>
      <c r="D12" s="1">
        <f t="shared" si="0"/>
        <v>2100</v>
      </c>
      <c r="E12" s="1">
        <f t="shared" si="1"/>
        <v>272.4704078753299</v>
      </c>
      <c r="F12" s="1">
        <f t="shared" si="4"/>
        <v>1827.5295921246702</v>
      </c>
      <c r="G12" s="1">
        <f t="shared" si="5"/>
        <v>11760.958267114203</v>
      </c>
      <c r="H12" s="1">
        <f t="shared" si="2"/>
        <v>18239.041732885795</v>
      </c>
      <c r="J12" s="8" t="s">
        <v>16</v>
      </c>
      <c r="K12" s="9">
        <f>IFERROR(MAX($B:$B),"")</f>
        <v>12</v>
      </c>
    </row>
    <row r="13" spans="1:11" x14ac:dyDescent="0.3">
      <c r="A13" s="19">
        <v>46255</v>
      </c>
      <c r="B13" s="23">
        <f t="shared" si="3"/>
        <v>12</v>
      </c>
      <c r="C13" s="20"/>
      <c r="D13" s="21">
        <f t="shared" si="0"/>
        <v>2100</v>
      </c>
      <c r="E13" s="21">
        <f t="shared" si="1"/>
        <v>235.82558480681701</v>
      </c>
      <c r="F13" s="21">
        <f t="shared" si="4"/>
        <v>1864.174415193183</v>
      </c>
      <c r="G13" s="21">
        <f t="shared" si="5"/>
        <v>9896.78385192102</v>
      </c>
      <c r="H13" s="21">
        <f t="shared" si="2"/>
        <v>20103.21614807898</v>
      </c>
      <c r="J13" s="24" t="s">
        <v>22</v>
      </c>
      <c r="K13" s="11">
        <f>(K10*K9)-K9*K12</f>
        <v>10500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9896.78385192102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20103.21614807898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46178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46297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mQdYbOx9s12Q3m4UALN2Kn1RwXFITKOAZmHpCwUEZQpP8mOFspTMOsAKk2i4cuoHrA+iyFLMNI5ndVkbFO2Aog==" saltValue="O2+huODvLDeDErZdlAmMJw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2026-08-22T09:47:25Z</dcterms:modified>
</cp:coreProperties>
</file>