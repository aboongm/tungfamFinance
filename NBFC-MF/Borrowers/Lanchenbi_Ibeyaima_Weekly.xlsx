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oan1" sheetId="5" r:id="rId1"/>
    <sheet name="213" sheetId="6" r:id="rId2"/>
    <sheet name="219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9" l="1"/>
  <c r="K17" i="9" s="1"/>
  <c r="K8" i="9"/>
  <c r="K2" i="9"/>
  <c r="B2" i="9"/>
  <c r="B3" i="9" s="1"/>
  <c r="B4" i="9" s="1"/>
  <c r="B5" i="9" l="1"/>
  <c r="D4" i="9"/>
  <c r="E2" i="9"/>
  <c r="D3" i="9"/>
  <c r="D5" i="9"/>
  <c r="D2" i="9"/>
  <c r="B18" i="6"/>
  <c r="H18" i="6" s="1"/>
  <c r="B17" i="6"/>
  <c r="G17" i="6" s="1"/>
  <c r="K16" i="6"/>
  <c r="K17" i="6" s="1"/>
  <c r="B16" i="6"/>
  <c r="F16" i="6" s="1"/>
  <c r="B15" i="6"/>
  <c r="G15" i="6" s="1"/>
  <c r="B14" i="6"/>
  <c r="H14" i="6" s="1"/>
  <c r="K8" i="6"/>
  <c r="B3" i="6"/>
  <c r="B4" i="6" s="1"/>
  <c r="K2" i="6"/>
  <c r="B2" i="6"/>
  <c r="F2" i="9" l="1"/>
  <c r="G2" i="9" s="1"/>
  <c r="H2" i="9" s="1"/>
  <c r="B6" i="9"/>
  <c r="E3" i="9"/>
  <c r="F3" i="9" s="1"/>
  <c r="G3" i="9" s="1"/>
  <c r="E14" i="6"/>
  <c r="E2" i="6"/>
  <c r="D15" i="6"/>
  <c r="F15" i="6"/>
  <c r="F17" i="6"/>
  <c r="E15" i="6"/>
  <c r="H17" i="6"/>
  <c r="H15" i="6"/>
  <c r="D17" i="6"/>
  <c r="E18" i="6"/>
  <c r="B5" i="6"/>
  <c r="D4" i="6"/>
  <c r="F14" i="6"/>
  <c r="D16" i="6"/>
  <c r="H16" i="6"/>
  <c r="E17" i="6"/>
  <c r="F18" i="6"/>
  <c r="G16" i="6"/>
  <c r="E16" i="6"/>
  <c r="G18" i="6"/>
  <c r="D3" i="6"/>
  <c r="G14" i="6"/>
  <c r="D2" i="6"/>
  <c r="F2" i="6" s="1"/>
  <c r="G2" i="6" s="1"/>
  <c r="D14" i="6"/>
  <c r="D18" i="6"/>
  <c r="B16" i="5"/>
  <c r="B17" i="5" s="1"/>
  <c r="B18" i="5" s="1"/>
  <c r="B15" i="5"/>
  <c r="B14" i="5"/>
  <c r="B13" i="5"/>
  <c r="B12" i="5"/>
  <c r="B11" i="5"/>
  <c r="B10" i="5"/>
  <c r="B9" i="5"/>
  <c r="B8" i="5"/>
  <c r="B7" i="5"/>
  <c r="B5" i="5"/>
  <c r="B6" i="5" s="1"/>
  <c r="B4" i="5"/>
  <c r="B3" i="5"/>
  <c r="B2" i="5"/>
  <c r="E4" i="9" l="1"/>
  <c r="F4" i="9" s="1"/>
  <c r="G4" i="9" s="1"/>
  <c r="B7" i="9"/>
  <c r="D6" i="9"/>
  <c r="H3" i="9"/>
  <c r="H2" i="6"/>
  <c r="E3" i="6"/>
  <c r="F3" i="6" s="1"/>
  <c r="G3" i="6" s="1"/>
  <c r="B6" i="6"/>
  <c r="D5" i="6"/>
  <c r="K16" i="5"/>
  <c r="K2" i="5"/>
  <c r="H4" i="9" l="1"/>
  <c r="E5" i="9"/>
  <c r="F5" i="9" s="1"/>
  <c r="G5" i="9" s="1"/>
  <c r="B8" i="9"/>
  <c r="D7" i="9"/>
  <c r="H3" i="6"/>
  <c r="E4" i="6"/>
  <c r="F4" i="6" s="1"/>
  <c r="G4" i="6" s="1"/>
  <c r="B7" i="6"/>
  <c r="D6" i="6"/>
  <c r="K17" i="5"/>
  <c r="K12" i="5"/>
  <c r="K13" i="5" s="1"/>
  <c r="E4" i="5"/>
  <c r="D3" i="5"/>
  <c r="D4" i="5"/>
  <c r="F4" i="5" s="1"/>
  <c r="G4" i="5" s="1"/>
  <c r="H4" i="5" s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5" i="9" l="1"/>
  <c r="E6" i="9"/>
  <c r="F6" i="9" s="1"/>
  <c r="G6" i="9" s="1"/>
  <c r="B9" i="9"/>
  <c r="D8" i="9"/>
  <c r="H4" i="6"/>
  <c r="E5" i="6"/>
  <c r="F5" i="6" s="1"/>
  <c r="G5" i="6"/>
  <c r="B8" i="6"/>
  <c r="D7" i="6"/>
  <c r="E3" i="5"/>
  <c r="F3" i="5" s="1"/>
  <c r="G3" i="5" s="1"/>
  <c r="K8" i="5"/>
  <c r="E2" i="5" s="1"/>
  <c r="F2" i="5" s="1"/>
  <c r="G2" i="5" s="1"/>
  <c r="H6" i="9" l="1"/>
  <c r="E7" i="9"/>
  <c r="F7" i="9" s="1"/>
  <c r="G7" i="9" s="1"/>
  <c r="B10" i="9"/>
  <c r="D9" i="9"/>
  <c r="B9" i="6"/>
  <c r="D8" i="6"/>
  <c r="H5" i="6"/>
  <c r="E6" i="6"/>
  <c r="F6" i="6" s="1"/>
  <c r="G6" i="6" s="1"/>
  <c r="H2" i="5"/>
  <c r="H3" i="5"/>
  <c r="H7" i="9" l="1"/>
  <c r="E8" i="9"/>
  <c r="F8" i="9" s="1"/>
  <c r="G8" i="9" s="1"/>
  <c r="B11" i="9"/>
  <c r="D10" i="9"/>
  <c r="H6" i="6"/>
  <c r="E7" i="6"/>
  <c r="F7" i="6" s="1"/>
  <c r="G7" i="6" s="1"/>
  <c r="D9" i="6"/>
  <c r="B10" i="6"/>
  <c r="E5" i="5"/>
  <c r="F5" i="5" s="1"/>
  <c r="G5" i="5" s="1"/>
  <c r="H8" i="9" l="1"/>
  <c r="E9" i="9"/>
  <c r="F9" i="9" s="1"/>
  <c r="G9" i="9" s="1"/>
  <c r="B12" i="9"/>
  <c r="D11" i="9"/>
  <c r="B11" i="6"/>
  <c r="D10" i="6"/>
  <c r="H7" i="6"/>
  <c r="E8" i="6"/>
  <c r="F8" i="6" s="1"/>
  <c r="G8" i="6" s="1"/>
  <c r="H5" i="5"/>
  <c r="E6" i="5"/>
  <c r="F6" i="5" s="1"/>
  <c r="G6" i="5" s="1"/>
  <c r="H6" i="5" s="1"/>
  <c r="H9" i="9" l="1"/>
  <c r="E10" i="9"/>
  <c r="F10" i="9" s="1"/>
  <c r="G10" i="9" s="1"/>
  <c r="B13" i="9"/>
  <c r="D12" i="9"/>
  <c r="H8" i="6"/>
  <c r="E9" i="6"/>
  <c r="F9" i="6" s="1"/>
  <c r="G9" i="6" s="1"/>
  <c r="D11" i="6"/>
  <c r="B12" i="6"/>
  <c r="E7" i="5"/>
  <c r="F7" i="5" s="1"/>
  <c r="G7" i="5" s="1"/>
  <c r="H7" i="5" s="1"/>
  <c r="H10" i="9" l="1"/>
  <c r="E11" i="9"/>
  <c r="F11" i="9" s="1"/>
  <c r="G11" i="9"/>
  <c r="D13" i="9"/>
  <c r="B14" i="9"/>
  <c r="H9" i="6"/>
  <c r="E10" i="6"/>
  <c r="F10" i="6" s="1"/>
  <c r="G10" i="6" s="1"/>
  <c r="B13" i="6"/>
  <c r="D12" i="6"/>
  <c r="E8" i="5"/>
  <c r="F8" i="5" s="1"/>
  <c r="G8" i="5" s="1"/>
  <c r="H8" i="5" s="1"/>
  <c r="H11" i="9" l="1"/>
  <c r="E12" i="9"/>
  <c r="F12" i="9" s="1"/>
  <c r="G12" i="9"/>
  <c r="B15" i="9"/>
  <c r="D14" i="9"/>
  <c r="H10" i="6"/>
  <c r="E11" i="6"/>
  <c r="F11" i="6" s="1"/>
  <c r="G11" i="6" s="1"/>
  <c r="D13" i="6"/>
  <c r="K12" i="6"/>
  <c r="E9" i="5"/>
  <c r="F9" i="5" s="1"/>
  <c r="G9" i="5" s="1"/>
  <c r="H9" i="5" s="1"/>
  <c r="H12" i="9" l="1"/>
  <c r="E13" i="9"/>
  <c r="F13" i="9" s="1"/>
  <c r="G13" i="9" s="1"/>
  <c r="B16" i="9"/>
  <c r="D15" i="9"/>
  <c r="H11" i="6"/>
  <c r="E12" i="6"/>
  <c r="F12" i="6" s="1"/>
  <c r="G12" i="6" s="1"/>
  <c r="K13" i="6"/>
  <c r="E10" i="5"/>
  <c r="F10" i="5" s="1"/>
  <c r="G10" i="5" s="1"/>
  <c r="H10" i="5" s="1"/>
  <c r="H13" i="9" l="1"/>
  <c r="E14" i="9"/>
  <c r="F14" i="9" s="1"/>
  <c r="G14" i="9" s="1"/>
  <c r="B17" i="9"/>
  <c r="D16" i="9"/>
  <c r="H12" i="6"/>
  <c r="E13" i="6"/>
  <c r="F13" i="6" s="1"/>
  <c r="G13" i="6" s="1"/>
  <c r="E11" i="5"/>
  <c r="F11" i="5" s="1"/>
  <c r="G11" i="5" s="1"/>
  <c r="H11" i="5" s="1"/>
  <c r="B18" i="9" l="1"/>
  <c r="D17" i="9"/>
  <c r="H14" i="9"/>
  <c r="E15" i="9"/>
  <c r="F15" i="9" s="1"/>
  <c r="G15" i="9" s="1"/>
  <c r="H13" i="6"/>
  <c r="K15" i="6" s="1"/>
  <c r="K14" i="6"/>
  <c r="E12" i="5"/>
  <c r="F12" i="5" s="1"/>
  <c r="G12" i="5" s="1"/>
  <c r="H15" i="9" l="1"/>
  <c r="E16" i="9"/>
  <c r="F16" i="9" s="1"/>
  <c r="G16" i="9" s="1"/>
  <c r="D18" i="9"/>
  <c r="K12" i="9"/>
  <c r="H12" i="5"/>
  <c r="E13" i="5"/>
  <c r="F13" i="5" s="1"/>
  <c r="G13" i="5" s="1"/>
  <c r="H13" i="5" s="1"/>
  <c r="H16" i="9" l="1"/>
  <c r="E17" i="9"/>
  <c r="F17" i="9" s="1"/>
  <c r="G17" i="9" s="1"/>
  <c r="K13" i="9"/>
  <c r="E14" i="5"/>
  <c r="F14" i="5" s="1"/>
  <c r="G14" i="5" s="1"/>
  <c r="H17" i="9" l="1"/>
  <c r="E18" i="9"/>
  <c r="F18" i="9" s="1"/>
  <c r="G18" i="9"/>
  <c r="H14" i="5"/>
  <c r="E15" i="5"/>
  <c r="F15" i="5" s="1"/>
  <c r="G15" i="5" s="1"/>
  <c r="H15" i="5" s="1"/>
  <c r="H18" i="9" l="1"/>
  <c r="K15" i="9" s="1"/>
  <c r="K14" i="9"/>
  <c r="E16" i="5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5" i="5" s="1"/>
  <c r="K14" i="5"/>
</calcChain>
</file>

<file path=xl/sharedStrings.xml><?xml version="1.0" encoding="utf-8"?>
<sst xmlns="http://schemas.openxmlformats.org/spreadsheetml/2006/main" count="75" uniqueCount="24">
  <si>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</si>
  <si>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</si>
  <si>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</si>
  <si>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</si>
  <si>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</si>
  <si>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</si>
  <si>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</si>
  <si>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</si>
  <si>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</si>
  <si>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</si>
  <si>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</si>
  <si>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</si>
  <si>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</si>
  <si>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</si>
  <si>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</si>
  <si>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</si>
  <si>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</si>
  <si>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</si>
  <si>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</si>
  <si>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</si>
  <si>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</si>
  <si>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Lanchenbi_Ibeyaima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</si>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</sst>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8" activePane="bottomLeft" state="frozen"/>
      <selection pane="bottomLeft" activeCell="C20" sqref="C20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46178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L30000W17-Lanchenbi_Ibeyaima-NLoan1</v>
      </c>
    </row>
    <row r="3" spans="1:11" x14ac:dyDescent="0.3">
      <c r="A3" s="19">
        <v>46185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21</v>
      </c>
    </row>
    <row r="4" spans="1:11" x14ac:dyDescent="0.3">
      <c r="A4" s="2">
        <v>46192</v>
      </c>
      <c r="B4" s="22">
        <f t="shared" ref="B4:B18" si="3">IF(A4&lt;&gt;"",B3+1,"")</f>
        <v>3</v>
      </c>
      <c r="C4" s="3"/>
      <c r="D4" s="1">
        <f t="shared" si="0"/>
        <v>2100</v>
      </c>
      <c r="E4" s="1">
        <f t="shared" si="1"/>
        <v>540.8517343859711</v>
      </c>
      <c r="F4" s="1">
        <f t="shared" ref="F4:F18" si="4">IF(AND($A4&lt;&gt;"",$B4&lt;&gt;""),D4-E4,"")</f>
        <v>1559.1482656140288</v>
      </c>
      <c r="G4" s="1">
        <f t="shared" ref="G4:G18" si="5">IF(AND($A4&lt;&gt;"",$B4&lt;&gt;""),G3-F4,"")</f>
        <v>25413.899133040686</v>
      </c>
      <c r="H4" s="1">
        <f t="shared" si="2"/>
        <v>4586.1008669593139</v>
      </c>
      <c r="J4" s="4" t="s">
        <v>11</v>
      </c>
      <c r="K4" s="26"/>
    </row>
    <row r="5" spans="1:11" x14ac:dyDescent="0.3">
      <c r="A5" s="19">
        <v>46199</v>
      </c>
      <c r="B5" s="23">
        <f t="shared" si="3"/>
        <v>4</v>
      </c>
      <c r="C5" s="20"/>
      <c r="D5" s="21">
        <f t="shared" si="0"/>
        <v>2100</v>
      </c>
      <c r="E5" s="21">
        <f t="shared" si="1"/>
        <v>509.58837614695045</v>
      </c>
      <c r="F5" s="21">
        <f t="shared" si="4"/>
        <v>1590.4116238530496</v>
      </c>
      <c r="G5" s="21">
        <f t="shared" si="5"/>
        <v>23823.487509187638</v>
      </c>
      <c r="H5" s="21">
        <f t="shared" si="2"/>
        <v>6176.5124908123616</v>
      </c>
      <c r="J5" s="4" t="s">
        <v>12</v>
      </c>
      <c r="K5" s="26"/>
    </row>
    <row r="6" spans="1:11" x14ac:dyDescent="0.3">
      <c r="A6" s="2">
        <v>46206</v>
      </c>
      <c r="B6" s="22">
        <f t="shared" si="3"/>
        <v>5</v>
      </c>
      <c r="C6" s="3"/>
      <c r="D6" s="1">
        <f t="shared" si="0"/>
        <v>2100</v>
      </c>
      <c r="E6" s="1">
        <f t="shared" si="1"/>
        <v>477.69813873938818</v>
      </c>
      <c r="F6" s="1">
        <f t="shared" si="4"/>
        <v>1622.3018612606118</v>
      </c>
      <c r="G6" s="1">
        <f t="shared" si="5"/>
        <v>22201.185647927028</v>
      </c>
      <c r="H6" s="1">
        <f t="shared" si="2"/>
        <v>7798.8143520729718</v>
      </c>
      <c r="J6" s="4" t="s">
        <v>13</v>
      </c>
      <c r="K6" s="26"/>
    </row>
    <row r="7" spans="1:11" x14ac:dyDescent="0.3">
      <c r="A7" s="19">
        <v>46213</v>
      </c>
      <c r="B7" s="23">
        <f t="shared" si="3"/>
        <v>6</v>
      </c>
      <c r="C7" s="20"/>
      <c r="D7" s="21">
        <f t="shared" si="0"/>
        <v>2100</v>
      </c>
      <c r="E7" s="21">
        <f t="shared" si="1"/>
        <v>445.16845225671983</v>
      </c>
      <c r="F7" s="21">
        <f t="shared" si="4"/>
        <v>1654.8315477432802</v>
      </c>
      <c r="G7" s="21">
        <f t="shared" si="5"/>
        <v>20546.354100183748</v>
      </c>
      <c r="H7" s="21">
        <f t="shared" si="2"/>
        <v>9453.6458998162525</v>
      </c>
      <c r="J7" s="4" t="s">
        <v>6</v>
      </c>
      <c r="K7" s="27">
        <v>30000</v>
      </c>
    </row>
    <row r="8" spans="1:11" x14ac:dyDescent="0.3">
      <c r="A8" s="2">
        <v>46220</v>
      </c>
      <c r="B8" s="22">
        <f t="shared" si="3"/>
        <v>7</v>
      </c>
      <c r="C8" s="3"/>
      <c r="D8" s="1">
        <f t="shared" si="0"/>
        <v>2100</v>
      </c>
      <c r="E8" s="1">
        <f t="shared" si="1"/>
        <v>411.98649474611932</v>
      </c>
      <c r="F8" s="1">
        <f t="shared" si="4"/>
        <v>1688.0135052538808</v>
      </c>
      <c r="G8" s="1">
        <f t="shared" si="5"/>
        <v>18858.340594929869</v>
      </c>
      <c r="H8" s="1">
        <f t="shared" si="2"/>
        <v>11141.659405070131</v>
      </c>
      <c r="J8" s="4" t="s">
        <v>14</v>
      </c>
      <c r="K8" s="6">
        <f>RATE(K10,-K9,K7)</f>
        <v>2.0051562079446247E-2</v>
      </c>
    </row>
    <row r="9" spans="1:11" x14ac:dyDescent="0.3">
      <c r="A9" s="19">
        <v>46228</v>
      </c>
      <c r="B9" s="23">
        <f t="shared" si="3"/>
        <v>8</v>
      </c>
      <c r="C9" s="20"/>
      <c r="D9" s="21">
        <f t="shared" si="0"/>
        <v>2100</v>
      </c>
      <c r="E9" s="21">
        <f t="shared" si="1"/>
        <v>378.13918715457754</v>
      </c>
      <c r="F9" s="21">
        <f t="shared" si="4"/>
        <v>1721.8608128454225</v>
      </c>
      <c r="G9" s="21">
        <f t="shared" si="5"/>
        <v>17136.479782084447</v>
      </c>
      <c r="H9" s="21">
        <f t="shared" si="2"/>
        <v>12863.520217915553</v>
      </c>
      <c r="J9" s="4" t="s">
        <v>7</v>
      </c>
      <c r="K9" s="28">
        <v>2100</v>
      </c>
    </row>
    <row r="10" spans="1:11" x14ac:dyDescent="0.3">
      <c r="A10" s="2">
        <v>46234</v>
      </c>
      <c r="B10" s="22">
        <f t="shared" si="3"/>
        <v>9</v>
      </c>
      <c r="C10" s="3"/>
      <c r="D10" s="1">
        <f t="shared" si="0"/>
        <v>2100</v>
      </c>
      <c r="E10" s="1">
        <f t="shared" si="1"/>
        <v>343.61318817364179</v>
      </c>
      <c r="F10" s="1">
        <f t="shared" si="4"/>
        <v>1756.3868118263581</v>
      </c>
      <c r="G10" s="1">
        <f t="shared" si="5"/>
        <v>15380.092970258089</v>
      </c>
      <c r="H10" s="1">
        <f t="shared" si="2"/>
        <v>14619.907029741911</v>
      </c>
      <c r="J10" s="4" t="s">
        <v>8</v>
      </c>
      <c r="K10" s="29">
        <v>17</v>
      </c>
    </row>
    <row r="11" spans="1:11" ht="17.25" thickBot="1" x14ac:dyDescent="0.35">
      <c r="A11" s="19">
        <v>46241</v>
      </c>
      <c r="B11" s="23">
        <f t="shared" si="3"/>
        <v>10</v>
      </c>
      <c r="C11" s="20"/>
      <c r="D11" s="21">
        <f t="shared" si="0"/>
        <v>2100</v>
      </c>
      <c r="E11" s="21">
        <f t="shared" si="1"/>
        <v>308.39488898078486</v>
      </c>
      <c r="F11" s="21">
        <f t="shared" si="4"/>
        <v>1791.6051110192152</v>
      </c>
      <c r="G11" s="21">
        <f t="shared" si="5"/>
        <v>13588.487859238874</v>
      </c>
      <c r="H11" s="21">
        <f t="shared" si="2"/>
        <v>16411.512140761126</v>
      </c>
      <c r="J11" s="14"/>
    </row>
    <row r="12" spans="1:11" x14ac:dyDescent="0.3">
      <c r="A12" s="2">
        <v>46248</v>
      </c>
      <c r="B12" s="22">
        <f t="shared" si="3"/>
        <v>11</v>
      </c>
      <c r="C12" s="3"/>
      <c r="D12" s="1">
        <f t="shared" si="0"/>
        <v>2100</v>
      </c>
      <c r="E12" s="1">
        <f t="shared" si="1"/>
        <v>272.4704078753299</v>
      </c>
      <c r="F12" s="1">
        <f t="shared" si="4"/>
        <v>1827.5295921246702</v>
      </c>
      <c r="G12" s="1">
        <f t="shared" si="5"/>
        <v>11760.958267114203</v>
      </c>
      <c r="H12" s="1">
        <f t="shared" si="2"/>
        <v>18239.041732885795</v>
      </c>
      <c r="J12" s="8" t="s">
        <v>16</v>
      </c>
      <c r="K12" s="9">
        <f>IFERROR(MAX($B:$B),"")</f>
        <v>17</v>
      </c>
    </row>
    <row r="13" spans="1:11" x14ac:dyDescent="0.3">
      <c r="A13" s="19">
        <v>46255</v>
      </c>
      <c r="B13" s="23">
        <f t="shared" si="3"/>
        <v>12</v>
      </c>
      <c r="C13" s="20"/>
      <c r="D13" s="21">
        <f t="shared" si="0"/>
        <v>2100</v>
      </c>
      <c r="E13" s="21">
        <f t="shared" si="1"/>
        <v>235.82558480681701</v>
      </c>
      <c r="F13" s="21">
        <f t="shared" si="4"/>
        <v>1864.174415193183</v>
      </c>
      <c r="G13" s="21">
        <f t="shared" si="5"/>
        <v>9896.78385192102</v>
      </c>
      <c r="H13" s="21">
        <f t="shared" si="2"/>
        <v>20103.21614807898</v>
      </c>
      <c r="J13" s="24" t="s">
        <v>22</v>
      </c>
      <c r="K13" s="11">
        <f>(K10*K9)-K9*K12</f>
        <v>0</v>
      </c>
    </row>
    <row r="14" spans="1:11" x14ac:dyDescent="0.3">
      <c r="A14" s="2">
        <v>46262</v>
      </c>
      <c r="B14" s="22">
        <f t="shared" si="3"/>
        <v>13</v>
      </c>
      <c r="C14" s="3"/>
      <c r="D14" s="1">
        <f t="shared" si="0"/>
        <v>2100</v>
      </c>
      <c r="E14" s="1">
        <f t="shared" si="1"/>
        <v>198.44597579365549</v>
      </c>
      <c r="F14" s="1">
        <f t="shared" si="4"/>
        <v>1901.5540242063446</v>
      </c>
      <c r="G14" s="1">
        <f t="shared" si="5"/>
        <v>7995.2298277146756</v>
      </c>
      <c r="H14" s="1">
        <f t="shared" si="2"/>
        <v>22004.770172285323</v>
      </c>
      <c r="J14" s="10" t="s">
        <v>23</v>
      </c>
      <c r="K14" s="11">
        <f>IF(A2="", K9*K10, IFERROR(INDEX($G:$G, MATCH($K$12, $B:$B, 0)), 0))</f>
        <v>1.2778400559909642E-9</v>
      </c>
    </row>
    <row r="15" spans="1:11" ht="17.25" thickBot="1" x14ac:dyDescent="0.35">
      <c r="A15" s="19">
        <v>46269</v>
      </c>
      <c r="B15" s="23">
        <f t="shared" si="3"/>
        <v>14</v>
      </c>
      <c r="C15" s="20"/>
      <c r="D15" s="21">
        <f t="shared" si="0"/>
        <v>2100</v>
      </c>
      <c r="E15" s="21">
        <f t="shared" si="1"/>
        <v>160.31684722986114</v>
      </c>
      <c r="F15" s="21">
        <f t="shared" si="4"/>
        <v>1939.6831527701388</v>
      </c>
      <c r="G15" s="21">
        <f t="shared" si="5"/>
        <v>6055.5466749445368</v>
      </c>
      <c r="H15" s="21">
        <f t="shared" si="2"/>
        <v>23944.453325055463</v>
      </c>
      <c r="J15" s="12" t="s">
        <v>5</v>
      </c>
      <c r="K15" s="13">
        <f>IFERROR(INDEX($H:$H, MATCH($K$12, $B:$B, 0)), 0)</f>
        <v>29999.999999998723</v>
      </c>
    </row>
    <row r="16" spans="1:11" x14ac:dyDescent="0.3">
      <c r="A16" s="2">
        <v>46269</v>
      </c>
      <c r="B16" s="22">
        <f t="shared" si="3"/>
        <v>15</v>
      </c>
      <c r="C16" s="3"/>
      <c r="D16" s="1">
        <f t="shared" si="0"/>
        <v>2100</v>
      </c>
      <c r="E16" s="1">
        <f t="shared" si="1"/>
        <v>121.42317007763468</v>
      </c>
      <c r="F16" s="1">
        <f t="shared" si="4"/>
        <v>1978.5768299223653</v>
      </c>
      <c r="G16" s="1">
        <f t="shared" si="5"/>
        <v>4076.9698450221713</v>
      </c>
      <c r="H16" s="1">
        <f t="shared" si="2"/>
        <v>25923.030154977831</v>
      </c>
      <c r="J16" s="15" t="s">
        <v>18</v>
      </c>
      <c r="K16" s="16">
        <f>IF(A2,A2, "")</f>
        <v>46178</v>
      </c>
    </row>
    <row r="17" spans="1:11" x14ac:dyDescent="0.3">
      <c r="A17" s="19">
        <v>46269</v>
      </c>
      <c r="B17" s="23">
        <f t="shared" si="3"/>
        <v>16</v>
      </c>
      <c r="C17" s="20"/>
      <c r="D17" s="21">
        <f t="shared" si="0"/>
        <v>2100</v>
      </c>
      <c r="E17" s="21">
        <f t="shared" si="1"/>
        <v>81.749613943492406</v>
      </c>
      <c r="F17" s="21">
        <f t="shared" si="4"/>
        <v>2018.2503860565075</v>
      </c>
      <c r="G17" s="21">
        <f t="shared" si="5"/>
        <v>2058.7194589656638</v>
      </c>
      <c r="H17" s="21">
        <f t="shared" si="2"/>
        <v>27941.280541034335</v>
      </c>
      <c r="J17" s="17" t="s">
        <v>19</v>
      </c>
      <c r="K17" s="18">
        <f xml:space="preserve"> IF(A2,(K16 + (17*7)),"")</f>
        <v>46297</v>
      </c>
    </row>
    <row r="18" spans="1:11" x14ac:dyDescent="0.3">
      <c r="A18" s="2">
        <v>46269</v>
      </c>
      <c r="B18" s="22">
        <f t="shared" si="3"/>
        <v>17</v>
      </c>
      <c r="C18" s="3"/>
      <c r="D18" s="1">
        <f t="shared" si="0"/>
        <v>2100</v>
      </c>
      <c r="E18" s="1">
        <f t="shared" si="1"/>
        <v>41.280541035614</v>
      </c>
      <c r="F18" s="1">
        <f t="shared" si="4"/>
        <v>2058.7194589643859</v>
      </c>
      <c r="G18" s="1">
        <f t="shared" si="5"/>
        <v>1.2778400559909642E-9</v>
      </c>
      <c r="H18" s="1">
        <f t="shared" si="2"/>
        <v>29999.999999998723</v>
      </c>
    </row>
  </sheetData>
  <sheetProtection algorithmName="SHA-512" hashValue="mQdYbOx9s12Q3m4UALN2Kn1RwXFITKOAZmHpCwUEZQpP8mOFspTMOsAKk2i4cuoHrA+iyFLMNI5ndVkbFO2Aog==" saltValue="O2+huODvLDeDErZdlAmMJ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2" workbookViewId="0">
      <selection activeCell="A9" sqref="A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46262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L10000W17-Lanchenbi_Ibeyaima-N213</v>
      </c>
    </row>
    <row r="3" spans="1:11" x14ac:dyDescent="0.3">
      <c r="A3" s="19">
        <v>46269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21</v>
      </c>
    </row>
    <row r="4" spans="1:11" x14ac:dyDescent="0.3">
      <c r="A4" s="2">
        <v>46276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46286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46290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46305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46305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700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7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7000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6286.1135316433047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3713.8864683566953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46262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46381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7" sqref="A7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46276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L30000W17-Lanchenbi_Ibeyaima-N219</v>
      </c>
    </row>
    <row r="3" spans="1:11" x14ac:dyDescent="0.3">
      <c r="A3" s="19">
        <v>46286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21</v>
      </c>
    </row>
    <row r="4" spans="1:11" x14ac:dyDescent="0.3">
      <c r="A4" s="2">
        <v>46290</v>
      </c>
      <c r="B4" s="22">
        <f t="shared" ref="B4:B18" si="3">IF(A4&lt;&gt;"",B3+1,"")</f>
        <v>3</v>
      </c>
      <c r="C4" s="3"/>
      <c r="D4" s="1">
        <f t="shared" si="0"/>
        <v>2100</v>
      </c>
      <c r="E4" s="1">
        <f t="shared" si="1"/>
        <v>540.8517343859711</v>
      </c>
      <c r="F4" s="1">
        <f t="shared" ref="F4:F18" si="4">IF(AND($A4&lt;&gt;"",$B4&lt;&gt;""),D4-E4,"")</f>
        <v>1559.1482656140288</v>
      </c>
      <c r="G4" s="1">
        <f t="shared" ref="G4:G18" si="5">IF(AND($A4&lt;&gt;"",$B4&lt;&gt;""),G3-F4,"")</f>
        <v>25413.899133040686</v>
      </c>
      <c r="H4" s="1">
        <f t="shared" si="2"/>
        <v>4586.1008669593139</v>
      </c>
      <c r="J4" s="4" t="s">
        <v>11</v>
      </c>
      <c r="K4" s="26"/>
    </row>
    <row r="5" spans="1:11" x14ac:dyDescent="0.3">
      <c r="A5" s="19">
        <v>46301</v>
      </c>
      <c r="B5" s="23">
        <f t="shared" si="3"/>
        <v>4</v>
      </c>
      <c r="C5" s="20"/>
      <c r="D5" s="21">
        <f t="shared" si="0"/>
        <v>2100</v>
      </c>
      <c r="E5" s="21">
        <f t="shared" si="1"/>
        <v>509.58837614695045</v>
      </c>
      <c r="F5" s="21">
        <f t="shared" si="4"/>
        <v>1590.4116238530496</v>
      </c>
      <c r="G5" s="21">
        <f t="shared" si="5"/>
        <v>23823.487509187638</v>
      </c>
      <c r="H5" s="21">
        <f t="shared" si="2"/>
        <v>6176.5124908123616</v>
      </c>
      <c r="J5" s="4" t="s">
        <v>12</v>
      </c>
      <c r="K5" s="26"/>
    </row>
    <row r="6" spans="1:11" x14ac:dyDescent="0.3">
      <c r="A6" s="2">
        <v>46305</v>
      </c>
      <c r="B6" s="22">
        <f t="shared" si="3"/>
        <v>5</v>
      </c>
      <c r="C6" s="3"/>
      <c r="D6" s="1">
        <f t="shared" si="0"/>
        <v>2100</v>
      </c>
      <c r="E6" s="1">
        <f t="shared" si="1"/>
        <v>477.69813873938818</v>
      </c>
      <c r="F6" s="1">
        <f t="shared" si="4"/>
        <v>1622.3018612606118</v>
      </c>
      <c r="G6" s="1">
        <f t="shared" si="5"/>
        <v>22201.185647927028</v>
      </c>
      <c r="H6" s="1">
        <f t="shared" si="2"/>
        <v>7798.8143520729718</v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2100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5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25200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22201.185647927028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7798.8143520729718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46276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46395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Loan1</vt:lpstr>
      <vt:lpstr>213</vt:lpstr>
      <vt:lpstr>219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2026-10-13T06:43:35Z</dcterms:modified>
</cp:coreProperties>
</file>