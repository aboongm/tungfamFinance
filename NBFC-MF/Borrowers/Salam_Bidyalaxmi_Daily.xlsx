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4" r:id="rId1"/>
    <sheet name="206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1" i="5" l="1"/>
  <c r="B120" i="5"/>
  <c r="F120" i="5" s="1"/>
  <c r="B119" i="5"/>
  <c r="F119" i="5" s="1"/>
  <c r="B118" i="5"/>
  <c r="G118" i="5" s="1"/>
  <c r="B117" i="5"/>
  <c r="F117" i="5" s="1"/>
  <c r="B116" i="5"/>
  <c r="E116" i="5" s="1"/>
  <c r="B115" i="5"/>
  <c r="F115" i="5" s="1"/>
  <c r="B114" i="5"/>
  <c r="B113" i="5"/>
  <c r="B112" i="5"/>
  <c r="F112" i="5" s="1"/>
  <c r="B111" i="5"/>
  <c r="F111" i="5" s="1"/>
  <c r="B110" i="5"/>
  <c r="G110" i="5" s="1"/>
  <c r="B109" i="5"/>
  <c r="F109" i="5" s="1"/>
  <c r="B108" i="5"/>
  <c r="E108" i="5" s="1"/>
  <c r="B107" i="5"/>
  <c r="F107" i="5" s="1"/>
  <c r="B106" i="5"/>
  <c r="B105" i="5"/>
  <c r="B104" i="5"/>
  <c r="F104" i="5" s="1"/>
  <c r="B103" i="5"/>
  <c r="F103" i="5" s="1"/>
  <c r="B102" i="5"/>
  <c r="G102" i="5" s="1"/>
  <c r="B101" i="5"/>
  <c r="F101" i="5" s="1"/>
  <c r="B100" i="5"/>
  <c r="E100" i="5" s="1"/>
  <c r="B99" i="5"/>
  <c r="F99" i="5" s="1"/>
  <c r="B98" i="5"/>
  <c r="B97" i="5"/>
  <c r="B96" i="5"/>
  <c r="F96" i="5" s="1"/>
  <c r="B95" i="5"/>
  <c r="F95" i="5" s="1"/>
  <c r="B94" i="5"/>
  <c r="G94" i="5" s="1"/>
  <c r="B93" i="5"/>
  <c r="F93" i="5" s="1"/>
  <c r="B92" i="5"/>
  <c r="E92" i="5" s="1"/>
  <c r="B91" i="5"/>
  <c r="B90" i="5"/>
  <c r="B89" i="5"/>
  <c r="B88" i="5"/>
  <c r="F88" i="5" s="1"/>
  <c r="B87" i="5"/>
  <c r="F87" i="5" s="1"/>
  <c r="B86" i="5"/>
  <c r="G86" i="5" s="1"/>
  <c r="B85" i="5"/>
  <c r="F85" i="5" s="1"/>
  <c r="B84" i="5"/>
  <c r="E84" i="5" s="1"/>
  <c r="B83" i="5"/>
  <c r="H83" i="5" s="1"/>
  <c r="B82" i="5"/>
  <c r="B81" i="5"/>
  <c r="D81" i="5" s="1"/>
  <c r="B80" i="5"/>
  <c r="B79" i="5"/>
  <c r="F79" i="5" s="1"/>
  <c r="B78" i="5"/>
  <c r="B77" i="5"/>
  <c r="B76" i="5"/>
  <c r="G76" i="5" s="1"/>
  <c r="B75" i="5"/>
  <c r="B74" i="5"/>
  <c r="B73" i="5"/>
  <c r="D73" i="5" s="1"/>
  <c r="B72" i="5"/>
  <c r="B71" i="5"/>
  <c r="F71" i="5" s="1"/>
  <c r="B70" i="5"/>
  <c r="B69" i="5"/>
  <c r="B68" i="5"/>
  <c r="G68" i="5" s="1"/>
  <c r="B67" i="5"/>
  <c r="H67" i="5" s="1"/>
  <c r="B66" i="5"/>
  <c r="B65" i="5"/>
  <c r="F65" i="5" s="1"/>
  <c r="B64" i="5"/>
  <c r="G64" i="5" s="1"/>
  <c r="B63" i="5"/>
  <c r="G63" i="5" s="1"/>
  <c r="B62" i="5"/>
  <c r="B44" i="5"/>
  <c r="D44" i="5" s="1"/>
  <c r="B43" i="5"/>
  <c r="B42" i="5"/>
  <c r="D42" i="5" s="1"/>
  <c r="K16" i="5"/>
  <c r="K17" i="5" s="1"/>
  <c r="K8" i="5"/>
  <c r="B3" i="5"/>
  <c r="K2" i="5"/>
  <c r="B2" i="5"/>
  <c r="D2" i="5" s="1"/>
  <c r="E87" i="5" l="1"/>
  <c r="E93" i="5"/>
  <c r="F100" i="5"/>
  <c r="G100" i="5"/>
  <c r="E85" i="5"/>
  <c r="E79" i="5"/>
  <c r="G85" i="5"/>
  <c r="G109" i="5"/>
  <c r="G112" i="5"/>
  <c r="E119" i="5"/>
  <c r="E64" i="5"/>
  <c r="G84" i="5"/>
  <c r="F108" i="5"/>
  <c r="E42" i="5"/>
  <c r="F42" i="5" s="1"/>
  <c r="G65" i="5"/>
  <c r="G120" i="5"/>
  <c r="G88" i="5"/>
  <c r="E117" i="5"/>
  <c r="F63" i="5"/>
  <c r="F64" i="5"/>
  <c r="E71" i="5"/>
  <c r="F92" i="5"/>
  <c r="G93" i="5"/>
  <c r="G96" i="5"/>
  <c r="E101" i="5"/>
  <c r="E103" i="5"/>
  <c r="G108" i="5"/>
  <c r="F116" i="5"/>
  <c r="G117" i="5"/>
  <c r="H63" i="5"/>
  <c r="G101" i="5"/>
  <c r="G116" i="5"/>
  <c r="G92" i="5"/>
  <c r="E2" i="5"/>
  <c r="F2" i="5" s="1"/>
  <c r="G2" i="5" s="1"/>
  <c r="D65" i="5"/>
  <c r="F84" i="5"/>
  <c r="G104" i="5"/>
  <c r="E109" i="5"/>
  <c r="G62" i="5"/>
  <c r="E62" i="5"/>
  <c r="D62" i="5"/>
  <c r="B45" i="5"/>
  <c r="F62" i="5"/>
  <c r="F69" i="5"/>
  <c r="E69" i="5"/>
  <c r="D69" i="5"/>
  <c r="F77" i="5"/>
  <c r="E77" i="5"/>
  <c r="D77" i="5"/>
  <c r="F97" i="5"/>
  <c r="G97" i="5"/>
  <c r="D97" i="5"/>
  <c r="F113" i="5"/>
  <c r="G113" i="5"/>
  <c r="D113" i="5"/>
  <c r="H62" i="5"/>
  <c r="G69" i="5"/>
  <c r="F72" i="5"/>
  <c r="G72" i="5"/>
  <c r="E72" i="5"/>
  <c r="G77" i="5"/>
  <c r="F80" i="5"/>
  <c r="G80" i="5"/>
  <c r="E80" i="5"/>
  <c r="E95" i="5"/>
  <c r="E111" i="5"/>
  <c r="D43" i="5"/>
  <c r="F68" i="5"/>
  <c r="E68" i="5"/>
  <c r="G70" i="5"/>
  <c r="F70" i="5"/>
  <c r="F73" i="5"/>
  <c r="G73" i="5"/>
  <c r="F76" i="5"/>
  <c r="E76" i="5"/>
  <c r="G78" i="5"/>
  <c r="F78" i="5"/>
  <c r="F81" i="5"/>
  <c r="G81" i="5"/>
  <c r="F89" i="5"/>
  <c r="G89" i="5"/>
  <c r="D89" i="5"/>
  <c r="F105" i="5"/>
  <c r="G105" i="5"/>
  <c r="D105" i="5"/>
  <c r="F121" i="5"/>
  <c r="G121" i="5"/>
  <c r="D121" i="5"/>
  <c r="H64" i="5"/>
  <c r="G42" i="5"/>
  <c r="H42" i="5"/>
  <c r="D63" i="5"/>
  <c r="D64" i="5"/>
  <c r="D85" i="5"/>
  <c r="F86" i="5"/>
  <c r="E88" i="5"/>
  <c r="D93" i="5"/>
  <c r="F94" i="5"/>
  <c r="E96" i="5"/>
  <c r="D101" i="5"/>
  <c r="F102" i="5"/>
  <c r="E104" i="5"/>
  <c r="D109" i="5"/>
  <c r="F110" i="5"/>
  <c r="E112" i="5"/>
  <c r="D117" i="5"/>
  <c r="F118" i="5"/>
  <c r="E120" i="5"/>
  <c r="H66" i="5"/>
  <c r="D66" i="5"/>
  <c r="G66" i="5"/>
  <c r="F66" i="5"/>
  <c r="E66" i="5"/>
  <c r="F91" i="5"/>
  <c r="G91" i="5"/>
  <c r="E91" i="5"/>
  <c r="D91" i="5"/>
  <c r="F67" i="5"/>
  <c r="G67" i="5"/>
  <c r="E67" i="5"/>
  <c r="D67" i="5"/>
  <c r="H74" i="5"/>
  <c r="D74" i="5"/>
  <c r="G74" i="5"/>
  <c r="F74" i="5"/>
  <c r="E74" i="5"/>
  <c r="H91" i="5"/>
  <c r="F75" i="5"/>
  <c r="G75" i="5"/>
  <c r="E75" i="5"/>
  <c r="D75" i="5"/>
  <c r="H82" i="5"/>
  <c r="D82" i="5"/>
  <c r="G82" i="5"/>
  <c r="F82" i="5"/>
  <c r="E82" i="5"/>
  <c r="D3" i="5"/>
  <c r="B4" i="5"/>
  <c r="H75" i="5"/>
  <c r="F83" i="5"/>
  <c r="G83" i="5"/>
  <c r="E83" i="5"/>
  <c r="D83" i="5"/>
  <c r="H90" i="5"/>
  <c r="D90" i="5"/>
  <c r="G90" i="5"/>
  <c r="F90" i="5"/>
  <c r="E90" i="5"/>
  <c r="H98" i="5"/>
  <c r="D98" i="5"/>
  <c r="H99" i="5"/>
  <c r="H106" i="5"/>
  <c r="D106" i="5"/>
  <c r="H107" i="5"/>
  <c r="H114" i="5"/>
  <c r="D114" i="5"/>
  <c r="H115" i="5"/>
  <c r="E43" i="5"/>
  <c r="E63" i="5"/>
  <c r="E65" i="5"/>
  <c r="H68" i="5"/>
  <c r="D68" i="5"/>
  <c r="H69" i="5"/>
  <c r="G71" i="5"/>
  <c r="E73" i="5"/>
  <c r="H76" i="5"/>
  <c r="D76" i="5"/>
  <c r="H77" i="5"/>
  <c r="G79" i="5"/>
  <c r="E81" i="5"/>
  <c r="H84" i="5"/>
  <c r="D84" i="5"/>
  <c r="H85" i="5"/>
  <c r="G87" i="5"/>
  <c r="E89" i="5"/>
  <c r="H92" i="5"/>
  <c r="D92" i="5"/>
  <c r="H93" i="5"/>
  <c r="G95" i="5"/>
  <c r="E97" i="5"/>
  <c r="E98" i="5"/>
  <c r="D99" i="5"/>
  <c r="H100" i="5"/>
  <c r="D100" i="5"/>
  <c r="H101" i="5"/>
  <c r="G103" i="5"/>
  <c r="E105" i="5"/>
  <c r="E106" i="5"/>
  <c r="D107" i="5"/>
  <c r="H108" i="5"/>
  <c r="D108" i="5"/>
  <c r="H109" i="5"/>
  <c r="G111" i="5"/>
  <c r="E113" i="5"/>
  <c r="E114" i="5"/>
  <c r="D115" i="5"/>
  <c r="H116" i="5"/>
  <c r="D116" i="5"/>
  <c r="H117" i="5"/>
  <c r="G119" i="5"/>
  <c r="E121" i="5"/>
  <c r="H70" i="5"/>
  <c r="D70" i="5"/>
  <c r="H71" i="5"/>
  <c r="H78" i="5"/>
  <c r="D78" i="5"/>
  <c r="H79" i="5"/>
  <c r="H86" i="5"/>
  <c r="D86" i="5"/>
  <c r="H87" i="5"/>
  <c r="H94" i="5"/>
  <c r="D94" i="5"/>
  <c r="H95" i="5"/>
  <c r="F98" i="5"/>
  <c r="E99" i="5"/>
  <c r="H102" i="5"/>
  <c r="D102" i="5"/>
  <c r="H103" i="5"/>
  <c r="F106" i="5"/>
  <c r="E107" i="5"/>
  <c r="H110" i="5"/>
  <c r="D110" i="5"/>
  <c r="H111" i="5"/>
  <c r="F114" i="5"/>
  <c r="E115" i="5"/>
  <c r="H118" i="5"/>
  <c r="D118" i="5"/>
  <c r="H119" i="5"/>
  <c r="H65" i="5"/>
  <c r="E70" i="5"/>
  <c r="D71" i="5"/>
  <c r="H72" i="5"/>
  <c r="D72" i="5"/>
  <c r="H73" i="5"/>
  <c r="E78" i="5"/>
  <c r="D79" i="5"/>
  <c r="H80" i="5"/>
  <c r="D80" i="5"/>
  <c r="H81" i="5"/>
  <c r="E86" i="5"/>
  <c r="D87" i="5"/>
  <c r="H88" i="5"/>
  <c r="D88" i="5"/>
  <c r="H89" i="5"/>
  <c r="E94" i="5"/>
  <c r="D95" i="5"/>
  <c r="H96" i="5"/>
  <c r="D96" i="5"/>
  <c r="H97" i="5"/>
  <c r="G98" i="5"/>
  <c r="G99" i="5"/>
  <c r="E102" i="5"/>
  <c r="D103" i="5"/>
  <c r="H104" i="5"/>
  <c r="D104" i="5"/>
  <c r="H105" i="5"/>
  <c r="G106" i="5"/>
  <c r="G107" i="5"/>
  <c r="E110" i="5"/>
  <c r="D111" i="5"/>
  <c r="H112" i="5"/>
  <c r="D112" i="5"/>
  <c r="H113" i="5"/>
  <c r="G114" i="5"/>
  <c r="G115" i="5"/>
  <c r="E118" i="5"/>
  <c r="D119" i="5"/>
  <c r="H120" i="5"/>
  <c r="D120" i="5"/>
  <c r="H121" i="5"/>
  <c r="B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7" i="4"/>
  <c r="D45" i="5" l="1"/>
  <c r="B46" i="5"/>
  <c r="F43" i="5"/>
  <c r="G43" i="5" s="1"/>
  <c r="H2" i="5"/>
  <c r="E3" i="5"/>
  <c r="F3" i="5" s="1"/>
  <c r="G3" i="5" s="1"/>
  <c r="H3" i="5" s="1"/>
  <c r="B5" i="5"/>
  <c r="D4" i="5"/>
  <c r="K16" i="4"/>
  <c r="K17" i="4" s="1"/>
  <c r="E44" i="5" l="1"/>
  <c r="F44" i="5" s="1"/>
  <c r="G44" i="5" s="1"/>
  <c r="H43" i="5"/>
  <c r="D46" i="5"/>
  <c r="B47" i="5"/>
  <c r="E4" i="5"/>
  <c r="F4" i="5" s="1"/>
  <c r="G4" i="5" s="1"/>
  <c r="H4" i="5" s="1"/>
  <c r="D5" i="5"/>
  <c r="B6" i="5"/>
  <c r="K2" i="4"/>
  <c r="H44" i="5" l="1"/>
  <c r="E45" i="5"/>
  <c r="F45" i="5" s="1"/>
  <c r="G45" i="5" s="1"/>
  <c r="D47" i="5"/>
  <c r="B48" i="5"/>
  <c r="E5" i="5"/>
  <c r="F5" i="5" s="1"/>
  <c r="G5" i="5" s="1"/>
  <c r="H5" i="5" s="1"/>
  <c r="B7" i="5"/>
  <c r="D6" i="5"/>
  <c r="K12" i="4"/>
  <c r="K13" i="4" s="1"/>
  <c r="E29" i="4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H45" i="5" l="1"/>
  <c r="E46" i="5"/>
  <c r="F46" i="5" s="1"/>
  <c r="G46" i="5" s="1"/>
  <c r="B49" i="5"/>
  <c r="D48" i="5"/>
  <c r="D7" i="5"/>
  <c r="B8" i="5"/>
  <c r="E6" i="5"/>
  <c r="F6" i="5" s="1"/>
  <c r="G6" i="5" s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K8" i="4"/>
  <c r="E2" i="4" s="1"/>
  <c r="F2" i="4" s="1"/>
  <c r="G2" i="4" s="1"/>
  <c r="H46" i="5" l="1"/>
  <c r="E47" i="5"/>
  <c r="F47" i="5" s="1"/>
  <c r="G47" i="5" s="1"/>
  <c r="B50" i="5"/>
  <c r="D49" i="5"/>
  <c r="H6" i="5"/>
  <c r="E7" i="5"/>
  <c r="F7" i="5" s="1"/>
  <c r="G7" i="5" s="1"/>
  <c r="B9" i="5"/>
  <c r="D8" i="5"/>
  <c r="H2" i="4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 s="1"/>
  <c r="H47" i="5" l="1"/>
  <c r="E48" i="5"/>
  <c r="F48" i="5" s="1"/>
  <c r="G48" i="5" s="1"/>
  <c r="B51" i="5"/>
  <c r="D50" i="5"/>
  <c r="H7" i="5"/>
  <c r="E8" i="5"/>
  <c r="F8" i="5" s="1"/>
  <c r="G8" i="5" s="1"/>
  <c r="B10" i="5"/>
  <c r="D9" i="5"/>
  <c r="H107" i="4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H48" i="5" l="1"/>
  <c r="E49" i="5"/>
  <c r="F49" i="5" s="1"/>
  <c r="G49" i="5"/>
  <c r="B52" i="5"/>
  <c r="D51" i="5"/>
  <c r="H8" i="5"/>
  <c r="E9" i="5"/>
  <c r="F9" i="5" s="1"/>
  <c r="G9" i="5" s="1"/>
  <c r="B11" i="5"/>
  <c r="D10" i="5"/>
  <c r="E109" i="4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H32" i="4"/>
  <c r="E17" i="4"/>
  <c r="F17" i="4" s="1"/>
  <c r="G17" i="4" s="1"/>
  <c r="D52" i="5" l="1"/>
  <c r="B53" i="5"/>
  <c r="H49" i="5"/>
  <c r="E50" i="5"/>
  <c r="F50" i="5" s="1"/>
  <c r="G50" i="5" s="1"/>
  <c r="H9" i="5"/>
  <c r="E10" i="5"/>
  <c r="F10" i="5" s="1"/>
  <c r="G10" i="5" s="1"/>
  <c r="B12" i="5"/>
  <c r="D11" i="5"/>
  <c r="E110" i="4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H50" i="5" l="1"/>
  <c r="E51" i="5"/>
  <c r="F51" i="5" s="1"/>
  <c r="G51" i="5"/>
  <c r="D53" i="5"/>
  <c r="B54" i="5"/>
  <c r="H10" i="5"/>
  <c r="E11" i="5"/>
  <c r="F11" i="5" s="1"/>
  <c r="G11" i="5" s="1"/>
  <c r="B13" i="5"/>
  <c r="D12" i="5"/>
  <c r="G111" i="4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G35" i="4" s="1"/>
  <c r="H34" i="4"/>
  <c r="E19" i="4"/>
  <c r="F19" i="4" s="1"/>
  <c r="G19" i="4" s="1"/>
  <c r="H18" i="4"/>
  <c r="B55" i="5" l="1"/>
  <c r="D54" i="5"/>
  <c r="H51" i="5"/>
  <c r="E52" i="5"/>
  <c r="F52" i="5" s="1"/>
  <c r="G52" i="5" s="1"/>
  <c r="H11" i="5"/>
  <c r="E12" i="5"/>
  <c r="F12" i="5" s="1"/>
  <c r="G12" i="5" s="1"/>
  <c r="H12" i="5" s="1"/>
  <c r="B14" i="5"/>
  <c r="D13" i="5"/>
  <c r="E112" i="4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 s="1"/>
  <c r="H35" i="4"/>
  <c r="H19" i="4"/>
  <c r="E20" i="4"/>
  <c r="F20" i="4" s="1"/>
  <c r="G20" i="4" s="1"/>
  <c r="H52" i="5" l="1"/>
  <c r="E53" i="5"/>
  <c r="F53" i="5" s="1"/>
  <c r="G53" i="5"/>
  <c r="D55" i="5"/>
  <c r="B56" i="5"/>
  <c r="E13" i="5"/>
  <c r="F13" i="5"/>
  <c r="G13" i="5" s="1"/>
  <c r="H13" i="5" s="1"/>
  <c r="D14" i="5"/>
  <c r="B15" i="5"/>
  <c r="E113" i="4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53" i="5" l="1"/>
  <c r="E54" i="5"/>
  <c r="F54" i="5" s="1"/>
  <c r="G54" i="5" s="1"/>
  <c r="B57" i="5"/>
  <c r="D56" i="5"/>
  <c r="E14" i="5"/>
  <c r="F14" i="5" s="1"/>
  <c r="G14" i="5" s="1"/>
  <c r="H14" i="5" s="1"/>
  <c r="D15" i="5"/>
  <c r="B16" i="5"/>
  <c r="H113" i="4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H54" i="5" l="1"/>
  <c r="E55" i="5"/>
  <c r="F55" i="5" s="1"/>
  <c r="G55" i="5"/>
  <c r="B58" i="5"/>
  <c r="D57" i="5"/>
  <c r="E15" i="5"/>
  <c r="F15" i="5"/>
  <c r="G15" i="5" s="1"/>
  <c r="H15" i="5" s="1"/>
  <c r="B17" i="5"/>
  <c r="D16" i="5"/>
  <c r="E115" i="4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 s="1"/>
  <c r="H22" i="4"/>
  <c r="E23" i="4"/>
  <c r="F23" i="4" s="1"/>
  <c r="G23" i="4" s="1"/>
  <c r="H55" i="5" l="1"/>
  <c r="E56" i="5"/>
  <c r="F56" i="5" s="1"/>
  <c r="G56" i="5" s="1"/>
  <c r="D58" i="5"/>
  <c r="B59" i="5"/>
  <c r="E16" i="5"/>
  <c r="F16" i="5"/>
  <c r="G16" i="5" s="1"/>
  <c r="H16" i="5" s="1"/>
  <c r="B18" i="5"/>
  <c r="D17" i="5"/>
  <c r="H115" i="4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56" i="5" l="1"/>
  <c r="E57" i="5"/>
  <c r="F57" i="5" s="1"/>
  <c r="G57" i="5" s="1"/>
  <c r="B60" i="5"/>
  <c r="D59" i="5"/>
  <c r="E17" i="5"/>
  <c r="F17" i="5" s="1"/>
  <c r="G17" i="5" s="1"/>
  <c r="H17" i="5" s="1"/>
  <c r="B19" i="5"/>
  <c r="E18" i="5"/>
  <c r="D18" i="5"/>
  <c r="F18" i="5" s="1"/>
  <c r="G18" i="5" s="1"/>
  <c r="H18" i="5" s="1"/>
  <c r="H116" i="4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H57" i="5" l="1"/>
  <c r="E58" i="5"/>
  <c r="F58" i="5" s="1"/>
  <c r="G58" i="5"/>
  <c r="B61" i="5"/>
  <c r="D60" i="5"/>
  <c r="B20" i="5"/>
  <c r="E19" i="5"/>
  <c r="D19" i="5"/>
  <c r="F19" i="5" s="1"/>
  <c r="G19" i="5" s="1"/>
  <c r="H19" i="5" s="1"/>
  <c r="E118" i="4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D61" i="5" l="1"/>
  <c r="H58" i="5"/>
  <c r="G59" i="5"/>
  <c r="E59" i="5"/>
  <c r="F59" i="5" s="1"/>
  <c r="B21" i="5"/>
  <c r="E20" i="5"/>
  <c r="D20" i="5"/>
  <c r="F20" i="5"/>
  <c r="G20" i="5" s="1"/>
  <c r="H20" i="5" s="1"/>
  <c r="H118" i="4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H59" i="5" l="1"/>
  <c r="E60" i="5"/>
  <c r="F60" i="5" s="1"/>
  <c r="G60" i="5"/>
  <c r="B22" i="5"/>
  <c r="E21" i="5"/>
  <c r="D21" i="5"/>
  <c r="F21" i="5" s="1"/>
  <c r="G21" i="5" s="1"/>
  <c r="H21" i="5" s="1"/>
  <c r="H101" i="4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H60" i="5" l="1"/>
  <c r="E61" i="5"/>
  <c r="F61" i="5" s="1"/>
  <c r="G61" i="5" s="1"/>
  <c r="H61" i="5" s="1"/>
  <c r="B23" i="5"/>
  <c r="E22" i="5"/>
  <c r="D22" i="5"/>
  <c r="F22" i="5" s="1"/>
  <c r="G22" i="5" s="1"/>
  <c r="H22" i="5" s="1"/>
  <c r="E103" i="4"/>
  <c r="F103" i="4" s="1"/>
  <c r="G103" i="4"/>
  <c r="H102" i="4"/>
  <c r="H78" i="4"/>
  <c r="E79" i="4"/>
  <c r="F79" i="4" s="1"/>
  <c r="G79" i="4" s="1"/>
  <c r="G45" i="4"/>
  <c r="E45" i="4"/>
  <c r="F45" i="4" s="1"/>
  <c r="H44" i="4"/>
  <c r="B24" i="5" l="1"/>
  <c r="E23" i="5"/>
  <c r="D23" i="5"/>
  <c r="F23" i="5" s="1"/>
  <c r="G23" i="5" s="1"/>
  <c r="H23" i="5" s="1"/>
  <c r="H103" i="4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B25" i="5" l="1"/>
  <c r="E24" i="5"/>
  <c r="D24" i="5"/>
  <c r="F24" i="5" s="1"/>
  <c r="G24" i="5" s="1"/>
  <c r="H24" i="5" s="1"/>
  <c r="H80" i="4"/>
  <c r="E81" i="4"/>
  <c r="F81" i="4" s="1"/>
  <c r="G81" i="4" s="1"/>
  <c r="B26" i="5" l="1"/>
  <c r="E25" i="5"/>
  <c r="D25" i="5"/>
  <c r="H81" i="4"/>
  <c r="E82" i="4"/>
  <c r="F82" i="4" s="1"/>
  <c r="G82" i="4" s="1"/>
  <c r="F3" i="4"/>
  <c r="G3" i="4" s="1"/>
  <c r="F25" i="5" l="1"/>
  <c r="G25" i="5" s="1"/>
  <c r="H25" i="5" s="1"/>
  <c r="B27" i="5"/>
  <c r="E26" i="5"/>
  <c r="D26" i="5"/>
  <c r="E4" i="4"/>
  <c r="H3" i="4"/>
  <c r="H82" i="4"/>
  <c r="E83" i="4"/>
  <c r="F83" i="4" s="1"/>
  <c r="G83" i="4" s="1"/>
  <c r="F4" i="4"/>
  <c r="G4" i="4" s="1"/>
  <c r="F26" i="5" l="1"/>
  <c r="G26" i="5" s="1"/>
  <c r="H26" i="5" s="1"/>
  <c r="B28" i="5"/>
  <c r="E27" i="5"/>
  <c r="D27" i="5"/>
  <c r="E5" i="4"/>
  <c r="F5" i="4" s="1"/>
  <c r="G5" i="4" s="1"/>
  <c r="H4" i="4"/>
  <c r="H83" i="4"/>
  <c r="E84" i="4"/>
  <c r="F84" i="4" s="1"/>
  <c r="G84" i="4"/>
  <c r="F27" i="5" l="1"/>
  <c r="G27" i="5" s="1"/>
  <c r="H27" i="5" s="1"/>
  <c r="B29" i="5"/>
  <c r="E28" i="5"/>
  <c r="D28" i="5"/>
  <c r="H5" i="4"/>
  <c r="E6" i="4"/>
  <c r="F6" i="4" s="1"/>
  <c r="G6" i="4" s="1"/>
  <c r="H84" i="4"/>
  <c r="E85" i="4"/>
  <c r="F85" i="4" s="1"/>
  <c r="G85" i="4" s="1"/>
  <c r="F28" i="5" l="1"/>
  <c r="G28" i="5" s="1"/>
  <c r="H28" i="5" s="1"/>
  <c r="B30" i="5"/>
  <c r="E29" i="5"/>
  <c r="F29" i="5" s="1"/>
  <c r="G29" i="5" s="1"/>
  <c r="H29" i="5" s="1"/>
  <c r="D29" i="5"/>
  <c r="E7" i="4"/>
  <c r="F7" i="4" s="1"/>
  <c r="G7" i="4"/>
  <c r="H6" i="4"/>
  <c r="H85" i="4"/>
  <c r="E86" i="4"/>
  <c r="F86" i="4" s="1"/>
  <c r="G86" i="4" s="1"/>
  <c r="H86" i="4" s="1"/>
  <c r="B31" i="5" l="1"/>
  <c r="E30" i="5"/>
  <c r="D30" i="5"/>
  <c r="F30" i="5" s="1"/>
  <c r="G30" i="5" s="1"/>
  <c r="H30" i="5" s="1"/>
  <c r="E8" i="4"/>
  <c r="F8" i="4" s="1"/>
  <c r="G8" i="4" s="1"/>
  <c r="H7" i="4"/>
  <c r="B32" i="5" l="1"/>
  <c r="E31" i="5"/>
  <c r="D31" i="5"/>
  <c r="F31" i="5" s="1"/>
  <c r="G31" i="5" s="1"/>
  <c r="H31" i="5" s="1"/>
  <c r="E9" i="4"/>
  <c r="F9" i="4" s="1"/>
  <c r="G9" i="4" s="1"/>
  <c r="H8" i="4"/>
  <c r="B33" i="5" l="1"/>
  <c r="E32" i="5"/>
  <c r="D32" i="5"/>
  <c r="F32" i="5" s="1"/>
  <c r="G32" i="5" s="1"/>
  <c r="H32" i="5" s="1"/>
  <c r="H9" i="4"/>
  <c r="E10" i="4"/>
  <c r="F10" i="4" s="1"/>
  <c r="G10" i="4" s="1"/>
  <c r="B34" i="5" l="1"/>
  <c r="E33" i="5"/>
  <c r="D33" i="5"/>
  <c r="F33" i="5" s="1"/>
  <c r="G33" i="5" s="1"/>
  <c r="H33" i="5" s="1"/>
  <c r="E11" i="4"/>
  <c r="F11" i="4" s="1"/>
  <c r="G11" i="4" s="1"/>
  <c r="H10" i="4"/>
  <c r="B35" i="5" l="1"/>
  <c r="E34" i="5"/>
  <c r="D34" i="5"/>
  <c r="F34" i="5"/>
  <c r="G34" i="5" s="1"/>
  <c r="H34" i="5" s="1"/>
  <c r="E12" i="4"/>
  <c r="F12" i="4" s="1"/>
  <c r="G12" i="4"/>
  <c r="H11" i="4"/>
  <c r="B36" i="5" l="1"/>
  <c r="E35" i="5"/>
  <c r="D35" i="5"/>
  <c r="H12" i="4"/>
  <c r="E13" i="4"/>
  <c r="F13" i="4" s="1"/>
  <c r="G13" i="4" s="1"/>
  <c r="F35" i="5" l="1"/>
  <c r="G35" i="5" s="1"/>
  <c r="H35" i="5" s="1"/>
  <c r="B37" i="5"/>
  <c r="E36" i="5"/>
  <c r="F36" i="5" s="1"/>
  <c r="G36" i="5" s="1"/>
  <c r="H36" i="5" s="1"/>
  <c r="D36" i="5"/>
  <c r="E14" i="4"/>
  <c r="F14" i="4" s="1"/>
  <c r="G14" i="4" s="1"/>
  <c r="H13" i="4"/>
  <c r="B38" i="5" l="1"/>
  <c r="E37" i="5"/>
  <c r="D37" i="5"/>
  <c r="H14" i="4"/>
  <c r="E15" i="4"/>
  <c r="F15" i="4" s="1"/>
  <c r="G15" i="4" s="1"/>
  <c r="F37" i="5" l="1"/>
  <c r="G37" i="5" s="1"/>
  <c r="H37" i="5" s="1"/>
  <c r="B39" i="5"/>
  <c r="E38" i="5"/>
  <c r="F38" i="5" s="1"/>
  <c r="G38" i="5" s="1"/>
  <c r="H38" i="5" s="1"/>
  <c r="D38" i="5"/>
  <c r="H15" i="4"/>
  <c r="E16" i="4"/>
  <c r="F16" i="4" s="1"/>
  <c r="G16" i="4" s="1"/>
  <c r="K14" i="4" s="1"/>
  <c r="B40" i="5" l="1"/>
  <c r="E39" i="5"/>
  <c r="D39" i="5"/>
  <c r="F39" i="5" s="1"/>
  <c r="G39" i="5" s="1"/>
  <c r="H39" i="5" s="1"/>
  <c r="H16" i="4"/>
  <c r="K15" i="4" s="1"/>
  <c r="B41" i="5" l="1"/>
  <c r="E40" i="5"/>
  <c r="D40" i="5"/>
  <c r="F40" i="5" l="1"/>
  <c r="G40" i="5" s="1"/>
  <c r="H40" i="5" s="1"/>
  <c r="E41" i="5"/>
  <c r="F41" i="5" s="1"/>
  <c r="G41" i="5" s="1"/>
  <c r="H41" i="5" s="1"/>
  <c r="D41" i="5"/>
  <c r="K12" i="5"/>
  <c r="K14" i="5" l="1"/>
  <c r="K13" i="5"/>
  <c r="K15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<sst xmlns="http://schemas.openxmlformats.org/spreadsheetml/2006/main" count="50" uniqueCount="24">
  <si>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</si>
  <si>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</si>
  <si>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</si>
  <si>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</si>
  <si>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</si>
  <si>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</si>
  <si>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</si>
  <si>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</si>
  <si>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</si>
  <si>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</si>
  <si>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</si>
  <si>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</si>
  <si>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</si>
  <si>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</si>
  <si>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</si>
  <si>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</si>
  <si>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</si>
  <si>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</si>
  <si>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</si>
  <si>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</si>
  <si>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</si>
  <si>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Salam_Bidyalaxmi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</si>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</sst>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38" activePane="bottomLeft" state="frozen"/>
      <selection pane="bottomLeft" activeCell="A42" sqref="A42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425781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46095</v>
      </c>
      <c r="B2" s="23">
        <f>IF(A2&lt;&gt;"",1,"")</f>
        <v>1</v>
      </c>
      <c r="C2" s="3"/>
      <c r="D2" s="4">
        <f t="shared" ref="D2:D33" si="0">IF(AND($A2&lt;&gt;"",$B2&lt;&gt;""),$K$9,"")</f>
        <v>150</v>
      </c>
      <c r="E2" s="4">
        <f>IF(AND($A2&lt;&gt;"",$B2&lt;&gt;""),$K$7*$K$8,"")</f>
        <v>46.04325526141502</v>
      </c>
      <c r="F2" s="4">
        <f>IF(AND($A2&lt;&gt;"",$B2&lt;&gt;""),D2-E2,"")</f>
        <v>103.95674473858497</v>
      </c>
      <c r="G2" s="4">
        <f>IF(AND($A2&lt;&gt;"",$B2&lt;&gt;""),$K$7-F2,"")</f>
        <v>4896.0432552614147</v>
      </c>
      <c r="H2" s="4">
        <f>IF(AND($A2&lt;&gt;"",$B2&lt;&gt;""),$K$7-G2,"")</f>
        <v>103.95674473858526</v>
      </c>
      <c r="J2" s="5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L5000D40-Salam_Bidyalaxmi-NLoan1</v>
      </c>
    </row>
    <row r="3" spans="1:12" x14ac:dyDescent="0.3">
      <c r="A3" s="19">
        <v>46098</v>
      </c>
      <c r="B3" s="24">
        <f>IF(A3&lt;&gt;"",B2+1,"")</f>
        <v>2</v>
      </c>
      <c r="C3" s="20"/>
      <c r="D3" s="21">
        <f t="shared" si="0"/>
        <v>150</v>
      </c>
      <c r="E3" s="21">
        <f t="shared" ref="E3:E34" si="1">IF(AND($A3&lt;&gt;"",$B3&lt;&gt;""),G2*$K$8,"")</f>
        <v>45.085953874586131</v>
      </c>
      <c r="F3" s="21">
        <f>IF(AND($A3&lt;&gt;"",$B3&lt;&gt;""),D3-E3,"")</f>
        <v>104.91404612541388</v>
      </c>
      <c r="G3" s="21">
        <f>IF(AND($A3&lt;&gt;"",$B3&lt;&gt;""),G2-F3,"")</f>
        <v>4791.129209136001</v>
      </c>
      <c r="H3" s="21">
        <f t="shared" ref="H3:H34" si="2">IF(AND($A3&lt;&gt;"",$B3&lt;&gt;""),$K$7-G3,"")</f>
        <v>208.87079086399899</v>
      </c>
      <c r="J3" s="5" t="s">
        <v>10</v>
      </c>
      <c r="K3" s="27" t="s">
        <v>21</v>
      </c>
    </row>
    <row r="4" spans="1:12" x14ac:dyDescent="0.3">
      <c r="A4" s="2">
        <v>46099</v>
      </c>
      <c r="B4" s="23">
        <f t="shared" ref="B4:B67" si="3">IF(A4&lt;&gt;"",B3+1,"")</f>
        <v>3</v>
      </c>
      <c r="C4" s="3"/>
      <c r="D4" s="4">
        <f t="shared" si="0"/>
        <v>150</v>
      </c>
      <c r="E4" s="4">
        <f t="shared" si="1"/>
        <v>44.119837033334072</v>
      </c>
      <c r="F4" s="4">
        <f>IF(AND($A4&lt;&gt;"",$B4&lt;&gt;""),D4-E4,"")</f>
        <v>105.88016296666592</v>
      </c>
      <c r="G4" s="4">
        <f>IF(AND($A4&lt;&gt;"",$B4&lt;&gt;""),G3-F4,"")</f>
        <v>4685.2490461693351</v>
      </c>
      <c r="H4" s="4">
        <f t="shared" si="2"/>
        <v>314.75095383066491</v>
      </c>
      <c r="J4" s="5" t="s">
        <v>11</v>
      </c>
      <c r="K4" s="27"/>
    </row>
    <row r="5" spans="1:12" x14ac:dyDescent="0.3">
      <c r="A5" s="19">
        <v>46103</v>
      </c>
      <c r="B5" s="24">
        <f t="shared" si="3"/>
        <v>4</v>
      </c>
      <c r="C5" s="20"/>
      <c r="D5" s="21">
        <f t="shared" si="0"/>
        <v>150</v>
      </c>
      <c r="E5" s="21">
        <f t="shared" si="1"/>
        <v>43.14482355921519</v>
      </c>
      <c r="F5" s="21">
        <f>IF(AND($A5&lt;&gt;"",$B5&lt;&gt;""),D5-E5,"")</f>
        <v>106.85517644078482</v>
      </c>
      <c r="G5" s="21">
        <f>IF(AND($A5&lt;&gt;"",$B5&lt;&gt;""),G4-F5,"")</f>
        <v>4578.3938697285503</v>
      </c>
      <c r="H5" s="21">
        <f t="shared" si="2"/>
        <v>421.60613027144973</v>
      </c>
      <c r="J5" s="5" t="s">
        <v>12</v>
      </c>
      <c r="K5" s="27"/>
    </row>
    <row r="6" spans="1:12" x14ac:dyDescent="0.3">
      <c r="A6" s="2">
        <v>46104</v>
      </c>
      <c r="B6" s="23">
        <f t="shared" si="3"/>
        <v>5</v>
      </c>
      <c r="C6" s="3"/>
      <c r="D6" s="4">
        <f t="shared" si="0"/>
        <v>150</v>
      </c>
      <c r="E6" s="4">
        <f t="shared" si="1"/>
        <v>42.160831526241871</v>
      </c>
      <c r="F6" s="4">
        <f>IF(AND($A6&lt;&gt;"",$B6&lt;&gt;""),D6-E6,"")</f>
        <v>107.83916847375812</v>
      </c>
      <c r="G6" s="4">
        <f t="shared" ref="G6:G69" si="4">IF(AND($A6&lt;&gt;"",$B6&lt;&gt;""),G5-F6,"")</f>
        <v>4470.5547012547922</v>
      </c>
      <c r="H6" s="4">
        <f t="shared" si="2"/>
        <v>529.44529874520777</v>
      </c>
      <c r="J6" s="5" t="s">
        <v>13</v>
      </c>
      <c r="K6" s="27"/>
    </row>
    <row r="7" spans="1:12" x14ac:dyDescent="0.3">
      <c r="A7" s="19">
        <v>46105</v>
      </c>
      <c r="B7" s="24">
        <f t="shared" si="3"/>
        <v>6</v>
      </c>
      <c r="C7" s="20"/>
      <c r="D7" s="21">
        <f t="shared" si="0"/>
        <v>150</v>
      </c>
      <c r="E7" s="21">
        <f t="shared" si="1"/>
        <v>41.167778253998677</v>
      </c>
      <c r="F7" s="21">
        <f t="shared" ref="F7:F70" si="5">IF(AND($A7&lt;&gt;"",$B7&lt;&gt;""),D7-E7,"")</f>
        <v>108.83222174600132</v>
      </c>
      <c r="G7" s="21">
        <f t="shared" si="4"/>
        <v>4361.7224795087914</v>
      </c>
      <c r="H7" s="21">
        <f t="shared" si="2"/>
        <v>638.27752049120863</v>
      </c>
      <c r="J7" s="5" t="s">
        <v>7</v>
      </c>
      <c r="K7" s="28">
        <v>5000</v>
      </c>
    </row>
    <row r="8" spans="1:12" x14ac:dyDescent="0.3">
      <c r="A8" s="2">
        <v>46108</v>
      </c>
      <c r="B8" s="23">
        <f t="shared" si="3"/>
        <v>7</v>
      </c>
      <c r="C8" s="3"/>
      <c r="D8" s="4">
        <f t="shared" si="0"/>
        <v>150</v>
      </c>
      <c r="E8" s="4">
        <f t="shared" si="1"/>
        <v>40.165580300695069</v>
      </c>
      <c r="F8" s="4">
        <f t="shared" si="5"/>
        <v>109.83441969930493</v>
      </c>
      <c r="G8" s="4">
        <f t="shared" si="4"/>
        <v>4251.8880598094865</v>
      </c>
      <c r="H8" s="4">
        <f t="shared" si="2"/>
        <v>748.11194019051345</v>
      </c>
      <c r="J8" s="5" t="s">
        <v>14</v>
      </c>
      <c r="K8" s="29">
        <f>RATE(K10,-K9,K7)</f>
        <v>9.2086510522830043E-3</v>
      </c>
    </row>
    <row r="9" spans="1:12" x14ac:dyDescent="0.3">
      <c r="A9" s="19">
        <v>46109</v>
      </c>
      <c r="B9" s="24">
        <f t="shared" si="3"/>
        <v>8</v>
      </c>
      <c r="C9" s="20"/>
      <c r="D9" s="21">
        <f t="shared" si="0"/>
        <v>150</v>
      </c>
      <c r="E9" s="21">
        <f t="shared" si="1"/>
        <v>39.15415345615417</v>
      </c>
      <c r="F9" s="21">
        <f t="shared" si="5"/>
        <v>110.84584654384582</v>
      </c>
      <c r="G9" s="21">
        <f t="shared" si="4"/>
        <v>4141.0422132656404</v>
      </c>
      <c r="H9" s="21">
        <f t="shared" si="2"/>
        <v>858.95778673435962</v>
      </c>
      <c r="J9" s="5" t="s">
        <v>8</v>
      </c>
      <c r="K9" s="30">
        <v>150</v>
      </c>
    </row>
    <row r="10" spans="1:12" x14ac:dyDescent="0.3">
      <c r="A10" s="2">
        <v>46112</v>
      </c>
      <c r="B10" s="23">
        <f t="shared" si="3"/>
        <v>9</v>
      </c>
      <c r="C10" s="3"/>
      <c r="D10" s="4">
        <f t="shared" si="0"/>
        <v>150</v>
      </c>
      <c r="E10" s="4">
        <f t="shared" si="1"/>
        <v>38.133412734736979</v>
      </c>
      <c r="F10" s="4">
        <f t="shared" si="5"/>
        <v>111.86658726526302</v>
      </c>
      <c r="G10" s="4">
        <f t="shared" si="4"/>
        <v>4029.1756260003772</v>
      </c>
      <c r="H10" s="4">
        <f t="shared" si="2"/>
        <v>970.82437399962282</v>
      </c>
      <c r="J10" s="5" t="s">
        <v>15</v>
      </c>
      <c r="K10" s="31">
        <v>40</v>
      </c>
    </row>
    <row r="11" spans="1:12" ht="17.25" thickBot="1" x14ac:dyDescent="0.35">
      <c r="A11" s="19">
        <v>46129</v>
      </c>
      <c r="B11" s="24">
        <f t="shared" si="3"/>
        <v>10</v>
      </c>
      <c r="C11" s="20"/>
      <c r="D11" s="21">
        <f t="shared" si="0"/>
        <v>150</v>
      </c>
      <c r="E11" s="21">
        <f t="shared" si="1"/>
        <v>37.103272368201409</v>
      </c>
      <c r="F11" s="21">
        <f t="shared" si="5"/>
        <v>112.8967276317986</v>
      </c>
      <c r="G11" s="21">
        <f t="shared" si="4"/>
        <v>3916.2788983685787</v>
      </c>
      <c r="H11" s="21">
        <f t="shared" si="2"/>
        <v>1083.7211016314213</v>
      </c>
      <c r="J11" s="8"/>
      <c r="L11" s="22"/>
    </row>
    <row r="12" spans="1:12" x14ac:dyDescent="0.3">
      <c r="A12" s="2">
        <v>46153</v>
      </c>
      <c r="B12" s="23">
        <f t="shared" si="3"/>
        <v>11</v>
      </c>
      <c r="C12" s="3"/>
      <c r="D12" s="4">
        <f t="shared" si="0"/>
        <v>150</v>
      </c>
      <c r="E12" s="4">
        <f t="shared" si="1"/>
        <v>36.063645798495536</v>
      </c>
      <c r="F12" s="4">
        <f t="shared" si="5"/>
        <v>113.93635420150446</v>
      </c>
      <c r="G12" s="4">
        <f t="shared" si="4"/>
        <v>3802.3425441670743</v>
      </c>
      <c r="H12" s="4">
        <f t="shared" si="2"/>
        <v>1197.6574558329257</v>
      </c>
      <c r="J12" s="9" t="s">
        <v>16</v>
      </c>
      <c r="K12" s="10">
        <f>IFERROR(MAX($B:$B),"")</f>
        <v>40</v>
      </c>
    </row>
    <row r="13" spans="1:12" x14ac:dyDescent="0.3">
      <c r="A13" s="19">
        <v>46157</v>
      </c>
      <c r="B13" s="24">
        <f t="shared" si="3"/>
        <v>12</v>
      </c>
      <c r="C13" s="20"/>
      <c r="D13" s="21">
        <f t="shared" si="0"/>
        <v>150</v>
      </c>
      <c r="E13" s="21">
        <f t="shared" si="1"/>
        <v>35.014445670484562</v>
      </c>
      <c r="F13" s="21">
        <f t="shared" si="5"/>
        <v>114.98555432951544</v>
      </c>
      <c r="G13" s="21">
        <f t="shared" si="4"/>
        <v>3687.356989837559</v>
      </c>
      <c r="H13" s="21">
        <f t="shared" si="2"/>
        <v>1312.643010162441</v>
      </c>
      <c r="J13" s="26" t="s">
        <v>22</v>
      </c>
      <c r="K13" s="12">
        <f>(K10*K9)-K9*K12</f>
        <v>0</v>
      </c>
    </row>
    <row r="14" spans="1:12" x14ac:dyDescent="0.3">
      <c r="A14" s="2">
        <v>46176</v>
      </c>
      <c r="B14" s="23">
        <f t="shared" si="3"/>
        <v>13</v>
      </c>
      <c r="C14" s="3"/>
      <c r="D14" s="4">
        <f t="shared" si="0"/>
        <v>150</v>
      </c>
      <c r="E14" s="4">
        <f t="shared" si="1"/>
        <v>33.955583824610727</v>
      </c>
      <c r="F14" s="4">
        <f t="shared" si="5"/>
        <v>116.04441617538927</v>
      </c>
      <c r="G14" s="4">
        <f t="shared" si="4"/>
        <v>3571.3125736621696</v>
      </c>
      <c r="H14" s="4">
        <f t="shared" si="2"/>
        <v>1428.6874263378304</v>
      </c>
      <c r="J14" s="11" t="s">
        <v>23</v>
      </c>
      <c r="K14" s="12">
        <f>IF(A2="", K9*K10, IFERROR(INDEX($G:$G, MATCH($K$12, $B:$B, 0)), 0))</f>
        <v>1.9554136088117957E-11</v>
      </c>
    </row>
    <row r="15" spans="1:12" ht="17.25" thickBot="1" x14ac:dyDescent="0.35">
      <c r="A15" s="19">
        <v>46178</v>
      </c>
      <c r="B15" s="24">
        <f t="shared" si="3"/>
        <v>14</v>
      </c>
      <c r="C15" s="20"/>
      <c r="D15" s="21">
        <f t="shared" si="0"/>
        <v>150</v>
      </c>
      <c r="E15" s="21">
        <f t="shared" si="1"/>
        <v>32.886971289485665</v>
      </c>
      <c r="F15" s="21">
        <f t="shared" si="5"/>
        <v>117.11302871051433</v>
      </c>
      <c r="G15" s="21">
        <f t="shared" si="4"/>
        <v>3454.1995449516553</v>
      </c>
      <c r="H15" s="21">
        <f t="shared" si="2"/>
        <v>1545.8004550483447</v>
      </c>
      <c r="J15" s="13" t="s">
        <v>6</v>
      </c>
      <c r="K15" s="14">
        <f>IFERROR(INDEX($H:$H, MATCH($K$12, $B:$B, 0)), 0)</f>
        <v>4999.99999999998</v>
      </c>
    </row>
    <row r="16" spans="1:12" x14ac:dyDescent="0.3">
      <c r="A16" s="2">
        <v>46179</v>
      </c>
      <c r="B16" s="23">
        <f t="shared" si="3"/>
        <v>15</v>
      </c>
      <c r="C16" s="3"/>
      <c r="D16" s="4">
        <f t="shared" si="0"/>
        <v>150</v>
      </c>
      <c r="E16" s="4">
        <f t="shared" si="1"/>
        <v>31.808518274414535</v>
      </c>
      <c r="F16" s="4">
        <f t="shared" si="5"/>
        <v>118.19148172558546</v>
      </c>
      <c r="G16" s="4">
        <f t="shared" si="4"/>
        <v>3336.0080632260697</v>
      </c>
      <c r="H16" s="4">
        <f t="shared" si="2"/>
        <v>1663.9919367739303</v>
      </c>
      <c r="J16" s="15" t="s">
        <v>18</v>
      </c>
      <c r="K16" s="16">
        <f>IF(A2,A2, "")</f>
        <v>46095</v>
      </c>
    </row>
    <row r="17" spans="1:11" x14ac:dyDescent="0.3">
      <c r="A17" s="19">
        <v>46185</v>
      </c>
      <c r="B17" s="24">
        <f t="shared" si="3"/>
        <v>16</v>
      </c>
      <c r="C17" s="20"/>
      <c r="D17" s="21">
        <f t="shared" si="0"/>
        <v>150</v>
      </c>
      <c r="E17" s="21">
        <f t="shared" si="1"/>
        <v>30.720134161851334</v>
      </c>
      <c r="F17" s="21">
        <f t="shared" si="5"/>
        <v>119.27986583814867</v>
      </c>
      <c r="G17" s="21">
        <f t="shared" si="4"/>
        <v>3216.7281973879212</v>
      </c>
      <c r="H17" s="21">
        <f t="shared" si="2"/>
        <v>1783.2718026120788</v>
      </c>
      <c r="J17" s="17" t="s">
        <v>19</v>
      </c>
      <c r="K17" s="18">
        <f xml:space="preserve"> IF(A2,(K16 + 120),"")</f>
        <v>46215</v>
      </c>
    </row>
    <row r="18" spans="1:11" x14ac:dyDescent="0.3">
      <c r="A18" s="2">
        <v>46193</v>
      </c>
      <c r="B18" s="23">
        <f t="shared" si="3"/>
        <v>17</v>
      </c>
      <c r="C18" s="3"/>
      <c r="D18" s="4">
        <f t="shared" si="0"/>
        <v>150</v>
      </c>
      <c r="E18" s="4">
        <f t="shared" si="1"/>
        <v>29.621727499784694</v>
      </c>
      <c r="F18" s="4">
        <f t="shared" si="5"/>
        <v>120.3782725002153</v>
      </c>
      <c r="G18" s="4">
        <f t="shared" si="4"/>
        <v>3096.349924887706</v>
      </c>
      <c r="H18" s="4">
        <f t="shared" si="2"/>
        <v>1903.650075112294</v>
      </c>
    </row>
    <row r="19" spans="1:11" x14ac:dyDescent="0.3">
      <c r="A19" s="19">
        <v>46194</v>
      </c>
      <c r="B19" s="24">
        <f t="shared" si="3"/>
        <v>18</v>
      </c>
      <c r="C19" s="20"/>
      <c r="D19" s="21">
        <f t="shared" si="0"/>
        <v>150</v>
      </c>
      <c r="E19" s="21">
        <f t="shared" si="1"/>
        <v>28.513205994053575</v>
      </c>
      <c r="F19" s="21">
        <f t="shared" si="5"/>
        <v>121.48679400594642</v>
      </c>
      <c r="G19" s="21">
        <f t="shared" si="4"/>
        <v>2974.8631308817594</v>
      </c>
      <c r="H19" s="21">
        <f t="shared" si="2"/>
        <v>2025.1368691182406</v>
      </c>
    </row>
    <row r="20" spans="1:11" x14ac:dyDescent="0.3">
      <c r="A20" s="2">
        <v>46197</v>
      </c>
      <c r="B20" s="23">
        <f t="shared" si="3"/>
        <v>19</v>
      </c>
      <c r="C20" s="3"/>
      <c r="D20" s="4">
        <f t="shared" si="0"/>
        <v>150</v>
      </c>
      <c r="E20" s="4">
        <f t="shared" si="1"/>
        <v>27.394476500592226</v>
      </c>
      <c r="F20" s="4">
        <f t="shared" si="5"/>
        <v>122.60552349940778</v>
      </c>
      <c r="G20" s="4">
        <f t="shared" si="4"/>
        <v>2852.2576073823516</v>
      </c>
      <c r="H20" s="4">
        <f t="shared" si="2"/>
        <v>2147.7423926176484</v>
      </c>
      <c r="J20" s="22"/>
      <c r="K20" s="22"/>
    </row>
    <row r="21" spans="1:11" x14ac:dyDescent="0.3">
      <c r="A21" s="19">
        <v>46198</v>
      </c>
      <c r="B21" s="24">
        <f t="shared" si="3"/>
        <v>20</v>
      </c>
      <c r="C21" s="20"/>
      <c r="D21" s="21">
        <f t="shared" si="0"/>
        <v>150</v>
      </c>
      <c r="E21" s="21">
        <f t="shared" si="1"/>
        <v>26.265445017603696</v>
      </c>
      <c r="F21" s="21">
        <f t="shared" si="5"/>
        <v>123.7345549823963</v>
      </c>
      <c r="G21" s="21">
        <f t="shared" si="4"/>
        <v>2728.5230523999553</v>
      </c>
      <c r="H21" s="21">
        <f t="shared" si="2"/>
        <v>2271.4769476000447</v>
      </c>
    </row>
    <row r="22" spans="1:11" x14ac:dyDescent="0.3">
      <c r="A22" s="2">
        <v>46199</v>
      </c>
      <c r="B22" s="23">
        <f t="shared" si="3"/>
        <v>21</v>
      </c>
      <c r="C22" s="3"/>
      <c r="D22" s="4">
        <f t="shared" si="0"/>
        <v>150</v>
      </c>
      <c r="E22" s="4">
        <f t="shared" si="1"/>
        <v>25.126016677661283</v>
      </c>
      <c r="F22" s="4">
        <f t="shared" si="5"/>
        <v>124.87398332233872</v>
      </c>
      <c r="G22" s="4">
        <f t="shared" si="4"/>
        <v>2603.6490690776168</v>
      </c>
      <c r="H22" s="4">
        <f t="shared" si="2"/>
        <v>2396.3509309223832</v>
      </c>
    </row>
    <row r="23" spans="1:11" x14ac:dyDescent="0.3">
      <c r="A23" s="19">
        <v>46201</v>
      </c>
      <c r="B23" s="24">
        <f t="shared" si="3"/>
        <v>22</v>
      </c>
      <c r="C23" s="20"/>
      <c r="D23" s="21">
        <f t="shared" si="0"/>
        <v>150</v>
      </c>
      <c r="E23" s="21">
        <f t="shared" si="1"/>
        <v>23.976095739737261</v>
      </c>
      <c r="F23" s="21">
        <f t="shared" si="5"/>
        <v>126.02390426026274</v>
      </c>
      <c r="G23" s="21">
        <f t="shared" si="4"/>
        <v>2477.6251648173538</v>
      </c>
      <c r="H23" s="21">
        <f t="shared" si="2"/>
        <v>2522.3748351826462</v>
      </c>
    </row>
    <row r="24" spans="1:11" x14ac:dyDescent="0.3">
      <c r="A24" s="2">
        <v>46202</v>
      </c>
      <c r="B24" s="23">
        <f t="shared" si="3"/>
        <v>23</v>
      </c>
      <c r="C24" s="3"/>
      <c r="D24" s="4">
        <f t="shared" si="0"/>
        <v>150</v>
      </c>
      <c r="E24" s="4">
        <f t="shared" si="1"/>
        <v>22.815585581158178</v>
      </c>
      <c r="F24" s="4">
        <f t="shared" si="5"/>
        <v>127.18441441884183</v>
      </c>
      <c r="G24" s="4">
        <f t="shared" si="4"/>
        <v>2350.4407503985121</v>
      </c>
      <c r="H24" s="4">
        <f t="shared" si="2"/>
        <v>2649.5592496014879</v>
      </c>
    </row>
    <row r="25" spans="1:11" x14ac:dyDescent="0.3">
      <c r="A25" s="19">
        <v>46207</v>
      </c>
      <c r="B25" s="24">
        <f t="shared" si="3"/>
        <v>24</v>
      </c>
      <c r="C25" s="20"/>
      <c r="D25" s="21">
        <f t="shared" si="0"/>
        <v>150</v>
      </c>
      <c r="E25" s="21">
        <f t="shared" si="1"/>
        <v>21.644388689486114</v>
      </c>
      <c r="F25" s="21">
        <f t="shared" si="5"/>
        <v>128.35561131051389</v>
      </c>
      <c r="G25" s="21">
        <f t="shared" si="4"/>
        <v>2222.0851390879984</v>
      </c>
      <c r="H25" s="21">
        <f t="shared" si="2"/>
        <v>2777.9148609120016</v>
      </c>
    </row>
    <row r="26" spans="1:11" x14ac:dyDescent="0.3">
      <c r="A26" s="2">
        <v>46207</v>
      </c>
      <c r="B26" s="23">
        <f t="shared" si="3"/>
        <v>25</v>
      </c>
      <c r="C26" s="3"/>
      <c r="D26" s="4">
        <f t="shared" si="0"/>
        <v>150</v>
      </c>
      <c r="E26" s="4">
        <f t="shared" si="1"/>
        <v>20.462406654325122</v>
      </c>
      <c r="F26" s="4">
        <f t="shared" si="5"/>
        <v>129.53759334567488</v>
      </c>
      <c r="G26" s="4">
        <f t="shared" si="4"/>
        <v>2092.5475457423236</v>
      </c>
      <c r="H26" s="4">
        <f t="shared" si="2"/>
        <v>2907.4524542576764</v>
      </c>
    </row>
    <row r="27" spans="1:11" x14ac:dyDescent="0.3">
      <c r="A27" s="19">
        <v>46207</v>
      </c>
      <c r="B27" s="24">
        <f t="shared" si="3"/>
        <v>26</v>
      </c>
      <c r="C27" s="20"/>
      <c r="D27" s="21">
        <f t="shared" si="0"/>
        <v>150</v>
      </c>
      <c r="E27" s="21">
        <f t="shared" si="1"/>
        <v>19.269540159052266</v>
      </c>
      <c r="F27" s="21">
        <f t="shared" si="5"/>
        <v>130.73045984094773</v>
      </c>
      <c r="G27" s="21">
        <f t="shared" si="4"/>
        <v>1961.8170859013758</v>
      </c>
      <c r="H27" s="21">
        <f t="shared" si="2"/>
        <v>3038.1829140986242</v>
      </c>
    </row>
    <row r="28" spans="1:11" x14ac:dyDescent="0.3">
      <c r="A28" s="2">
        <v>46213</v>
      </c>
      <c r="B28" s="23">
        <f t="shared" si="3"/>
        <v>27</v>
      </c>
      <c r="C28" s="3"/>
      <c r="D28" s="4">
        <f t="shared" si="0"/>
        <v>150</v>
      </c>
      <c r="E28" s="4">
        <f t="shared" si="1"/>
        <v>18.065688972472483</v>
      </c>
      <c r="F28" s="4">
        <f t="shared" si="5"/>
        <v>131.93431102752751</v>
      </c>
      <c r="G28" s="4">
        <f t="shared" si="4"/>
        <v>1829.8827748738483</v>
      </c>
      <c r="H28" s="4">
        <f t="shared" si="2"/>
        <v>3170.1172251261514</v>
      </c>
    </row>
    <row r="29" spans="1:11" x14ac:dyDescent="0.3">
      <c r="A29" s="19">
        <v>46218</v>
      </c>
      <c r="B29" s="24">
        <f t="shared" si="3"/>
        <v>28</v>
      </c>
      <c r="C29" s="20"/>
      <c r="D29" s="21">
        <f t="shared" si="0"/>
        <v>150</v>
      </c>
      <c r="E29" s="21">
        <f t="shared" si="1"/>
        <v>16.850751940396606</v>
      </c>
      <c r="F29" s="21">
        <f t="shared" si="5"/>
        <v>133.14924805960339</v>
      </c>
      <c r="G29" s="21">
        <f t="shared" si="4"/>
        <v>1696.7335268142449</v>
      </c>
      <c r="H29" s="21">
        <f t="shared" si="2"/>
        <v>3303.2664731857549</v>
      </c>
    </row>
    <row r="30" spans="1:11" x14ac:dyDescent="0.3">
      <c r="A30" s="2">
        <v>46221</v>
      </c>
      <c r="B30" s="23">
        <f t="shared" si="3"/>
        <v>29</v>
      </c>
      <c r="C30" s="3"/>
      <c r="D30" s="4">
        <f t="shared" si="0"/>
        <v>150</v>
      </c>
      <c r="E30" s="4">
        <f t="shared" si="1"/>
        <v>15.624626977141849</v>
      </c>
      <c r="F30" s="4">
        <f t="shared" si="5"/>
        <v>134.37537302285816</v>
      </c>
      <c r="G30" s="4">
        <f t="shared" si="4"/>
        <v>1562.3581537913867</v>
      </c>
      <c r="H30" s="4">
        <f t="shared" si="2"/>
        <v>3437.6418462086131</v>
      </c>
    </row>
    <row r="31" spans="1:11" x14ac:dyDescent="0.3">
      <c r="A31" s="19">
        <v>46224</v>
      </c>
      <c r="B31" s="24">
        <f t="shared" si="3"/>
        <v>30</v>
      </c>
      <c r="C31" s="20"/>
      <c r="D31" s="21">
        <f t="shared" si="0"/>
        <v>150</v>
      </c>
      <c r="E31" s="21">
        <f t="shared" si="1"/>
        <v>14.387211056953985</v>
      </c>
      <c r="F31" s="21">
        <f t="shared" si="5"/>
        <v>135.61278894304601</v>
      </c>
      <c r="G31" s="21">
        <f t="shared" si="4"/>
        <v>1426.7453648483406</v>
      </c>
      <c r="H31" s="21">
        <f t="shared" si="2"/>
        <v>3573.2546351516594</v>
      </c>
    </row>
    <row r="32" spans="1:11" x14ac:dyDescent="0.3">
      <c r="A32" s="2">
        <v>46226</v>
      </c>
      <c r="B32" s="23">
        <f t="shared" si="3"/>
        <v>31</v>
      </c>
      <c r="C32" s="3"/>
      <c r="D32" s="4">
        <f t="shared" si="0"/>
        <v>150</v>
      </c>
      <c r="E32" s="4">
        <f t="shared" si="1"/>
        <v>13.138400205350571</v>
      </c>
      <c r="F32" s="4">
        <f t="shared" si="5"/>
        <v>136.86159979464944</v>
      </c>
      <c r="G32" s="4">
        <f t="shared" si="4"/>
        <v>1289.8837650536911</v>
      </c>
      <c r="H32" s="4">
        <f t="shared" si="2"/>
        <v>3710.1162349463089</v>
      </c>
    </row>
    <row r="33" spans="1:8" x14ac:dyDescent="0.3">
      <c r="A33" s="19">
        <v>46228</v>
      </c>
      <c r="B33" s="24">
        <f t="shared" si="3"/>
        <v>32</v>
      </c>
      <c r="C33" s="20"/>
      <c r="D33" s="21">
        <f t="shared" si="0"/>
        <v>150</v>
      </c>
      <c r="E33" s="21">
        <f t="shared" si="1"/>
        <v>11.878089490384436</v>
      </c>
      <c r="F33" s="21">
        <f t="shared" si="5"/>
        <v>138.12191050961556</v>
      </c>
      <c r="G33" s="21">
        <f t="shared" si="4"/>
        <v>1151.7618545440755</v>
      </c>
      <c r="H33" s="21">
        <f t="shared" si="2"/>
        <v>3848.2381454559245</v>
      </c>
    </row>
    <row r="34" spans="1:8" x14ac:dyDescent="0.3">
      <c r="A34" s="2">
        <v>46229</v>
      </c>
      <c r="B34" s="23">
        <f t="shared" si="3"/>
        <v>33</v>
      </c>
      <c r="C34" s="3"/>
      <c r="D34" s="4">
        <f t="shared" ref="D34:D65" si="6">IF(AND($A34&lt;&gt;"",$B34&lt;&gt;""),$K$9,"")</f>
        <v>150</v>
      </c>
      <c r="E34" s="4">
        <f t="shared" si="1"/>
        <v>10.606173013826725</v>
      </c>
      <c r="F34" s="4">
        <f t="shared" si="5"/>
        <v>139.39382698617328</v>
      </c>
      <c r="G34" s="4">
        <f t="shared" si="4"/>
        <v>1012.3680275579022</v>
      </c>
      <c r="H34" s="4">
        <f t="shared" si="2"/>
        <v>3987.6319724420978</v>
      </c>
    </row>
    <row r="35" spans="1:8" x14ac:dyDescent="0.3">
      <c r="A35" s="19">
        <v>46232</v>
      </c>
      <c r="B35" s="24">
        <f t="shared" si="3"/>
        <v>34</v>
      </c>
      <c r="C35" s="20"/>
      <c r="D35" s="21">
        <f t="shared" si="6"/>
        <v>150</v>
      </c>
      <c r="E35" s="21">
        <f t="shared" ref="E35:E66" si="7">IF(AND($A35&lt;&gt;"",$B35&lt;&gt;""),G34*$K$8,"")</f>
        <v>9.3225439022687464</v>
      </c>
      <c r="F35" s="21">
        <f t="shared" si="5"/>
        <v>140.67745609773127</v>
      </c>
      <c r="G35" s="21">
        <f t="shared" si="4"/>
        <v>871.69057146017099</v>
      </c>
      <c r="H35" s="21">
        <f t="shared" ref="H35:H66" si="8">IF(AND($A35&lt;&gt;"",$B35&lt;&gt;""),$K$7-G35,"")</f>
        <v>4128.3094285398292</v>
      </c>
    </row>
    <row r="36" spans="1:8" x14ac:dyDescent="0.3">
      <c r="A36" s="2">
        <v>46234</v>
      </c>
      <c r="B36" s="23">
        <f t="shared" si="3"/>
        <v>35</v>
      </c>
      <c r="C36" s="3"/>
      <c r="D36" s="4">
        <f t="shared" si="6"/>
        <v>150</v>
      </c>
      <c r="E36" s="4">
        <f t="shared" si="7"/>
        <v>8.0270942981418774</v>
      </c>
      <c r="F36" s="4">
        <f t="shared" si="5"/>
        <v>141.97290570185811</v>
      </c>
      <c r="G36" s="4">
        <f t="shared" si="4"/>
        <v>729.71766575831293</v>
      </c>
      <c r="H36" s="4">
        <f t="shared" si="8"/>
        <v>4270.2823342416868</v>
      </c>
    </row>
    <row r="37" spans="1:8" x14ac:dyDescent="0.3">
      <c r="A37" s="19">
        <v>46235</v>
      </c>
      <c r="B37" s="24">
        <f t="shared" si="3"/>
        <v>36</v>
      </c>
      <c r="C37" s="20"/>
      <c r="D37" s="21">
        <f t="shared" si="6"/>
        <v>150</v>
      </c>
      <c r="E37" s="21">
        <f t="shared" si="7"/>
        <v>6.719715350654786</v>
      </c>
      <c r="F37" s="21">
        <f t="shared" si="5"/>
        <v>143.28028464934522</v>
      </c>
      <c r="G37" s="21">
        <f t="shared" si="4"/>
        <v>586.43738110896766</v>
      </c>
      <c r="H37" s="21">
        <f t="shared" si="8"/>
        <v>4413.5626188910319</v>
      </c>
    </row>
    <row r="38" spans="1:8" x14ac:dyDescent="0.3">
      <c r="A38" s="2">
        <v>46236</v>
      </c>
      <c r="B38" s="23">
        <f t="shared" si="3"/>
        <v>37</v>
      </c>
      <c r="C38" s="3"/>
      <c r="D38" s="4">
        <f t="shared" si="6"/>
        <v>150</v>
      </c>
      <c r="E38" s="4">
        <f t="shared" si="7"/>
        <v>5.4002972066471839</v>
      </c>
      <c r="F38" s="4">
        <f t="shared" si="5"/>
        <v>144.5997027933528</v>
      </c>
      <c r="G38" s="4">
        <f t="shared" si="4"/>
        <v>441.83767831561488</v>
      </c>
      <c r="H38" s="4">
        <f t="shared" si="8"/>
        <v>4558.1623216843855</v>
      </c>
    </row>
    <row r="39" spans="1:8" x14ac:dyDescent="0.3">
      <c r="A39" s="19">
        <v>46237</v>
      </c>
      <c r="B39" s="24">
        <f t="shared" si="3"/>
        <v>38</v>
      </c>
      <c r="C39" s="20"/>
      <c r="D39" s="21">
        <f t="shared" si="6"/>
        <v>150</v>
      </c>
      <c r="E39" s="21">
        <f t="shared" si="7"/>
        <v>4.0687290013593662</v>
      </c>
      <c r="F39" s="21">
        <f t="shared" si="5"/>
        <v>145.93127099864063</v>
      </c>
      <c r="G39" s="21">
        <f t="shared" si="4"/>
        <v>295.90640731697425</v>
      </c>
      <c r="H39" s="21">
        <f t="shared" si="8"/>
        <v>4704.0935926830261</v>
      </c>
    </row>
    <row r="40" spans="1:8" x14ac:dyDescent="0.3">
      <c r="A40" s="2">
        <v>46239</v>
      </c>
      <c r="B40" s="23">
        <f t="shared" si="3"/>
        <v>39</v>
      </c>
      <c r="C40" s="3"/>
      <c r="D40" s="4">
        <f t="shared" si="6"/>
        <v>150</v>
      </c>
      <c r="E40" s="4">
        <f t="shared" si="7"/>
        <v>2.7248988491167383</v>
      </c>
      <c r="F40" s="4">
        <f t="shared" si="5"/>
        <v>147.27510115088327</v>
      </c>
      <c r="G40" s="4">
        <f t="shared" si="4"/>
        <v>148.63130616609098</v>
      </c>
      <c r="H40" s="4">
        <f t="shared" si="8"/>
        <v>4851.3686938339088</v>
      </c>
    </row>
    <row r="41" spans="1:8" x14ac:dyDescent="0.3">
      <c r="A41" s="19">
        <v>46239</v>
      </c>
      <c r="B41" s="24">
        <f t="shared" si="3"/>
        <v>40</v>
      </c>
      <c r="C41" s="20"/>
      <c r="D41" s="21">
        <f t="shared" si="6"/>
        <v>150</v>
      </c>
      <c r="E41" s="21">
        <f t="shared" si="7"/>
        <v>1.368693833928571</v>
      </c>
      <c r="F41" s="21">
        <f t="shared" si="5"/>
        <v>148.63130616607143</v>
      </c>
      <c r="G41" s="21">
        <f t="shared" si="4"/>
        <v>1.9554136088117957E-11</v>
      </c>
      <c r="H41" s="21">
        <f t="shared" si="8"/>
        <v>4999.99999999998</v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HJMWxkNQnmDv1b+Ag1BSlpU0xGecKcF7SzfA0mG0ZTw2MJXpdk+16nfzBCNNsu6uThZtXajZ1B2kQ9G3cq8d0w==" saltValue="fYvKvOOukHr1hNRroO6Q4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topLeftCell="A13" workbookViewId="0">
      <selection activeCell="B18" sqref="B18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425781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46240</v>
      </c>
      <c r="B2" s="23">
        <f>IF(A2&lt;&gt;"",1,"")</f>
        <v>1</v>
      </c>
      <c r="C2" s="3"/>
      <c r="D2" s="4">
        <f t="shared" ref="D2:D65" si="0">IF(AND($A2&lt;&gt;"",$B2&lt;&gt;""),$K$9,"")</f>
        <v>200</v>
      </c>
      <c r="E2" s="4">
        <f>IF(AND($A2&lt;&gt;"",$B2&lt;&gt;""),$K$7*$K$8,"")</f>
        <v>61.834131612537867</v>
      </c>
      <c r="F2" s="4">
        <f>IF(AND($A2&lt;&gt;"",$B2&lt;&gt;""),D2-E2,"")</f>
        <v>138.16586838746213</v>
      </c>
      <c r="G2" s="4">
        <f>IF(AND($A2&lt;&gt;"",$B2&lt;&gt;""),$K$7-F2,"")</f>
        <v>9861.834131612537</v>
      </c>
      <c r="H2" s="4">
        <f>IF(AND($A2&lt;&gt;"",$B2&lt;&gt;""),$K$7-G2,"")</f>
        <v>138.16586838746298</v>
      </c>
      <c r="J2" s="5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L10000D60-Salam_Bidyalaxmi-N206</v>
      </c>
    </row>
    <row r="3" spans="1:12" x14ac:dyDescent="0.3">
      <c r="A3" s="19">
        <v>46241</v>
      </c>
      <c r="B3" s="24">
        <f>IF(A3&lt;&gt;"",B2+1,"")</f>
        <v>2</v>
      </c>
      <c r="C3" s="20"/>
      <c r="D3" s="21">
        <f t="shared" si="0"/>
        <v>200</v>
      </c>
      <c r="E3" s="21">
        <f t="shared" ref="E3:E66" si="1">IF(AND($A3&lt;&gt;"",$B3&lt;&gt;""),G2*$K$8,"")</f>
        <v>60.97979496351477</v>
      </c>
      <c r="F3" s="21">
        <f>IF(AND($A3&lt;&gt;"",$B3&lt;&gt;""),D3-E3,"")</f>
        <v>139.02020503648524</v>
      </c>
      <c r="G3" s="21">
        <f>IF(AND($A3&lt;&gt;"",$B3&lt;&gt;""),G2-F3,"")</f>
        <v>9722.813926576051</v>
      </c>
      <c r="H3" s="21">
        <f t="shared" ref="H3:H66" si="2">IF(AND($A3&lt;&gt;"",$B3&lt;&gt;""),$K$7-G3,"")</f>
        <v>277.18607342394898</v>
      </c>
      <c r="J3" s="5" t="s">
        <v>10</v>
      </c>
      <c r="K3" s="27" t="s">
        <v>21</v>
      </c>
    </row>
    <row r="4" spans="1:12" x14ac:dyDescent="0.3">
      <c r="A4" s="2">
        <v>46242</v>
      </c>
      <c r="B4" s="23">
        <f t="shared" ref="B4:B67" si="3">IF(A4&lt;&gt;"",B3+1,"")</f>
        <v>3</v>
      </c>
      <c r="C4" s="3"/>
      <c r="D4" s="4">
        <f t="shared" si="0"/>
        <v>200</v>
      </c>
      <c r="E4" s="4">
        <f t="shared" si="1"/>
        <v>60.120175598011961</v>
      </c>
      <c r="F4" s="4">
        <f>IF(AND($A4&lt;&gt;"",$B4&lt;&gt;""),D4-E4,"")</f>
        <v>139.87982440198803</v>
      </c>
      <c r="G4" s="4">
        <f>IF(AND($A4&lt;&gt;"",$B4&lt;&gt;""),G3-F4,"")</f>
        <v>9582.9341021740638</v>
      </c>
      <c r="H4" s="4">
        <f t="shared" si="2"/>
        <v>417.06589782593619</v>
      </c>
      <c r="J4" s="5" t="s">
        <v>11</v>
      </c>
      <c r="K4" s="27"/>
    </row>
    <row r="5" spans="1:12" x14ac:dyDescent="0.3">
      <c r="A5" s="19">
        <v>46243</v>
      </c>
      <c r="B5" s="24">
        <f t="shared" si="3"/>
        <v>4</v>
      </c>
      <c r="C5" s="20"/>
      <c r="D5" s="21">
        <f t="shared" si="0"/>
        <v>200</v>
      </c>
      <c r="E5" s="21">
        <f t="shared" si="1"/>
        <v>59.25524085081085</v>
      </c>
      <c r="F5" s="21">
        <f>IF(AND($A5&lt;&gt;"",$B5&lt;&gt;""),D5-E5,"")</f>
        <v>140.74475914918915</v>
      </c>
      <c r="G5" s="21">
        <f>IF(AND($A5&lt;&gt;"",$B5&lt;&gt;""),G4-F5,"")</f>
        <v>9442.1893430248747</v>
      </c>
      <c r="H5" s="21">
        <f t="shared" si="2"/>
        <v>557.81065697512531</v>
      </c>
      <c r="J5" s="5" t="s">
        <v>12</v>
      </c>
      <c r="K5" s="27"/>
    </row>
    <row r="6" spans="1:12" x14ac:dyDescent="0.3">
      <c r="A6" s="2">
        <v>46244</v>
      </c>
      <c r="B6" s="23">
        <f t="shared" si="3"/>
        <v>5</v>
      </c>
      <c r="C6" s="3"/>
      <c r="D6" s="4">
        <f t="shared" si="0"/>
        <v>200</v>
      </c>
      <c r="E6" s="4">
        <f t="shared" si="1"/>
        <v>58.384957854710258</v>
      </c>
      <c r="F6" s="4">
        <f>IF(AND($A6&lt;&gt;"",$B6&lt;&gt;""),D6-E6,"")</f>
        <v>141.61504214528975</v>
      </c>
      <c r="G6" s="4">
        <f t="shared" ref="G6:G69" si="4">IF(AND($A6&lt;&gt;"",$B6&lt;&gt;""),G5-F6,"")</f>
        <v>9300.5743008795853</v>
      </c>
      <c r="H6" s="4">
        <f t="shared" si="2"/>
        <v>699.42569912041472</v>
      </c>
      <c r="J6" s="5" t="s">
        <v>13</v>
      </c>
      <c r="K6" s="27"/>
    </row>
    <row r="7" spans="1:12" x14ac:dyDescent="0.3">
      <c r="A7" s="19">
        <v>46246</v>
      </c>
      <c r="B7" s="24">
        <f t="shared" si="3"/>
        <v>6</v>
      </c>
      <c r="C7" s="20"/>
      <c r="D7" s="21">
        <f t="shared" si="0"/>
        <v>200</v>
      </c>
      <c r="E7" s="21">
        <f t="shared" si="1"/>
        <v>57.509293539277564</v>
      </c>
      <c r="F7" s="21">
        <f t="shared" ref="F7:F70" si="5">IF(AND($A7&lt;&gt;"",$B7&lt;&gt;""),D7-E7,"")</f>
        <v>142.49070646072244</v>
      </c>
      <c r="G7" s="21">
        <f t="shared" si="4"/>
        <v>9158.083594418862</v>
      </c>
      <c r="H7" s="21">
        <f t="shared" si="2"/>
        <v>841.91640558113795</v>
      </c>
      <c r="J7" s="5" t="s">
        <v>7</v>
      </c>
      <c r="K7" s="28">
        <v>10000</v>
      </c>
    </row>
    <row r="8" spans="1:12" x14ac:dyDescent="0.3">
      <c r="A8" s="2">
        <v>46247</v>
      </c>
      <c r="B8" s="23">
        <f t="shared" si="3"/>
        <v>7</v>
      </c>
      <c r="C8" s="3"/>
      <c r="D8" s="4">
        <f t="shared" si="0"/>
        <v>200</v>
      </c>
      <c r="E8" s="4">
        <f t="shared" si="1"/>
        <v>56.62821462959198</v>
      </c>
      <c r="F8" s="4">
        <f t="shared" si="5"/>
        <v>143.37178537040802</v>
      </c>
      <c r="G8" s="4">
        <f t="shared" si="4"/>
        <v>9014.7118090484546</v>
      </c>
      <c r="H8" s="4">
        <f t="shared" si="2"/>
        <v>985.2881909515454</v>
      </c>
      <c r="J8" s="5" t="s">
        <v>14</v>
      </c>
      <c r="K8" s="29">
        <f>RATE(K10,-K9,K7)</f>
        <v>6.1834131612537868E-3</v>
      </c>
    </row>
    <row r="9" spans="1:12" x14ac:dyDescent="0.3">
      <c r="A9" s="19">
        <v>46249</v>
      </c>
      <c r="B9" s="24">
        <f t="shared" si="3"/>
        <v>8</v>
      </c>
      <c r="C9" s="20"/>
      <c r="D9" s="21">
        <f t="shared" si="0"/>
        <v>200</v>
      </c>
      <c r="E9" s="21">
        <f t="shared" si="1"/>
        <v>55.741687644980146</v>
      </c>
      <c r="F9" s="21">
        <f t="shared" si="5"/>
        <v>144.25831235501985</v>
      </c>
      <c r="G9" s="21">
        <f t="shared" si="4"/>
        <v>8870.4534966934352</v>
      </c>
      <c r="H9" s="21">
        <f t="shared" si="2"/>
        <v>1129.5465033065648</v>
      </c>
      <c r="J9" s="5" t="s">
        <v>8</v>
      </c>
      <c r="K9" s="30">
        <v>200</v>
      </c>
    </row>
    <row r="10" spans="1:12" x14ac:dyDescent="0.3">
      <c r="A10" s="2">
        <v>46250</v>
      </c>
      <c r="B10" s="23">
        <f t="shared" si="3"/>
        <v>9</v>
      </c>
      <c r="C10" s="3"/>
      <c r="D10" s="4">
        <f t="shared" si="0"/>
        <v>200</v>
      </c>
      <c r="E10" s="4">
        <f t="shared" si="1"/>
        <v>54.849678897743864</v>
      </c>
      <c r="F10" s="4">
        <f t="shared" si="5"/>
        <v>145.15032110225613</v>
      </c>
      <c r="G10" s="4">
        <f t="shared" si="4"/>
        <v>8725.3031755911798</v>
      </c>
      <c r="H10" s="4">
        <f t="shared" si="2"/>
        <v>1274.6968244088202</v>
      </c>
      <c r="J10" s="5" t="s">
        <v>15</v>
      </c>
      <c r="K10" s="31">
        <v>60</v>
      </c>
    </row>
    <row r="11" spans="1:12" ht="17.25" thickBot="1" x14ac:dyDescent="0.35">
      <c r="A11" s="2">
        <v>46256</v>
      </c>
      <c r="B11" s="24">
        <f t="shared" si="3"/>
        <v>10</v>
      </c>
      <c r="C11" s="20"/>
      <c r="D11" s="21">
        <f t="shared" si="0"/>
        <v>200</v>
      </c>
      <c r="E11" s="21">
        <f t="shared" si="1"/>
        <v>53.952154491879959</v>
      </c>
      <c r="F11" s="21">
        <f t="shared" si="5"/>
        <v>146.04784550812005</v>
      </c>
      <c r="G11" s="21">
        <f t="shared" si="4"/>
        <v>8579.2553300830605</v>
      </c>
      <c r="H11" s="21">
        <f t="shared" si="2"/>
        <v>1420.7446699169395</v>
      </c>
      <c r="J11" s="8"/>
      <c r="L11" s="22"/>
    </row>
    <row r="12" spans="1:12" x14ac:dyDescent="0.3">
      <c r="A12" s="2">
        <v>46274</v>
      </c>
      <c r="B12" s="23">
        <f t="shared" si="3"/>
        <v>11</v>
      </c>
      <c r="C12" s="3"/>
      <c r="D12" s="4">
        <f t="shared" si="0"/>
        <v>200</v>
      </c>
      <c r="E12" s="4">
        <f t="shared" si="1"/>
        <v>53.049080321792296</v>
      </c>
      <c r="F12" s="4">
        <f t="shared" si="5"/>
        <v>146.9509196782077</v>
      </c>
      <c r="G12" s="4">
        <f t="shared" si="4"/>
        <v>8432.3044104048531</v>
      </c>
      <c r="H12" s="4">
        <f t="shared" si="2"/>
        <v>1567.6955895951469</v>
      </c>
      <c r="J12" s="9" t="s">
        <v>16</v>
      </c>
      <c r="K12" s="10">
        <f>IFERROR(MAX($B:$B),"")</f>
        <v>17</v>
      </c>
    </row>
    <row r="13" spans="1:12" x14ac:dyDescent="0.3">
      <c r="A13" s="19">
        <v>46279</v>
      </c>
      <c r="B13" s="24">
        <f t="shared" si="3"/>
        <v>12</v>
      </c>
      <c r="C13" s="20"/>
      <c r="D13" s="21">
        <f t="shared" si="0"/>
        <v>200</v>
      </c>
      <c r="E13" s="21">
        <f t="shared" si="1"/>
        <v>52.140422070995719</v>
      </c>
      <c r="F13" s="21">
        <f t="shared" si="5"/>
        <v>147.85957792900427</v>
      </c>
      <c r="G13" s="21">
        <f t="shared" si="4"/>
        <v>8284.4448324758487</v>
      </c>
      <c r="H13" s="21">
        <f t="shared" si="2"/>
        <v>1715.5551675241513</v>
      </c>
      <c r="J13" s="26" t="s">
        <v>22</v>
      </c>
      <c r="K13" s="12">
        <f>(K10*K9)-K9*K12</f>
        <v>8600</v>
      </c>
    </row>
    <row r="14" spans="1:12" x14ac:dyDescent="0.3">
      <c r="A14" s="2">
        <v>46280</v>
      </c>
      <c r="B14" s="23">
        <f t="shared" si="3"/>
        <v>13</v>
      </c>
      <c r="C14" s="3"/>
      <c r="D14" s="4">
        <f t="shared" si="0"/>
        <v>200</v>
      </c>
      <c r="E14" s="4">
        <f t="shared" si="1"/>
        <v>51.226145210812085</v>
      </c>
      <c r="F14" s="4">
        <f t="shared" si="5"/>
        <v>148.77385478918791</v>
      </c>
      <c r="G14" s="4">
        <f t="shared" si="4"/>
        <v>8135.670977686661</v>
      </c>
      <c r="H14" s="4">
        <f t="shared" si="2"/>
        <v>1864.329022313339</v>
      </c>
      <c r="J14" s="11" t="s">
        <v>23</v>
      </c>
      <c r="K14" s="12">
        <f>IF(A2="", K9*K10, IFERROR(INDEX($G:$G, MATCH($K$12, $B:$B, 0)), 0))</f>
        <v>7531.3191972432815</v>
      </c>
    </row>
    <row r="15" spans="1:12" ht="17.25" thickBot="1" x14ac:dyDescent="0.35">
      <c r="A15" s="19">
        <v>46293</v>
      </c>
      <c r="B15" s="24">
        <f t="shared" si="3"/>
        <v>14</v>
      </c>
      <c r="C15" s="20"/>
      <c r="D15" s="21">
        <f t="shared" si="0"/>
        <v>200</v>
      </c>
      <c r="E15" s="21">
        <f t="shared" si="1"/>
        <v>50.306214999058163</v>
      </c>
      <c r="F15" s="21">
        <f t="shared" si="5"/>
        <v>149.69378500094183</v>
      </c>
      <c r="G15" s="21">
        <f t="shared" si="4"/>
        <v>7985.9771926857193</v>
      </c>
      <c r="H15" s="21">
        <f t="shared" si="2"/>
        <v>2014.0228073142807</v>
      </c>
      <c r="J15" s="13" t="s">
        <v>6</v>
      </c>
      <c r="K15" s="14">
        <f>IFERROR(INDEX($H:$H, MATCH($K$12, $B:$B, 0)), 0)</f>
        <v>2468.6808027567185</v>
      </c>
    </row>
    <row r="16" spans="1:12" x14ac:dyDescent="0.3">
      <c r="A16" s="2">
        <v>46299</v>
      </c>
      <c r="B16" s="23">
        <f t="shared" si="3"/>
        <v>15</v>
      </c>
      <c r="C16" s="3"/>
      <c r="D16" s="4">
        <f t="shared" si="0"/>
        <v>200</v>
      </c>
      <c r="E16" s="4">
        <f t="shared" si="1"/>
        <v>49.380596478725444</v>
      </c>
      <c r="F16" s="4">
        <f t="shared" si="5"/>
        <v>150.61940352127456</v>
      </c>
      <c r="G16" s="4">
        <f t="shared" si="4"/>
        <v>7835.3577891644445</v>
      </c>
      <c r="H16" s="4">
        <f t="shared" si="2"/>
        <v>2164.6422108355555</v>
      </c>
      <c r="J16" s="15" t="s">
        <v>18</v>
      </c>
      <c r="K16" s="16">
        <f>IF(A2,A2, "")</f>
        <v>46240</v>
      </c>
    </row>
    <row r="17" spans="1:11" x14ac:dyDescent="0.3">
      <c r="A17" s="19">
        <v>46301</v>
      </c>
      <c r="B17" s="24">
        <f t="shared" si="3"/>
        <v>16</v>
      </c>
      <c r="C17" s="20"/>
      <c r="D17" s="21">
        <f t="shared" si="0"/>
        <v>200</v>
      </c>
      <c r="E17" s="21">
        <f t="shared" si="1"/>
        <v>48.449254476651802</v>
      </c>
      <c r="F17" s="21">
        <f t="shared" si="5"/>
        <v>151.55074552334821</v>
      </c>
      <c r="G17" s="21">
        <f t="shared" si="4"/>
        <v>7683.8070436410962</v>
      </c>
      <c r="H17" s="21">
        <f t="shared" si="2"/>
        <v>2316.1929563589038</v>
      </c>
      <c r="J17" s="17" t="s">
        <v>19</v>
      </c>
      <c r="K17" s="18">
        <f xml:space="preserve"> IF(A2,(K16 + 120),"")</f>
        <v>46360</v>
      </c>
    </row>
    <row r="18" spans="1:11" x14ac:dyDescent="0.3">
      <c r="A18" s="2">
        <v>46305</v>
      </c>
      <c r="B18" s="23">
        <f t="shared" si="3"/>
        <v>17</v>
      </c>
      <c r="C18" s="3"/>
      <c r="D18" s="4">
        <f t="shared" si="0"/>
        <v>200</v>
      </c>
      <c r="E18" s="4">
        <f t="shared" si="1"/>
        <v>47.512153602184902</v>
      </c>
      <c r="F18" s="4">
        <f t="shared" si="5"/>
        <v>152.4878463978151</v>
      </c>
      <c r="G18" s="4">
        <f t="shared" si="4"/>
        <v>7531.3191972432815</v>
      </c>
      <c r="H18" s="4">
        <f t="shared" si="2"/>
        <v>2468.6808027567185</v>
      </c>
    </row>
    <row r="19" spans="1:11" x14ac:dyDescent="0.3">
      <c r="A19" s="19"/>
      <c r="B19" s="24" t="str">
        <f t="shared" si="3"/>
        <v/>
      </c>
      <c r="C19" s="20"/>
      <c r="D19" s="21" t="str">
        <f t="shared" si="0"/>
        <v/>
      </c>
      <c r="E19" s="21" t="str">
        <f t="shared" si="1"/>
        <v/>
      </c>
      <c r="F19" s="21" t="str">
        <f t="shared" si="5"/>
        <v/>
      </c>
      <c r="G19" s="21" t="str">
        <f t="shared" si="4"/>
        <v/>
      </c>
      <c r="H19" s="21" t="str">
        <f t="shared" si="2"/>
        <v/>
      </c>
    </row>
    <row r="20" spans="1:11" x14ac:dyDescent="0.3">
      <c r="A20" s="2"/>
      <c r="B20" s="23" t="str">
        <f t="shared" si="3"/>
        <v/>
      </c>
      <c r="C20" s="3"/>
      <c r="D20" s="4" t="str">
        <f t="shared" si="0"/>
        <v/>
      </c>
      <c r="E20" s="4" t="str">
        <f t="shared" si="1"/>
        <v/>
      </c>
      <c r="F20" s="4" t="str">
        <f t="shared" si="5"/>
        <v/>
      </c>
      <c r="G20" s="4" t="str">
        <f t="shared" si="4"/>
        <v/>
      </c>
      <c r="H20" s="4" t="str">
        <f t="shared" si="2"/>
        <v/>
      </c>
      <c r="J20" s="22"/>
      <c r="K20" s="22"/>
    </row>
    <row r="21" spans="1:11" x14ac:dyDescent="0.3">
      <c r="A21" s="19"/>
      <c r="B21" s="24" t="str">
        <f t="shared" si="3"/>
        <v/>
      </c>
      <c r="C21" s="20"/>
      <c r="D21" s="21" t="str">
        <f t="shared" si="0"/>
        <v/>
      </c>
      <c r="E21" s="21" t="str">
        <f t="shared" si="1"/>
        <v/>
      </c>
      <c r="F21" s="21" t="str">
        <f t="shared" si="5"/>
        <v/>
      </c>
      <c r="G21" s="21" t="str">
        <f t="shared" si="4"/>
        <v/>
      </c>
      <c r="H21" s="21" t="str">
        <f t="shared" si="2"/>
        <v/>
      </c>
    </row>
    <row r="22" spans="1:11" x14ac:dyDescent="0.3">
      <c r="A22" s="2"/>
      <c r="B22" s="23" t="str">
        <f t="shared" si="3"/>
        <v/>
      </c>
      <c r="C22" s="3"/>
      <c r="D22" s="4" t="str">
        <f t="shared" si="0"/>
        <v/>
      </c>
      <c r="E22" s="4" t="str">
        <f t="shared" si="1"/>
        <v/>
      </c>
      <c r="F22" s="4" t="str">
        <f t="shared" si="5"/>
        <v/>
      </c>
      <c r="G22" s="4" t="str">
        <f t="shared" si="4"/>
        <v/>
      </c>
      <c r="H22" s="4" t="str">
        <f t="shared" si="2"/>
        <v/>
      </c>
    </row>
    <row r="23" spans="1:11" x14ac:dyDescent="0.3">
      <c r="A23" s="19"/>
      <c r="B23" s="24" t="str">
        <f t="shared" si="3"/>
        <v/>
      </c>
      <c r="C23" s="20"/>
      <c r="D23" s="21" t="str">
        <f t="shared" si="0"/>
        <v/>
      </c>
      <c r="E23" s="21" t="str">
        <f t="shared" si="1"/>
        <v/>
      </c>
      <c r="F23" s="21" t="str">
        <f t="shared" si="5"/>
        <v/>
      </c>
      <c r="G23" s="21" t="str">
        <f t="shared" si="4"/>
        <v/>
      </c>
      <c r="H23" s="21" t="str">
        <f t="shared" si="2"/>
        <v/>
      </c>
    </row>
    <row r="24" spans="1:11" x14ac:dyDescent="0.3">
      <c r="A24" s="2"/>
      <c r="B24" s="23" t="str">
        <f t="shared" si="3"/>
        <v/>
      </c>
      <c r="C24" s="3"/>
      <c r="D24" s="4" t="str">
        <f t="shared" si="0"/>
        <v/>
      </c>
      <c r="E24" s="4" t="str">
        <f t="shared" si="1"/>
        <v/>
      </c>
      <c r="F24" s="4" t="str">
        <f t="shared" si="5"/>
        <v/>
      </c>
      <c r="G24" s="4" t="str">
        <f t="shared" si="4"/>
        <v/>
      </c>
      <c r="H24" s="4" t="str">
        <f t="shared" si="2"/>
        <v/>
      </c>
    </row>
    <row r="25" spans="1:11" x14ac:dyDescent="0.3">
      <c r="A25" s="19"/>
      <c r="B25" s="24" t="str">
        <f t="shared" si="3"/>
        <v/>
      </c>
      <c r="C25" s="20"/>
      <c r="D25" s="21" t="str">
        <f t="shared" si="0"/>
        <v/>
      </c>
      <c r="E25" s="21" t="str">
        <f t="shared" si="1"/>
        <v/>
      </c>
      <c r="F25" s="21" t="str">
        <f t="shared" si="5"/>
        <v/>
      </c>
      <c r="G25" s="21" t="str">
        <f t="shared" si="4"/>
        <v/>
      </c>
      <c r="H25" s="21" t="str">
        <f t="shared" si="2"/>
        <v/>
      </c>
    </row>
    <row r="26" spans="1:11" x14ac:dyDescent="0.3">
      <c r="A26" s="2"/>
      <c r="B26" s="23" t="str">
        <f t="shared" si="3"/>
        <v/>
      </c>
      <c r="C26" s="3"/>
      <c r="D26" s="4" t="str">
        <f t="shared" si="0"/>
        <v/>
      </c>
      <c r="E26" s="4" t="str">
        <f t="shared" si="1"/>
        <v/>
      </c>
      <c r="F26" s="4" t="str">
        <f t="shared" si="5"/>
        <v/>
      </c>
      <c r="G26" s="4" t="str">
        <f t="shared" si="4"/>
        <v/>
      </c>
      <c r="H26" s="4" t="str">
        <f t="shared" si="2"/>
        <v/>
      </c>
    </row>
    <row r="27" spans="1:11" x14ac:dyDescent="0.3">
      <c r="A27" s="19"/>
      <c r="B27" s="24" t="str">
        <f t="shared" si="3"/>
        <v/>
      </c>
      <c r="C27" s="20"/>
      <c r="D27" s="21" t="str">
        <f t="shared" si="0"/>
        <v/>
      </c>
      <c r="E27" s="21" t="str">
        <f t="shared" si="1"/>
        <v/>
      </c>
      <c r="F27" s="21" t="str">
        <f t="shared" si="5"/>
        <v/>
      </c>
      <c r="G27" s="21" t="str">
        <f t="shared" si="4"/>
        <v/>
      </c>
      <c r="H27" s="21" t="str">
        <f t="shared" si="2"/>
        <v/>
      </c>
    </row>
    <row r="28" spans="1:11" x14ac:dyDescent="0.3">
      <c r="A28" s="2"/>
      <c r="B28" s="23" t="str">
        <f t="shared" si="3"/>
        <v/>
      </c>
      <c r="C28" s="3"/>
      <c r="D28" s="4" t="str">
        <f t="shared" si="0"/>
        <v/>
      </c>
      <c r="E28" s="4" t="str">
        <f t="shared" si="1"/>
        <v/>
      </c>
      <c r="F28" s="4" t="str">
        <f t="shared" si="5"/>
        <v/>
      </c>
      <c r="G28" s="4" t="str">
        <f t="shared" si="4"/>
        <v/>
      </c>
      <c r="H28" s="4" t="str">
        <f t="shared" si="2"/>
        <v/>
      </c>
    </row>
    <row r="29" spans="1:11" x14ac:dyDescent="0.3">
      <c r="A29" s="19"/>
      <c r="B29" s="24" t="str">
        <f t="shared" si="3"/>
        <v/>
      </c>
      <c r="C29" s="20"/>
      <c r="D29" s="21" t="str">
        <f t="shared" si="0"/>
        <v/>
      </c>
      <c r="E29" s="21" t="str">
        <f t="shared" si="1"/>
        <v/>
      </c>
      <c r="F29" s="21" t="str">
        <f t="shared" si="5"/>
        <v/>
      </c>
      <c r="G29" s="21" t="str">
        <f t="shared" si="4"/>
        <v/>
      </c>
      <c r="H29" s="21" t="str">
        <f t="shared" si="2"/>
        <v/>
      </c>
    </row>
    <row r="30" spans="1:11" x14ac:dyDescent="0.3">
      <c r="A30" s="2"/>
      <c r="B30" s="23" t="str">
        <f t="shared" si="3"/>
        <v/>
      </c>
      <c r="C30" s="3"/>
      <c r="D30" s="4" t="str">
        <f t="shared" si="0"/>
        <v/>
      </c>
      <c r="E30" s="4" t="str">
        <f t="shared" si="1"/>
        <v/>
      </c>
      <c r="F30" s="4" t="str">
        <f t="shared" si="5"/>
        <v/>
      </c>
      <c r="G30" s="4" t="str">
        <f t="shared" si="4"/>
        <v/>
      </c>
      <c r="H30" s="4" t="str">
        <f t="shared" si="2"/>
        <v/>
      </c>
    </row>
    <row r="31" spans="1:11" x14ac:dyDescent="0.3">
      <c r="A31" s="19"/>
      <c r="B31" s="24" t="str">
        <f t="shared" si="3"/>
        <v/>
      </c>
      <c r="C31" s="20"/>
      <c r="D31" s="21" t="str">
        <f t="shared" si="0"/>
        <v/>
      </c>
      <c r="E31" s="21" t="str">
        <f t="shared" si="1"/>
        <v/>
      </c>
      <c r="F31" s="21" t="str">
        <f t="shared" si="5"/>
        <v/>
      </c>
      <c r="G31" s="21" t="str">
        <f t="shared" si="4"/>
        <v/>
      </c>
      <c r="H31" s="21" t="str">
        <f t="shared" si="2"/>
        <v/>
      </c>
    </row>
    <row r="32" spans="1:11" x14ac:dyDescent="0.3">
      <c r="A32" s="2"/>
      <c r="B32" s="23" t="str">
        <f t="shared" si="3"/>
        <v/>
      </c>
      <c r="C32" s="3"/>
      <c r="D32" s="4" t="str">
        <f t="shared" si="0"/>
        <v/>
      </c>
      <c r="E32" s="4" t="str">
        <f t="shared" si="1"/>
        <v/>
      </c>
      <c r="F32" s="4" t="str">
        <f t="shared" si="5"/>
        <v/>
      </c>
      <c r="G32" s="4" t="str">
        <f t="shared" si="4"/>
        <v/>
      </c>
      <c r="H32" s="4" t="str">
        <f t="shared" si="2"/>
        <v/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si="0"/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0"/>
        <v/>
      </c>
      <c r="E35" s="21" t="str">
        <f t="shared" si="1"/>
        <v/>
      </c>
      <c r="F35" s="21" t="str">
        <f t="shared" si="5"/>
        <v/>
      </c>
      <c r="G35" s="21" t="str">
        <f t="shared" si="4"/>
        <v/>
      </c>
      <c r="H35" s="21" t="str">
        <f t="shared" si="2"/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0"/>
        <v/>
      </c>
      <c r="E36" s="4" t="str">
        <f t="shared" si="1"/>
        <v/>
      </c>
      <c r="F36" s="4" t="str">
        <f t="shared" si="5"/>
        <v/>
      </c>
      <c r="G36" s="4" t="str">
        <f t="shared" si="4"/>
        <v/>
      </c>
      <c r="H36" s="4" t="str">
        <f t="shared" si="2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0"/>
        <v/>
      </c>
      <c r="E37" s="21" t="str">
        <f t="shared" si="1"/>
        <v/>
      </c>
      <c r="F37" s="21" t="str">
        <f t="shared" si="5"/>
        <v/>
      </c>
      <c r="G37" s="21" t="str">
        <f t="shared" si="4"/>
        <v/>
      </c>
      <c r="H37" s="21" t="str">
        <f t="shared" si="2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0"/>
        <v/>
      </c>
      <c r="E38" s="4" t="str">
        <f t="shared" si="1"/>
        <v/>
      </c>
      <c r="F38" s="4" t="str">
        <f t="shared" si="5"/>
        <v/>
      </c>
      <c r="G38" s="4" t="str">
        <f t="shared" si="4"/>
        <v/>
      </c>
      <c r="H38" s="4" t="str">
        <f t="shared" si="2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0"/>
        <v/>
      </c>
      <c r="E39" s="21" t="str">
        <f t="shared" si="1"/>
        <v/>
      </c>
      <c r="F39" s="21" t="str">
        <f t="shared" si="5"/>
        <v/>
      </c>
      <c r="G39" s="21" t="str">
        <f t="shared" si="4"/>
        <v/>
      </c>
      <c r="H39" s="21" t="str">
        <f t="shared" si="2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0"/>
        <v/>
      </c>
      <c r="E40" s="4" t="str">
        <f t="shared" si="1"/>
        <v/>
      </c>
      <c r="F40" s="4" t="str">
        <f t="shared" si="5"/>
        <v/>
      </c>
      <c r="G40" s="4" t="str">
        <f t="shared" si="4"/>
        <v/>
      </c>
      <c r="H40" s="4" t="str">
        <f t="shared" si="2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0"/>
        <v/>
      </c>
      <c r="E41" s="21" t="str">
        <f t="shared" si="1"/>
        <v/>
      </c>
      <c r="F41" s="21" t="str">
        <f t="shared" si="5"/>
        <v/>
      </c>
      <c r="G41" s="21" t="str">
        <f t="shared" si="4"/>
        <v/>
      </c>
      <c r="H41" s="21" t="str">
        <f t="shared" si="2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0"/>
        <v/>
      </c>
      <c r="E42" s="4" t="str">
        <f t="shared" si="1"/>
        <v/>
      </c>
      <c r="F42" s="4" t="str">
        <f t="shared" si="5"/>
        <v/>
      </c>
      <c r="G42" s="4" t="str">
        <f t="shared" si="4"/>
        <v/>
      </c>
      <c r="H42" s="4" t="str">
        <f t="shared" si="2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0"/>
        <v/>
      </c>
      <c r="E43" s="21" t="str">
        <f t="shared" si="1"/>
        <v/>
      </c>
      <c r="F43" s="21" t="str">
        <f t="shared" si="5"/>
        <v/>
      </c>
      <c r="G43" s="21" t="str">
        <f t="shared" si="4"/>
        <v/>
      </c>
      <c r="H43" s="21" t="str">
        <f t="shared" si="2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0"/>
        <v/>
      </c>
      <c r="E44" s="4" t="str">
        <f t="shared" si="1"/>
        <v/>
      </c>
      <c r="F44" s="4" t="str">
        <f t="shared" si="5"/>
        <v/>
      </c>
      <c r="G44" s="4" t="str">
        <f t="shared" si="4"/>
        <v/>
      </c>
      <c r="H44" s="4" t="str">
        <f t="shared" si="2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0"/>
        <v/>
      </c>
      <c r="E45" s="21" t="str">
        <f t="shared" si="1"/>
        <v/>
      </c>
      <c r="F45" s="21" t="str">
        <f t="shared" si="5"/>
        <v/>
      </c>
      <c r="G45" s="21" t="str">
        <f t="shared" si="4"/>
        <v/>
      </c>
      <c r="H45" s="21" t="str">
        <f t="shared" si="2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0"/>
        <v/>
      </c>
      <c r="E46" s="4" t="str">
        <f t="shared" si="1"/>
        <v/>
      </c>
      <c r="F46" s="4" t="str">
        <f t="shared" si="5"/>
        <v/>
      </c>
      <c r="G46" s="4" t="str">
        <f t="shared" si="4"/>
        <v/>
      </c>
      <c r="H46" s="4" t="str">
        <f t="shared" si="2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0"/>
        <v/>
      </c>
      <c r="E47" s="21" t="str">
        <f t="shared" si="1"/>
        <v/>
      </c>
      <c r="F47" s="21" t="str">
        <f t="shared" si="5"/>
        <v/>
      </c>
      <c r="G47" s="21" t="str">
        <f t="shared" si="4"/>
        <v/>
      </c>
      <c r="H47" s="21" t="str">
        <f t="shared" si="2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0"/>
        <v/>
      </c>
      <c r="E48" s="4" t="str">
        <f t="shared" si="1"/>
        <v/>
      </c>
      <c r="F48" s="4" t="str">
        <f t="shared" si="5"/>
        <v/>
      </c>
      <c r="G48" s="4" t="str">
        <f t="shared" si="4"/>
        <v/>
      </c>
      <c r="H48" s="4" t="str">
        <f t="shared" si="2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0"/>
        <v/>
      </c>
      <c r="E49" s="21" t="str">
        <f t="shared" si="1"/>
        <v/>
      </c>
      <c r="F49" s="21" t="str">
        <f t="shared" si="5"/>
        <v/>
      </c>
      <c r="G49" s="21" t="str">
        <f t="shared" si="4"/>
        <v/>
      </c>
      <c r="H49" s="21" t="str">
        <f t="shared" si="2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0"/>
        <v/>
      </c>
      <c r="E50" s="4" t="str">
        <f t="shared" si="1"/>
        <v/>
      </c>
      <c r="F50" s="4" t="str">
        <f t="shared" si="5"/>
        <v/>
      </c>
      <c r="G50" s="4" t="str">
        <f t="shared" si="4"/>
        <v/>
      </c>
      <c r="H50" s="4" t="str">
        <f t="shared" si="2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0"/>
        <v/>
      </c>
      <c r="E51" s="21" t="str">
        <f t="shared" si="1"/>
        <v/>
      </c>
      <c r="F51" s="21" t="str">
        <f t="shared" si="5"/>
        <v/>
      </c>
      <c r="G51" s="21" t="str">
        <f t="shared" si="4"/>
        <v/>
      </c>
      <c r="H51" s="21" t="str">
        <f t="shared" si="2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0"/>
        <v/>
      </c>
      <c r="E52" s="4" t="str">
        <f t="shared" si="1"/>
        <v/>
      </c>
      <c r="F52" s="4" t="str">
        <f t="shared" si="5"/>
        <v/>
      </c>
      <c r="G52" s="4" t="str">
        <f t="shared" si="4"/>
        <v/>
      </c>
      <c r="H52" s="4" t="str">
        <f t="shared" si="2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0"/>
        <v/>
      </c>
      <c r="E53" s="21" t="str">
        <f t="shared" si="1"/>
        <v/>
      </c>
      <c r="F53" s="21" t="str">
        <f t="shared" si="5"/>
        <v/>
      </c>
      <c r="G53" s="21" t="str">
        <f t="shared" si="4"/>
        <v/>
      </c>
      <c r="H53" s="21" t="str">
        <f t="shared" si="2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0"/>
        <v/>
      </c>
      <c r="E54" s="4" t="str">
        <f t="shared" si="1"/>
        <v/>
      </c>
      <c r="F54" s="4" t="str">
        <f t="shared" si="5"/>
        <v/>
      </c>
      <c r="G54" s="4" t="str">
        <f t="shared" si="4"/>
        <v/>
      </c>
      <c r="H54" s="4" t="str">
        <f t="shared" si="2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0"/>
        <v/>
      </c>
      <c r="E55" s="21" t="str">
        <f t="shared" si="1"/>
        <v/>
      </c>
      <c r="F55" s="21" t="str">
        <f t="shared" si="5"/>
        <v/>
      </c>
      <c r="G55" s="21" t="str">
        <f t="shared" si="4"/>
        <v/>
      </c>
      <c r="H55" s="21" t="str">
        <f t="shared" si="2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0"/>
        <v/>
      </c>
      <c r="E56" s="4" t="str">
        <f t="shared" si="1"/>
        <v/>
      </c>
      <c r="F56" s="4" t="str">
        <f t="shared" si="5"/>
        <v/>
      </c>
      <c r="G56" s="4" t="str">
        <f t="shared" si="4"/>
        <v/>
      </c>
      <c r="H56" s="4" t="str">
        <f t="shared" si="2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0"/>
        <v/>
      </c>
      <c r="E57" s="21" t="str">
        <f t="shared" si="1"/>
        <v/>
      </c>
      <c r="F57" s="21" t="str">
        <f t="shared" si="5"/>
        <v/>
      </c>
      <c r="G57" s="21" t="str">
        <f t="shared" si="4"/>
        <v/>
      </c>
      <c r="H57" s="21" t="str">
        <f t="shared" si="2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0"/>
        <v/>
      </c>
      <c r="E58" s="4" t="str">
        <f t="shared" si="1"/>
        <v/>
      </c>
      <c r="F58" s="4" t="str">
        <f t="shared" si="5"/>
        <v/>
      </c>
      <c r="G58" s="4" t="str">
        <f t="shared" si="4"/>
        <v/>
      </c>
      <c r="H58" s="4" t="str">
        <f t="shared" si="2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0"/>
        <v/>
      </c>
      <c r="E59" s="21" t="str">
        <f t="shared" si="1"/>
        <v/>
      </c>
      <c r="F59" s="21" t="str">
        <f t="shared" si="5"/>
        <v/>
      </c>
      <c r="G59" s="21" t="str">
        <f t="shared" si="4"/>
        <v/>
      </c>
      <c r="H59" s="21" t="str">
        <f t="shared" si="2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0"/>
        <v/>
      </c>
      <c r="E60" s="4" t="str">
        <f t="shared" si="1"/>
        <v/>
      </c>
      <c r="F60" s="4" t="str">
        <f t="shared" si="5"/>
        <v/>
      </c>
      <c r="G60" s="4" t="str">
        <f t="shared" si="4"/>
        <v/>
      </c>
      <c r="H60" s="4" t="str">
        <f t="shared" si="2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0"/>
        <v/>
      </c>
      <c r="E61" s="21" t="str">
        <f t="shared" si="1"/>
        <v/>
      </c>
      <c r="F61" s="21" t="str">
        <f t="shared" si="5"/>
        <v/>
      </c>
      <c r="G61" s="21" t="str">
        <f t="shared" si="4"/>
        <v/>
      </c>
      <c r="H61" s="21" t="str">
        <f t="shared" si="2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0"/>
        <v/>
      </c>
      <c r="E62" s="4" t="str">
        <f t="shared" si="1"/>
        <v/>
      </c>
      <c r="F62" s="4" t="str">
        <f t="shared" si="5"/>
        <v/>
      </c>
      <c r="G62" s="4" t="str">
        <f t="shared" si="4"/>
        <v/>
      </c>
      <c r="H62" s="4" t="str">
        <f t="shared" si="2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0"/>
        <v/>
      </c>
      <c r="E63" s="21" t="str">
        <f t="shared" si="1"/>
        <v/>
      </c>
      <c r="F63" s="21" t="str">
        <f t="shared" si="5"/>
        <v/>
      </c>
      <c r="G63" s="21" t="str">
        <f t="shared" si="4"/>
        <v/>
      </c>
      <c r="H63" s="21" t="str">
        <f t="shared" si="2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0"/>
        <v/>
      </c>
      <c r="E64" s="4" t="str">
        <f t="shared" si="1"/>
        <v/>
      </c>
      <c r="F64" s="4" t="str">
        <f t="shared" si="5"/>
        <v/>
      </c>
      <c r="G64" s="4" t="str">
        <f t="shared" si="4"/>
        <v/>
      </c>
      <c r="H64" s="4" t="str">
        <f t="shared" si="2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0"/>
        <v/>
      </c>
      <c r="E65" s="21" t="str">
        <f t="shared" si="1"/>
        <v/>
      </c>
      <c r="F65" s="21" t="str">
        <f t="shared" si="5"/>
        <v/>
      </c>
      <c r="G65" s="21" t="str">
        <f t="shared" si="4"/>
        <v/>
      </c>
      <c r="H65" s="21" t="str">
        <f t="shared" si="2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121" si="6">IF(AND($A66&lt;&gt;"",$B66&lt;&gt;""),$K$9,"")</f>
        <v/>
      </c>
      <c r="E66" s="4" t="str">
        <f t="shared" si="1"/>
        <v/>
      </c>
      <c r="F66" s="4" t="str">
        <f t="shared" si="5"/>
        <v/>
      </c>
      <c r="G66" s="4" t="str">
        <f t="shared" si="4"/>
        <v/>
      </c>
      <c r="H66" s="4" t="str">
        <f t="shared" si="2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6"/>
        <v/>
      </c>
      <c r="E67" s="21" t="str">
        <f t="shared" ref="E67:E121" si="7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121" si="8">IF(AND($A67&lt;&gt;"",$B67&lt;&gt;""),$K$7-G67,"")</f>
        <v/>
      </c>
    </row>
    <row r="68" spans="1:8" x14ac:dyDescent="0.3">
      <c r="A68" s="2"/>
      <c r="B68" s="23" t="str">
        <f t="shared" ref="B68:B121" si="9">IF(A68&lt;&gt;"",B67+1,"")</f>
        <v/>
      </c>
      <c r="C68" s="3"/>
      <c r="D68" s="4" t="str">
        <f t="shared" si="6"/>
        <v/>
      </c>
      <c r="E68" s="4" t="str">
        <f t="shared" si="7"/>
        <v/>
      </c>
      <c r="F68" s="4" t="str">
        <f t="shared" si="5"/>
        <v/>
      </c>
      <c r="G68" s="4" t="str">
        <f t="shared" si="4"/>
        <v/>
      </c>
      <c r="H68" s="4" t="str">
        <f t="shared" si="8"/>
        <v/>
      </c>
    </row>
    <row r="69" spans="1:8" x14ac:dyDescent="0.3">
      <c r="A69" s="19"/>
      <c r="B69" s="24" t="str">
        <f t="shared" si="9"/>
        <v/>
      </c>
      <c r="C69" s="20"/>
      <c r="D69" s="21" t="str">
        <f t="shared" si="6"/>
        <v/>
      </c>
      <c r="E69" s="21" t="str">
        <f t="shared" si="7"/>
        <v/>
      </c>
      <c r="F69" s="21" t="str">
        <f t="shared" si="5"/>
        <v/>
      </c>
      <c r="G69" s="21" t="str">
        <f t="shared" si="4"/>
        <v/>
      </c>
      <c r="H69" s="21" t="str">
        <f t="shared" si="8"/>
        <v/>
      </c>
    </row>
    <row r="70" spans="1:8" x14ac:dyDescent="0.3">
      <c r="A70" s="2"/>
      <c r="B70" s="23" t="str">
        <f t="shared" si="9"/>
        <v/>
      </c>
      <c r="C70" s="3"/>
      <c r="D70" s="4" t="str">
        <f t="shared" si="6"/>
        <v/>
      </c>
      <c r="E70" s="4" t="str">
        <f t="shared" si="7"/>
        <v/>
      </c>
      <c r="F70" s="4" t="str">
        <f t="shared" si="5"/>
        <v/>
      </c>
      <c r="G70" s="4" t="str">
        <f t="shared" ref="G70:G121" si="10">IF(AND($A70&lt;&gt;"",$B70&lt;&gt;""),G69-F70,"")</f>
        <v/>
      </c>
      <c r="H70" s="4" t="str">
        <f t="shared" si="8"/>
        <v/>
      </c>
    </row>
    <row r="71" spans="1:8" x14ac:dyDescent="0.3">
      <c r="A71" s="19"/>
      <c r="B71" s="24" t="str">
        <f t="shared" si="9"/>
        <v/>
      </c>
      <c r="C71" s="20"/>
      <c r="D71" s="21" t="str">
        <f t="shared" si="6"/>
        <v/>
      </c>
      <c r="E71" s="21" t="str">
        <f t="shared" si="7"/>
        <v/>
      </c>
      <c r="F71" s="21" t="str">
        <f t="shared" ref="F71:F121" si="11">IF(AND($A71&lt;&gt;"",$B71&lt;&gt;""),D71-E71,"")</f>
        <v/>
      </c>
      <c r="G71" s="21" t="str">
        <f t="shared" si="10"/>
        <v/>
      </c>
      <c r="H71" s="21" t="str">
        <f t="shared" si="8"/>
        <v/>
      </c>
    </row>
    <row r="72" spans="1:8" x14ac:dyDescent="0.3">
      <c r="A72" s="2"/>
      <c r="B72" s="23" t="str">
        <f t="shared" si="9"/>
        <v/>
      </c>
      <c r="C72" s="3"/>
      <c r="D72" s="4" t="str">
        <f t="shared" si="6"/>
        <v/>
      </c>
      <c r="E72" s="4" t="str">
        <f t="shared" si="7"/>
        <v/>
      </c>
      <c r="F72" s="4" t="str">
        <f t="shared" si="11"/>
        <v/>
      </c>
      <c r="G72" s="4" t="str">
        <f t="shared" si="10"/>
        <v/>
      </c>
      <c r="H72" s="4" t="str">
        <f t="shared" si="8"/>
        <v/>
      </c>
    </row>
    <row r="73" spans="1:8" x14ac:dyDescent="0.3">
      <c r="A73" s="19"/>
      <c r="B73" s="24" t="str">
        <f t="shared" si="9"/>
        <v/>
      </c>
      <c r="C73" s="20"/>
      <c r="D73" s="21" t="str">
        <f t="shared" si="6"/>
        <v/>
      </c>
      <c r="E73" s="21" t="str">
        <f t="shared" si="7"/>
        <v/>
      </c>
      <c r="F73" s="21" t="str">
        <f t="shared" si="11"/>
        <v/>
      </c>
      <c r="G73" s="21" t="str">
        <f t="shared" si="10"/>
        <v/>
      </c>
      <c r="H73" s="21" t="str">
        <f t="shared" si="8"/>
        <v/>
      </c>
    </row>
    <row r="74" spans="1:8" x14ac:dyDescent="0.3">
      <c r="A74" s="2"/>
      <c r="B74" s="23" t="str">
        <f t="shared" si="9"/>
        <v/>
      </c>
      <c r="C74" s="3"/>
      <c r="D74" s="4" t="str">
        <f t="shared" si="6"/>
        <v/>
      </c>
      <c r="E74" s="4" t="str">
        <f t="shared" si="7"/>
        <v/>
      </c>
      <c r="F74" s="4" t="str">
        <f t="shared" si="11"/>
        <v/>
      </c>
      <c r="G74" s="4" t="str">
        <f t="shared" si="10"/>
        <v/>
      </c>
      <c r="H74" s="4" t="str">
        <f t="shared" si="8"/>
        <v/>
      </c>
    </row>
    <row r="75" spans="1:8" x14ac:dyDescent="0.3">
      <c r="A75" s="19"/>
      <c r="B75" s="24" t="str">
        <f t="shared" si="9"/>
        <v/>
      </c>
      <c r="C75" s="20"/>
      <c r="D75" s="21" t="str">
        <f t="shared" si="6"/>
        <v/>
      </c>
      <c r="E75" s="21" t="str">
        <f t="shared" si="7"/>
        <v/>
      </c>
      <c r="F75" s="21" t="str">
        <f t="shared" si="11"/>
        <v/>
      </c>
      <c r="G75" s="21" t="str">
        <f t="shared" si="10"/>
        <v/>
      </c>
      <c r="H75" s="21" t="str">
        <f t="shared" si="8"/>
        <v/>
      </c>
    </row>
    <row r="76" spans="1:8" x14ac:dyDescent="0.3">
      <c r="A76" s="2"/>
      <c r="B76" s="23" t="str">
        <f t="shared" si="9"/>
        <v/>
      </c>
      <c r="C76" s="3"/>
      <c r="D76" s="4" t="str">
        <f t="shared" si="6"/>
        <v/>
      </c>
      <c r="E76" s="4" t="str">
        <f t="shared" si="7"/>
        <v/>
      </c>
      <c r="F76" s="4" t="str">
        <f t="shared" si="11"/>
        <v/>
      </c>
      <c r="G76" s="4" t="str">
        <f t="shared" si="10"/>
        <v/>
      </c>
      <c r="H76" s="4" t="str">
        <f t="shared" si="8"/>
        <v/>
      </c>
    </row>
    <row r="77" spans="1:8" x14ac:dyDescent="0.3">
      <c r="A77" s="19"/>
      <c r="B77" s="24" t="str">
        <f t="shared" si="9"/>
        <v/>
      </c>
      <c r="C77" s="20"/>
      <c r="D77" s="21" t="str">
        <f t="shared" si="6"/>
        <v/>
      </c>
      <c r="E77" s="21" t="str">
        <f t="shared" si="7"/>
        <v/>
      </c>
      <c r="F77" s="21" t="str">
        <f t="shared" si="11"/>
        <v/>
      </c>
      <c r="G77" s="21" t="str">
        <f t="shared" si="10"/>
        <v/>
      </c>
      <c r="H77" s="21" t="str">
        <f t="shared" si="8"/>
        <v/>
      </c>
    </row>
    <row r="78" spans="1:8" x14ac:dyDescent="0.3">
      <c r="A78" s="2"/>
      <c r="B78" s="23" t="str">
        <f t="shared" si="9"/>
        <v/>
      </c>
      <c r="C78" s="3"/>
      <c r="D78" s="4" t="str">
        <f t="shared" si="6"/>
        <v/>
      </c>
      <c r="E78" s="4" t="str">
        <f t="shared" si="7"/>
        <v/>
      </c>
      <c r="F78" s="4" t="str">
        <f t="shared" si="11"/>
        <v/>
      </c>
      <c r="G78" s="4" t="str">
        <f t="shared" si="10"/>
        <v/>
      </c>
      <c r="H78" s="4" t="str">
        <f t="shared" si="8"/>
        <v/>
      </c>
    </row>
    <row r="79" spans="1:8" x14ac:dyDescent="0.3">
      <c r="A79" s="19"/>
      <c r="B79" s="24" t="str">
        <f t="shared" si="9"/>
        <v/>
      </c>
      <c r="C79" s="20"/>
      <c r="D79" s="21" t="str">
        <f t="shared" si="6"/>
        <v/>
      </c>
      <c r="E79" s="21" t="str">
        <f t="shared" si="7"/>
        <v/>
      </c>
      <c r="F79" s="21" t="str">
        <f t="shared" si="11"/>
        <v/>
      </c>
      <c r="G79" s="21" t="str">
        <f t="shared" si="10"/>
        <v/>
      </c>
      <c r="H79" s="21" t="str">
        <f t="shared" si="8"/>
        <v/>
      </c>
    </row>
    <row r="80" spans="1:8" x14ac:dyDescent="0.3">
      <c r="A80" s="2"/>
      <c r="B80" s="23" t="str">
        <f t="shared" si="9"/>
        <v/>
      </c>
      <c r="C80" s="3"/>
      <c r="D80" s="4" t="str">
        <f t="shared" si="6"/>
        <v/>
      </c>
      <c r="E80" s="4" t="str">
        <f t="shared" si="7"/>
        <v/>
      </c>
      <c r="F80" s="4" t="str">
        <f t="shared" si="11"/>
        <v/>
      </c>
      <c r="G80" s="4" t="str">
        <f t="shared" si="10"/>
        <v/>
      </c>
      <c r="H80" s="4" t="str">
        <f t="shared" si="8"/>
        <v/>
      </c>
    </row>
    <row r="81" spans="1:8" x14ac:dyDescent="0.3">
      <c r="A81" s="19"/>
      <c r="B81" s="24" t="str">
        <f t="shared" si="9"/>
        <v/>
      </c>
      <c r="C81" s="20"/>
      <c r="D81" s="21" t="str">
        <f t="shared" si="6"/>
        <v/>
      </c>
      <c r="E81" s="21" t="str">
        <f t="shared" si="7"/>
        <v/>
      </c>
      <c r="F81" s="21" t="str">
        <f t="shared" si="11"/>
        <v/>
      </c>
      <c r="G81" s="21" t="str">
        <f t="shared" si="10"/>
        <v/>
      </c>
      <c r="H81" s="21" t="str">
        <f t="shared" si="8"/>
        <v/>
      </c>
    </row>
    <row r="82" spans="1:8" x14ac:dyDescent="0.3">
      <c r="A82" s="2"/>
      <c r="B82" s="23" t="str">
        <f t="shared" si="9"/>
        <v/>
      </c>
      <c r="C82" s="3"/>
      <c r="D82" s="4" t="str">
        <f t="shared" si="6"/>
        <v/>
      </c>
      <c r="E82" s="4" t="str">
        <f t="shared" si="7"/>
        <v/>
      </c>
      <c r="F82" s="4" t="str">
        <f t="shared" si="11"/>
        <v/>
      </c>
      <c r="G82" s="4" t="str">
        <f t="shared" si="10"/>
        <v/>
      </c>
      <c r="H82" s="4" t="str">
        <f t="shared" si="8"/>
        <v/>
      </c>
    </row>
    <row r="83" spans="1:8" x14ac:dyDescent="0.3">
      <c r="A83" s="19"/>
      <c r="B83" s="24" t="str">
        <f t="shared" si="9"/>
        <v/>
      </c>
      <c r="C83" s="20"/>
      <c r="D83" s="21" t="str">
        <f t="shared" si="6"/>
        <v/>
      </c>
      <c r="E83" s="21" t="str">
        <f t="shared" si="7"/>
        <v/>
      </c>
      <c r="F83" s="21" t="str">
        <f t="shared" si="11"/>
        <v/>
      </c>
      <c r="G83" s="21" t="str">
        <f t="shared" si="10"/>
        <v/>
      </c>
      <c r="H83" s="21" t="str">
        <f t="shared" si="8"/>
        <v/>
      </c>
    </row>
    <row r="84" spans="1:8" x14ac:dyDescent="0.3">
      <c r="A84" s="2"/>
      <c r="B84" s="23" t="str">
        <f t="shared" si="9"/>
        <v/>
      </c>
      <c r="C84" s="3"/>
      <c r="D84" s="4" t="str">
        <f t="shared" si="6"/>
        <v/>
      </c>
      <c r="E84" s="4" t="str">
        <f t="shared" si="7"/>
        <v/>
      </c>
      <c r="F84" s="4" t="str">
        <f t="shared" si="11"/>
        <v/>
      </c>
      <c r="G84" s="4" t="str">
        <f t="shared" si="10"/>
        <v/>
      </c>
      <c r="H84" s="4" t="str">
        <f t="shared" si="8"/>
        <v/>
      </c>
    </row>
    <row r="85" spans="1:8" x14ac:dyDescent="0.3">
      <c r="A85" s="19"/>
      <c r="B85" s="24" t="str">
        <f t="shared" si="9"/>
        <v/>
      </c>
      <c r="C85" s="20"/>
      <c r="D85" s="21" t="str">
        <f t="shared" si="6"/>
        <v/>
      </c>
      <c r="E85" s="21" t="str">
        <f t="shared" si="7"/>
        <v/>
      </c>
      <c r="F85" s="21" t="str">
        <f t="shared" si="11"/>
        <v/>
      </c>
      <c r="G85" s="21" t="str">
        <f t="shared" si="10"/>
        <v/>
      </c>
      <c r="H85" s="21" t="str">
        <f t="shared" si="8"/>
        <v/>
      </c>
    </row>
    <row r="86" spans="1:8" x14ac:dyDescent="0.3">
      <c r="A86" s="2"/>
      <c r="B86" s="23" t="str">
        <f t="shared" si="9"/>
        <v/>
      </c>
      <c r="C86" s="3"/>
      <c r="D86" s="4" t="str">
        <f t="shared" si="6"/>
        <v/>
      </c>
      <c r="E86" s="4" t="str">
        <f t="shared" si="7"/>
        <v/>
      </c>
      <c r="F86" s="4" t="str">
        <f t="shared" si="11"/>
        <v/>
      </c>
      <c r="G86" s="4" t="str">
        <f t="shared" si="10"/>
        <v/>
      </c>
      <c r="H86" s="4" t="str">
        <f t="shared" si="8"/>
        <v/>
      </c>
    </row>
    <row r="87" spans="1:8" x14ac:dyDescent="0.3">
      <c r="A87" s="19"/>
      <c r="B87" s="24" t="str">
        <f t="shared" si="9"/>
        <v/>
      </c>
      <c r="C87" s="20"/>
      <c r="D87" s="21" t="str">
        <f t="shared" si="6"/>
        <v/>
      </c>
      <c r="E87" s="21" t="str">
        <f t="shared" si="7"/>
        <v/>
      </c>
      <c r="F87" s="21" t="str">
        <f t="shared" si="11"/>
        <v/>
      </c>
      <c r="G87" s="21" t="str">
        <f t="shared" si="10"/>
        <v/>
      </c>
      <c r="H87" s="21" t="str">
        <f t="shared" si="8"/>
        <v/>
      </c>
    </row>
    <row r="88" spans="1:8" x14ac:dyDescent="0.3">
      <c r="A88" s="2"/>
      <c r="B88" s="23" t="str">
        <f t="shared" si="9"/>
        <v/>
      </c>
      <c r="C88" s="3"/>
      <c r="D88" s="4" t="str">
        <f t="shared" si="6"/>
        <v/>
      </c>
      <c r="E88" s="4" t="str">
        <f t="shared" si="7"/>
        <v/>
      </c>
      <c r="F88" s="4" t="str">
        <f t="shared" si="11"/>
        <v/>
      </c>
      <c r="G88" s="4" t="str">
        <f t="shared" si="10"/>
        <v/>
      </c>
      <c r="H88" s="4" t="str">
        <f t="shared" si="8"/>
        <v/>
      </c>
    </row>
    <row r="89" spans="1:8" x14ac:dyDescent="0.3">
      <c r="A89" s="19"/>
      <c r="B89" s="24" t="str">
        <f t="shared" si="9"/>
        <v/>
      </c>
      <c r="C89" s="20"/>
      <c r="D89" s="21" t="str">
        <f t="shared" si="6"/>
        <v/>
      </c>
      <c r="E89" s="21" t="str">
        <f t="shared" si="7"/>
        <v/>
      </c>
      <c r="F89" s="21" t="str">
        <f t="shared" si="11"/>
        <v/>
      </c>
      <c r="G89" s="21" t="str">
        <f t="shared" si="10"/>
        <v/>
      </c>
      <c r="H89" s="21" t="str">
        <f t="shared" si="8"/>
        <v/>
      </c>
    </row>
    <row r="90" spans="1:8" x14ac:dyDescent="0.3">
      <c r="A90" s="2"/>
      <c r="B90" s="23" t="str">
        <f t="shared" si="9"/>
        <v/>
      </c>
      <c r="C90" s="3"/>
      <c r="D90" s="4" t="str">
        <f t="shared" si="6"/>
        <v/>
      </c>
      <c r="E90" s="4" t="str">
        <f t="shared" si="7"/>
        <v/>
      </c>
      <c r="F90" s="4" t="str">
        <f t="shared" si="11"/>
        <v/>
      </c>
      <c r="G90" s="4" t="str">
        <f t="shared" si="10"/>
        <v/>
      </c>
      <c r="H90" s="4" t="str">
        <f t="shared" si="8"/>
        <v/>
      </c>
    </row>
    <row r="91" spans="1:8" x14ac:dyDescent="0.3">
      <c r="A91" s="19"/>
      <c r="B91" s="24" t="str">
        <f t="shared" si="9"/>
        <v/>
      </c>
      <c r="C91" s="20"/>
      <c r="D91" s="21" t="str">
        <f t="shared" si="6"/>
        <v/>
      </c>
      <c r="E91" s="21" t="str">
        <f t="shared" si="7"/>
        <v/>
      </c>
      <c r="F91" s="21" t="str">
        <f t="shared" si="11"/>
        <v/>
      </c>
      <c r="G91" s="21" t="str">
        <f t="shared" si="10"/>
        <v/>
      </c>
      <c r="H91" s="21" t="str">
        <f t="shared" si="8"/>
        <v/>
      </c>
    </row>
    <row r="92" spans="1:8" x14ac:dyDescent="0.3">
      <c r="A92" s="2"/>
      <c r="B92" s="23" t="str">
        <f t="shared" si="9"/>
        <v/>
      </c>
      <c r="C92" s="3"/>
      <c r="D92" s="4" t="str">
        <f t="shared" si="6"/>
        <v/>
      </c>
      <c r="E92" s="4" t="str">
        <f t="shared" si="7"/>
        <v/>
      </c>
      <c r="F92" s="4" t="str">
        <f t="shared" si="11"/>
        <v/>
      </c>
      <c r="G92" s="4" t="str">
        <f t="shared" si="10"/>
        <v/>
      </c>
      <c r="H92" s="4" t="str">
        <f t="shared" si="8"/>
        <v/>
      </c>
    </row>
    <row r="93" spans="1:8" x14ac:dyDescent="0.3">
      <c r="A93" s="19"/>
      <c r="B93" s="24" t="str">
        <f t="shared" si="9"/>
        <v/>
      </c>
      <c r="C93" s="20"/>
      <c r="D93" s="21" t="str">
        <f t="shared" si="6"/>
        <v/>
      </c>
      <c r="E93" s="21" t="str">
        <f t="shared" si="7"/>
        <v/>
      </c>
      <c r="F93" s="21" t="str">
        <f t="shared" si="11"/>
        <v/>
      </c>
      <c r="G93" s="21" t="str">
        <f t="shared" si="10"/>
        <v/>
      </c>
      <c r="H93" s="21" t="str">
        <f t="shared" si="8"/>
        <v/>
      </c>
    </row>
    <row r="94" spans="1:8" x14ac:dyDescent="0.3">
      <c r="A94" s="2"/>
      <c r="B94" s="23" t="str">
        <f t="shared" si="9"/>
        <v/>
      </c>
      <c r="C94" s="3"/>
      <c r="D94" s="4" t="str">
        <f t="shared" si="6"/>
        <v/>
      </c>
      <c r="E94" s="4" t="str">
        <f t="shared" si="7"/>
        <v/>
      </c>
      <c r="F94" s="4" t="str">
        <f t="shared" si="11"/>
        <v/>
      </c>
      <c r="G94" s="4" t="str">
        <f t="shared" si="10"/>
        <v/>
      </c>
      <c r="H94" s="4" t="str">
        <f t="shared" si="8"/>
        <v/>
      </c>
    </row>
    <row r="95" spans="1:8" x14ac:dyDescent="0.3">
      <c r="A95" s="19"/>
      <c r="B95" s="24" t="str">
        <f t="shared" si="9"/>
        <v/>
      </c>
      <c r="C95" s="20"/>
      <c r="D95" s="21" t="str">
        <f t="shared" si="6"/>
        <v/>
      </c>
      <c r="E95" s="21" t="str">
        <f t="shared" si="7"/>
        <v/>
      </c>
      <c r="F95" s="21" t="str">
        <f t="shared" si="11"/>
        <v/>
      </c>
      <c r="G95" s="21" t="str">
        <f t="shared" si="10"/>
        <v/>
      </c>
      <c r="H95" s="21" t="str">
        <f t="shared" si="8"/>
        <v/>
      </c>
    </row>
    <row r="96" spans="1:8" x14ac:dyDescent="0.3">
      <c r="A96" s="2"/>
      <c r="B96" s="23" t="str">
        <f t="shared" si="9"/>
        <v/>
      </c>
      <c r="C96" s="3"/>
      <c r="D96" s="4" t="str">
        <f t="shared" si="6"/>
        <v/>
      </c>
      <c r="E96" s="4" t="str">
        <f t="shared" si="7"/>
        <v/>
      </c>
      <c r="F96" s="4" t="str">
        <f t="shared" si="11"/>
        <v/>
      </c>
      <c r="G96" s="4" t="str">
        <f t="shared" si="10"/>
        <v/>
      </c>
      <c r="H96" s="4" t="str">
        <f t="shared" si="8"/>
        <v/>
      </c>
    </row>
    <row r="97" spans="1:8" x14ac:dyDescent="0.3">
      <c r="A97" s="19"/>
      <c r="B97" s="24" t="str">
        <f t="shared" si="9"/>
        <v/>
      </c>
      <c r="C97" s="20"/>
      <c r="D97" s="21" t="str">
        <f t="shared" si="6"/>
        <v/>
      </c>
      <c r="E97" s="21" t="str">
        <f t="shared" si="7"/>
        <v/>
      </c>
      <c r="F97" s="21" t="str">
        <f t="shared" si="11"/>
        <v/>
      </c>
      <c r="G97" s="21" t="str">
        <f t="shared" si="10"/>
        <v/>
      </c>
      <c r="H97" s="21" t="str">
        <f t="shared" si="8"/>
        <v/>
      </c>
    </row>
    <row r="98" spans="1:8" x14ac:dyDescent="0.3">
      <c r="A98" s="2"/>
      <c r="B98" s="23" t="str">
        <f t="shared" si="9"/>
        <v/>
      </c>
      <c r="C98" s="3"/>
      <c r="D98" s="4" t="str">
        <f t="shared" si="6"/>
        <v/>
      </c>
      <c r="E98" s="4" t="str">
        <f t="shared" si="7"/>
        <v/>
      </c>
      <c r="F98" s="4" t="str">
        <f t="shared" si="11"/>
        <v/>
      </c>
      <c r="G98" s="4" t="str">
        <f t="shared" si="10"/>
        <v/>
      </c>
      <c r="H98" s="4" t="str">
        <f t="shared" si="8"/>
        <v/>
      </c>
    </row>
    <row r="99" spans="1:8" x14ac:dyDescent="0.3">
      <c r="A99" s="19"/>
      <c r="B99" s="24" t="str">
        <f t="shared" si="9"/>
        <v/>
      </c>
      <c r="C99" s="20"/>
      <c r="D99" s="21" t="str">
        <f t="shared" si="6"/>
        <v/>
      </c>
      <c r="E99" s="21" t="str">
        <f t="shared" si="7"/>
        <v/>
      </c>
      <c r="F99" s="21" t="str">
        <f t="shared" si="11"/>
        <v/>
      </c>
      <c r="G99" s="21" t="str">
        <f t="shared" si="10"/>
        <v/>
      </c>
      <c r="H99" s="21" t="str">
        <f t="shared" si="8"/>
        <v/>
      </c>
    </row>
    <row r="100" spans="1:8" x14ac:dyDescent="0.3">
      <c r="A100" s="2"/>
      <c r="B100" s="23" t="str">
        <f t="shared" si="9"/>
        <v/>
      </c>
      <c r="C100" s="3"/>
      <c r="D100" s="4" t="str">
        <f t="shared" si="6"/>
        <v/>
      </c>
      <c r="E100" s="4" t="str">
        <f t="shared" si="7"/>
        <v/>
      </c>
      <c r="F100" s="4" t="str">
        <f t="shared" si="11"/>
        <v/>
      </c>
      <c r="G100" s="4" t="str">
        <f t="shared" si="10"/>
        <v/>
      </c>
      <c r="H100" s="4" t="str">
        <f t="shared" si="8"/>
        <v/>
      </c>
    </row>
    <row r="101" spans="1:8" x14ac:dyDescent="0.3">
      <c r="A101" s="19"/>
      <c r="B101" s="24" t="str">
        <f t="shared" si="9"/>
        <v/>
      </c>
      <c r="C101" s="20"/>
      <c r="D101" s="21" t="str">
        <f t="shared" si="6"/>
        <v/>
      </c>
      <c r="E101" s="21" t="str">
        <f t="shared" si="7"/>
        <v/>
      </c>
      <c r="F101" s="21" t="str">
        <f t="shared" si="11"/>
        <v/>
      </c>
      <c r="G101" s="21" t="str">
        <f t="shared" si="10"/>
        <v/>
      </c>
      <c r="H101" s="21" t="str">
        <f t="shared" si="8"/>
        <v/>
      </c>
    </row>
    <row r="102" spans="1:8" x14ac:dyDescent="0.3">
      <c r="A102" s="2"/>
      <c r="B102" s="23" t="str">
        <f t="shared" si="9"/>
        <v/>
      </c>
      <c r="C102" s="3"/>
      <c r="D102" s="4" t="str">
        <f t="shared" si="6"/>
        <v/>
      </c>
      <c r="E102" s="4" t="str">
        <f t="shared" si="7"/>
        <v/>
      </c>
      <c r="F102" s="4" t="str">
        <f t="shared" si="11"/>
        <v/>
      </c>
      <c r="G102" s="4" t="str">
        <f t="shared" si="10"/>
        <v/>
      </c>
      <c r="H102" s="4" t="str">
        <f t="shared" si="8"/>
        <v/>
      </c>
    </row>
    <row r="103" spans="1:8" x14ac:dyDescent="0.3">
      <c r="A103" s="19"/>
      <c r="B103" s="24" t="str">
        <f t="shared" si="9"/>
        <v/>
      </c>
      <c r="C103" s="20"/>
      <c r="D103" s="21" t="str">
        <f t="shared" si="6"/>
        <v/>
      </c>
      <c r="E103" s="21" t="str">
        <f t="shared" si="7"/>
        <v/>
      </c>
      <c r="F103" s="21" t="str">
        <f t="shared" si="11"/>
        <v/>
      </c>
      <c r="G103" s="21" t="str">
        <f t="shared" si="10"/>
        <v/>
      </c>
      <c r="H103" s="21" t="str">
        <f t="shared" si="8"/>
        <v/>
      </c>
    </row>
    <row r="104" spans="1:8" x14ac:dyDescent="0.3">
      <c r="A104" s="2"/>
      <c r="B104" s="23" t="str">
        <f t="shared" si="9"/>
        <v/>
      </c>
      <c r="C104" s="3"/>
      <c r="D104" s="4" t="str">
        <f t="shared" si="6"/>
        <v/>
      </c>
      <c r="E104" s="4" t="str">
        <f t="shared" si="7"/>
        <v/>
      </c>
      <c r="F104" s="4" t="str">
        <f t="shared" si="11"/>
        <v/>
      </c>
      <c r="G104" s="4" t="str">
        <f t="shared" si="10"/>
        <v/>
      </c>
      <c r="H104" s="4" t="str">
        <f t="shared" si="8"/>
        <v/>
      </c>
    </row>
    <row r="105" spans="1:8" x14ac:dyDescent="0.3">
      <c r="A105" s="19"/>
      <c r="B105" s="24" t="str">
        <f t="shared" si="9"/>
        <v/>
      </c>
      <c r="C105" s="20"/>
      <c r="D105" s="21" t="str">
        <f t="shared" si="6"/>
        <v/>
      </c>
      <c r="E105" s="21" t="str">
        <f t="shared" si="7"/>
        <v/>
      </c>
      <c r="F105" s="21" t="str">
        <f t="shared" si="11"/>
        <v/>
      </c>
      <c r="G105" s="21" t="str">
        <f t="shared" si="10"/>
        <v/>
      </c>
      <c r="H105" s="21" t="str">
        <f t="shared" si="8"/>
        <v/>
      </c>
    </row>
    <row r="106" spans="1:8" x14ac:dyDescent="0.3">
      <c r="A106" s="2"/>
      <c r="B106" s="23" t="str">
        <f t="shared" si="9"/>
        <v/>
      </c>
      <c r="C106" s="3"/>
      <c r="D106" s="4" t="str">
        <f t="shared" si="6"/>
        <v/>
      </c>
      <c r="E106" s="4" t="str">
        <f t="shared" si="7"/>
        <v/>
      </c>
      <c r="F106" s="4" t="str">
        <f t="shared" si="11"/>
        <v/>
      </c>
      <c r="G106" s="4" t="str">
        <f t="shared" si="10"/>
        <v/>
      </c>
      <c r="H106" s="4" t="str">
        <f t="shared" si="8"/>
        <v/>
      </c>
    </row>
    <row r="107" spans="1:8" x14ac:dyDescent="0.3">
      <c r="A107" s="19"/>
      <c r="B107" s="24" t="str">
        <f t="shared" si="9"/>
        <v/>
      </c>
      <c r="C107" s="20"/>
      <c r="D107" s="21" t="str">
        <f t="shared" si="6"/>
        <v/>
      </c>
      <c r="E107" s="21" t="str">
        <f t="shared" si="7"/>
        <v/>
      </c>
      <c r="F107" s="21" t="str">
        <f t="shared" si="11"/>
        <v/>
      </c>
      <c r="G107" s="21" t="str">
        <f t="shared" si="10"/>
        <v/>
      </c>
      <c r="H107" s="21" t="str">
        <f t="shared" si="8"/>
        <v/>
      </c>
    </row>
    <row r="108" spans="1:8" x14ac:dyDescent="0.3">
      <c r="A108" s="2"/>
      <c r="B108" s="23" t="str">
        <f t="shared" si="9"/>
        <v/>
      </c>
      <c r="C108" s="3"/>
      <c r="D108" s="4" t="str">
        <f t="shared" si="6"/>
        <v/>
      </c>
      <c r="E108" s="4" t="str">
        <f t="shared" si="7"/>
        <v/>
      </c>
      <c r="F108" s="4" t="str">
        <f t="shared" si="11"/>
        <v/>
      </c>
      <c r="G108" s="4" t="str">
        <f t="shared" si="10"/>
        <v/>
      </c>
      <c r="H108" s="4" t="str">
        <f t="shared" si="8"/>
        <v/>
      </c>
    </row>
    <row r="109" spans="1:8" x14ac:dyDescent="0.3">
      <c r="A109" s="19"/>
      <c r="B109" s="24" t="str">
        <f t="shared" si="9"/>
        <v/>
      </c>
      <c r="C109" s="20"/>
      <c r="D109" s="21" t="str">
        <f t="shared" si="6"/>
        <v/>
      </c>
      <c r="E109" s="21" t="str">
        <f t="shared" si="7"/>
        <v/>
      </c>
      <c r="F109" s="21" t="str">
        <f t="shared" si="11"/>
        <v/>
      </c>
      <c r="G109" s="21" t="str">
        <f t="shared" si="10"/>
        <v/>
      </c>
      <c r="H109" s="21" t="str">
        <f t="shared" si="8"/>
        <v/>
      </c>
    </row>
    <row r="110" spans="1:8" x14ac:dyDescent="0.3">
      <c r="A110" s="2"/>
      <c r="B110" s="23" t="str">
        <f t="shared" si="9"/>
        <v/>
      </c>
      <c r="C110" s="3"/>
      <c r="D110" s="4" t="str">
        <f t="shared" si="6"/>
        <v/>
      </c>
      <c r="E110" s="4" t="str">
        <f t="shared" si="7"/>
        <v/>
      </c>
      <c r="F110" s="4" t="str">
        <f t="shared" si="11"/>
        <v/>
      </c>
      <c r="G110" s="4" t="str">
        <f t="shared" si="10"/>
        <v/>
      </c>
      <c r="H110" s="4" t="str">
        <f t="shared" si="8"/>
        <v/>
      </c>
    </row>
    <row r="111" spans="1:8" x14ac:dyDescent="0.3">
      <c r="A111" s="19"/>
      <c r="B111" s="24" t="str">
        <f t="shared" si="9"/>
        <v/>
      </c>
      <c r="C111" s="20"/>
      <c r="D111" s="21" t="str">
        <f t="shared" si="6"/>
        <v/>
      </c>
      <c r="E111" s="21" t="str">
        <f t="shared" si="7"/>
        <v/>
      </c>
      <c r="F111" s="21" t="str">
        <f t="shared" si="11"/>
        <v/>
      </c>
      <c r="G111" s="21" t="str">
        <f t="shared" si="10"/>
        <v/>
      </c>
      <c r="H111" s="21" t="str">
        <f t="shared" si="8"/>
        <v/>
      </c>
    </row>
    <row r="112" spans="1:8" x14ac:dyDescent="0.3">
      <c r="A112" s="2"/>
      <c r="B112" s="23" t="str">
        <f t="shared" si="9"/>
        <v/>
      </c>
      <c r="C112" s="3"/>
      <c r="D112" s="4" t="str">
        <f t="shared" si="6"/>
        <v/>
      </c>
      <c r="E112" s="4" t="str">
        <f t="shared" si="7"/>
        <v/>
      </c>
      <c r="F112" s="4" t="str">
        <f t="shared" si="11"/>
        <v/>
      </c>
      <c r="G112" s="4" t="str">
        <f t="shared" si="10"/>
        <v/>
      </c>
      <c r="H112" s="4" t="str">
        <f t="shared" si="8"/>
        <v/>
      </c>
    </row>
    <row r="113" spans="1:8" x14ac:dyDescent="0.3">
      <c r="A113" s="19"/>
      <c r="B113" s="24" t="str">
        <f t="shared" si="9"/>
        <v/>
      </c>
      <c r="C113" s="20"/>
      <c r="D113" s="21" t="str">
        <f t="shared" si="6"/>
        <v/>
      </c>
      <c r="E113" s="21" t="str">
        <f t="shared" si="7"/>
        <v/>
      </c>
      <c r="F113" s="21" t="str">
        <f t="shared" si="11"/>
        <v/>
      </c>
      <c r="G113" s="21" t="str">
        <f t="shared" si="10"/>
        <v/>
      </c>
      <c r="H113" s="21" t="str">
        <f t="shared" si="8"/>
        <v/>
      </c>
    </row>
    <row r="114" spans="1:8" x14ac:dyDescent="0.3">
      <c r="A114" s="2"/>
      <c r="B114" s="23" t="str">
        <f t="shared" si="9"/>
        <v/>
      </c>
      <c r="C114" s="3"/>
      <c r="D114" s="4" t="str">
        <f t="shared" si="6"/>
        <v/>
      </c>
      <c r="E114" s="4" t="str">
        <f t="shared" si="7"/>
        <v/>
      </c>
      <c r="F114" s="4" t="str">
        <f t="shared" si="11"/>
        <v/>
      </c>
      <c r="G114" s="4" t="str">
        <f t="shared" si="10"/>
        <v/>
      </c>
      <c r="H114" s="4" t="str">
        <f t="shared" si="8"/>
        <v/>
      </c>
    </row>
    <row r="115" spans="1:8" x14ac:dyDescent="0.3">
      <c r="A115" s="19"/>
      <c r="B115" s="24" t="str">
        <f t="shared" si="9"/>
        <v/>
      </c>
      <c r="C115" s="20"/>
      <c r="D115" s="21" t="str">
        <f t="shared" si="6"/>
        <v/>
      </c>
      <c r="E115" s="21" t="str">
        <f t="shared" si="7"/>
        <v/>
      </c>
      <c r="F115" s="21" t="str">
        <f t="shared" si="11"/>
        <v/>
      </c>
      <c r="G115" s="21" t="str">
        <f t="shared" si="10"/>
        <v/>
      </c>
      <c r="H115" s="21" t="str">
        <f t="shared" si="8"/>
        <v/>
      </c>
    </row>
    <row r="116" spans="1:8" x14ac:dyDescent="0.3">
      <c r="A116" s="2"/>
      <c r="B116" s="23" t="str">
        <f t="shared" si="9"/>
        <v/>
      </c>
      <c r="C116" s="3"/>
      <c r="D116" s="4" t="str">
        <f t="shared" si="6"/>
        <v/>
      </c>
      <c r="E116" s="4" t="str">
        <f t="shared" si="7"/>
        <v/>
      </c>
      <c r="F116" s="4" t="str">
        <f t="shared" si="11"/>
        <v/>
      </c>
      <c r="G116" s="4" t="str">
        <f t="shared" si="10"/>
        <v/>
      </c>
      <c r="H116" s="4" t="str">
        <f t="shared" si="8"/>
        <v/>
      </c>
    </row>
    <row r="117" spans="1:8" x14ac:dyDescent="0.3">
      <c r="A117" s="19"/>
      <c r="B117" s="24" t="str">
        <f t="shared" si="9"/>
        <v/>
      </c>
      <c r="C117" s="20"/>
      <c r="D117" s="21" t="str">
        <f t="shared" si="6"/>
        <v/>
      </c>
      <c r="E117" s="21" t="str">
        <f t="shared" si="7"/>
        <v/>
      </c>
      <c r="F117" s="21" t="str">
        <f t="shared" si="11"/>
        <v/>
      </c>
      <c r="G117" s="21" t="str">
        <f t="shared" si="10"/>
        <v/>
      </c>
      <c r="H117" s="21" t="str">
        <f t="shared" si="8"/>
        <v/>
      </c>
    </row>
    <row r="118" spans="1:8" x14ac:dyDescent="0.3">
      <c r="A118" s="2"/>
      <c r="B118" s="23" t="str">
        <f t="shared" si="9"/>
        <v/>
      </c>
      <c r="C118" s="3"/>
      <c r="D118" s="4" t="str">
        <f t="shared" si="6"/>
        <v/>
      </c>
      <c r="E118" s="4" t="str">
        <f t="shared" si="7"/>
        <v/>
      </c>
      <c r="F118" s="4" t="str">
        <f t="shared" si="11"/>
        <v/>
      </c>
      <c r="G118" s="4" t="str">
        <f t="shared" si="10"/>
        <v/>
      </c>
      <c r="H118" s="4" t="str">
        <f t="shared" si="8"/>
        <v/>
      </c>
    </row>
    <row r="119" spans="1:8" x14ac:dyDescent="0.3">
      <c r="A119" s="19"/>
      <c r="B119" s="24" t="str">
        <f t="shared" si="9"/>
        <v/>
      </c>
      <c r="C119" s="20"/>
      <c r="D119" s="21" t="str">
        <f t="shared" si="6"/>
        <v/>
      </c>
      <c r="E119" s="21" t="str">
        <f t="shared" si="7"/>
        <v/>
      </c>
      <c r="F119" s="21" t="str">
        <f t="shared" si="11"/>
        <v/>
      </c>
      <c r="G119" s="21" t="str">
        <f t="shared" si="10"/>
        <v/>
      </c>
      <c r="H119" s="21" t="str">
        <f t="shared" si="8"/>
        <v/>
      </c>
    </row>
    <row r="120" spans="1:8" x14ac:dyDescent="0.3">
      <c r="A120" s="2"/>
      <c r="B120" s="23" t="str">
        <f t="shared" si="9"/>
        <v/>
      </c>
      <c r="C120" s="3"/>
      <c r="D120" s="4" t="str">
        <f t="shared" si="6"/>
        <v/>
      </c>
      <c r="E120" s="4" t="str">
        <f t="shared" si="7"/>
        <v/>
      </c>
      <c r="F120" s="4" t="str">
        <f t="shared" si="11"/>
        <v/>
      </c>
      <c r="G120" s="4" t="str">
        <f t="shared" si="10"/>
        <v/>
      </c>
      <c r="H120" s="4" t="str">
        <f t="shared" si="8"/>
        <v/>
      </c>
    </row>
    <row r="121" spans="1:8" x14ac:dyDescent="0.3">
      <c r="A121" s="19"/>
      <c r="B121" s="24" t="str">
        <f t="shared" si="9"/>
        <v/>
      </c>
      <c r="C121" s="20"/>
      <c r="D121" s="21" t="str">
        <f t="shared" si="6"/>
        <v/>
      </c>
      <c r="E121" s="21" t="str">
        <f t="shared" si="7"/>
        <v/>
      </c>
      <c r="F121" s="21" t="str">
        <f t="shared" si="11"/>
        <v/>
      </c>
      <c r="G121" s="21" t="str">
        <f t="shared" si="10"/>
        <v/>
      </c>
      <c r="H121" s="21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206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2026-10-13T06:39:39Z</dcterms:modified>
</cp:coreProperties>
</file>