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7" i="4"/>
  <c r="K16" i="4" l="1"/>
  <c r="K17" i="4" s="1"/>
  <c r="K2" i="4" l="1"/>
  <c r="K12" i="4" l="1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s="1"/>
  <c r="E8" i="4" l="1"/>
  <c r="F8" i="4" s="1"/>
  <c r="G8" i="4" s="1"/>
  <c r="H7" i="4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H15" i="4" l="1"/>
  <c r="E16" i="4"/>
  <c r="F16" i="4" s="1"/>
  <c r="G16" i="4" s="1"/>
  <c r="K14" i="4" s="1"/>
  <c r="H16" i="4" l="1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<sst xmlns="http://schemas.openxmlformats.org/spreadsheetml/2006/main" count="25" uniqueCount="24">
  <si>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</si>
  <si>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</si>
  <si>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</si>
  <si>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</si>
  <si>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</si>
  <si>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</si>
  <si>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</si>
  <si>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</si>
  <si>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</si>
  <si>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</si>
  <si>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</si>
  <si>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</si>
  <si>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</si>
  <si>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</si>
  <si>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</si>
  <si>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</si>
  <si>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</si>
  <si>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</si>
  <si>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</si>
  <si>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</si>
  <si>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</si>
  <si>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Salam_Bidyalaxmi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</si>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</sst>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14" activePane="bottomLeft" state="frozen"/>
      <selection pane="bottomLeft" activeCell="B28" sqref="B28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46095</v>
      </c>
      <c r="B2" s="23">
        <f>IF(A2&lt;&gt;"",1,"")</f>
        <v>1</v>
      </c>
      <c r="C2" s="3"/>
      <c r="D2" s="4">
        <f t="shared" ref="D2:D33" si="0">IF(AND($A2&lt;&gt;"",$B2&lt;&gt;""),$K$9,"")</f>
        <v>150</v>
      </c>
      <c r="E2" s="4">
        <f>IF(AND($A2&lt;&gt;"",$B2&lt;&gt;""),$K$7*$K$8,"")</f>
        <v>46.04325526141502</v>
      </c>
      <c r="F2" s="4">
        <f>IF(AND($A2&lt;&gt;"",$B2&lt;&gt;""),D2-E2,"")</f>
        <v>103.95674473858497</v>
      </c>
      <c r="G2" s="4">
        <f>IF(AND($A2&lt;&gt;"",$B2&lt;&gt;""),$K$7-F2,"")</f>
        <v>4896.0432552614147</v>
      </c>
      <c r="H2" s="4">
        <f>IF(AND($A2&lt;&gt;"",$B2&lt;&gt;""),$K$7-G2,"")</f>
        <v>103.95674473858526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L5000D40-Salam_Bidyalaxmi-NLoan1</v>
      </c>
    </row>
    <row r="3" spans="1:12" x14ac:dyDescent="0.3">
      <c r="A3" s="19">
        <v>46098</v>
      </c>
      <c r="B3" s="24">
        <f>IF(A3&lt;&gt;"",B2+1,"")</f>
        <v>2</v>
      </c>
      <c r="C3" s="20"/>
      <c r="D3" s="21">
        <f t="shared" si="0"/>
        <v>150</v>
      </c>
      <c r="E3" s="21">
        <f t="shared" ref="E3:E34" si="1">IF(AND($A3&lt;&gt;"",$B3&lt;&gt;""),G2*$K$8,"")</f>
        <v>45.085953874586131</v>
      </c>
      <c r="F3" s="21">
        <f>IF(AND($A3&lt;&gt;"",$B3&lt;&gt;""),D3-E3,"")</f>
        <v>104.91404612541388</v>
      </c>
      <c r="G3" s="21">
        <f>IF(AND($A3&lt;&gt;"",$B3&lt;&gt;""),G2-F3,"")</f>
        <v>4791.129209136001</v>
      </c>
      <c r="H3" s="21">
        <f t="shared" ref="H3:H34" si="2">IF(AND($A3&lt;&gt;"",$B3&lt;&gt;""),$K$7-G3,"")</f>
        <v>208.87079086399899</v>
      </c>
      <c r="J3" s="5" t="s">
        <v>10</v>
      </c>
      <c r="K3" s="27" t="s">
        <v>21</v>
      </c>
    </row>
    <row r="4" spans="1:12" x14ac:dyDescent="0.3">
      <c r="A4" s="2">
        <v>46099</v>
      </c>
      <c r="B4" s="23">
        <f t="shared" ref="B4:B67" si="3">IF(A4&lt;&gt;"",B3+1,"")</f>
        <v>3</v>
      </c>
      <c r="C4" s="3"/>
      <c r="D4" s="4">
        <f t="shared" si="0"/>
        <v>150</v>
      </c>
      <c r="E4" s="4">
        <f t="shared" si="1"/>
        <v>44.119837033334072</v>
      </c>
      <c r="F4" s="4">
        <f>IF(AND($A4&lt;&gt;"",$B4&lt;&gt;""),D4-E4,"")</f>
        <v>105.88016296666592</v>
      </c>
      <c r="G4" s="4">
        <f>IF(AND($A4&lt;&gt;"",$B4&lt;&gt;""),G3-F4,"")</f>
        <v>4685.2490461693351</v>
      </c>
      <c r="H4" s="4">
        <f t="shared" si="2"/>
        <v>314.75095383066491</v>
      </c>
      <c r="J4" s="5" t="s">
        <v>11</v>
      </c>
      <c r="K4" s="27"/>
    </row>
    <row r="5" spans="1:12" x14ac:dyDescent="0.3">
      <c r="A5" s="19">
        <v>46103</v>
      </c>
      <c r="B5" s="24">
        <f t="shared" si="3"/>
        <v>4</v>
      </c>
      <c r="C5" s="20"/>
      <c r="D5" s="21">
        <f t="shared" si="0"/>
        <v>150</v>
      </c>
      <c r="E5" s="21">
        <f t="shared" si="1"/>
        <v>43.14482355921519</v>
      </c>
      <c r="F5" s="21">
        <f>IF(AND($A5&lt;&gt;"",$B5&lt;&gt;""),D5-E5,"")</f>
        <v>106.85517644078482</v>
      </c>
      <c r="G5" s="21">
        <f>IF(AND($A5&lt;&gt;"",$B5&lt;&gt;""),G4-F5,"")</f>
        <v>4578.3938697285503</v>
      </c>
      <c r="H5" s="21">
        <f t="shared" si="2"/>
        <v>421.60613027144973</v>
      </c>
      <c r="J5" s="5" t="s">
        <v>12</v>
      </c>
      <c r="K5" s="27"/>
    </row>
    <row r="6" spans="1:12" x14ac:dyDescent="0.3">
      <c r="A6" s="2">
        <v>46104</v>
      </c>
      <c r="B6" s="23">
        <f t="shared" si="3"/>
        <v>5</v>
      </c>
      <c r="C6" s="3"/>
      <c r="D6" s="4">
        <f t="shared" si="0"/>
        <v>150</v>
      </c>
      <c r="E6" s="4">
        <f t="shared" si="1"/>
        <v>42.160831526241871</v>
      </c>
      <c r="F6" s="4">
        <f>IF(AND($A6&lt;&gt;"",$B6&lt;&gt;""),D6-E6,"")</f>
        <v>107.83916847375812</v>
      </c>
      <c r="G6" s="4">
        <f t="shared" ref="G6:G69" si="4">IF(AND($A6&lt;&gt;"",$B6&lt;&gt;""),G5-F6,"")</f>
        <v>4470.5547012547922</v>
      </c>
      <c r="H6" s="4">
        <f t="shared" si="2"/>
        <v>529.44529874520777</v>
      </c>
      <c r="J6" s="5" t="s">
        <v>13</v>
      </c>
      <c r="K6" s="27"/>
    </row>
    <row r="7" spans="1:12" x14ac:dyDescent="0.3">
      <c r="A7" s="19">
        <v>46105</v>
      </c>
      <c r="B7" s="24">
        <f t="shared" si="3"/>
        <v>6</v>
      </c>
      <c r="C7" s="20"/>
      <c r="D7" s="21">
        <f t="shared" si="0"/>
        <v>150</v>
      </c>
      <c r="E7" s="21">
        <f t="shared" si="1"/>
        <v>41.167778253998677</v>
      </c>
      <c r="F7" s="21">
        <f t="shared" ref="F7:F70" si="5">IF(AND($A7&lt;&gt;"",$B7&lt;&gt;""),D7-E7,"")</f>
        <v>108.83222174600132</v>
      </c>
      <c r="G7" s="21">
        <f t="shared" si="4"/>
        <v>4361.7224795087914</v>
      </c>
      <c r="H7" s="21">
        <f t="shared" si="2"/>
        <v>638.27752049120863</v>
      </c>
      <c r="J7" s="5" t="s">
        <v>7</v>
      </c>
      <c r="K7" s="28">
        <v>5000</v>
      </c>
    </row>
    <row r="8" spans="1:12" x14ac:dyDescent="0.3">
      <c r="A8" s="2">
        <v>46108</v>
      </c>
      <c r="B8" s="23">
        <f t="shared" si="3"/>
        <v>7</v>
      </c>
      <c r="C8" s="3"/>
      <c r="D8" s="4">
        <f t="shared" si="0"/>
        <v>150</v>
      </c>
      <c r="E8" s="4">
        <f t="shared" si="1"/>
        <v>40.165580300695069</v>
      </c>
      <c r="F8" s="4">
        <f t="shared" si="5"/>
        <v>109.83441969930493</v>
      </c>
      <c r="G8" s="4">
        <f t="shared" si="4"/>
        <v>4251.8880598094865</v>
      </c>
      <c r="H8" s="4">
        <f t="shared" si="2"/>
        <v>748.11194019051345</v>
      </c>
      <c r="J8" s="5" t="s">
        <v>14</v>
      </c>
      <c r="K8" s="29">
        <f>RATE(K10,-K9,K7)</f>
        <v>9.2086510522830043E-3</v>
      </c>
    </row>
    <row r="9" spans="1:12" x14ac:dyDescent="0.3">
      <c r="A9" s="19">
        <v>46109</v>
      </c>
      <c r="B9" s="24">
        <f t="shared" si="3"/>
        <v>8</v>
      </c>
      <c r="C9" s="20"/>
      <c r="D9" s="21">
        <f t="shared" si="0"/>
        <v>150</v>
      </c>
      <c r="E9" s="21">
        <f t="shared" si="1"/>
        <v>39.15415345615417</v>
      </c>
      <c r="F9" s="21">
        <f t="shared" si="5"/>
        <v>110.84584654384582</v>
      </c>
      <c r="G9" s="21">
        <f t="shared" si="4"/>
        <v>4141.0422132656404</v>
      </c>
      <c r="H9" s="21">
        <f t="shared" si="2"/>
        <v>858.95778673435962</v>
      </c>
      <c r="J9" s="5" t="s">
        <v>8</v>
      </c>
      <c r="K9" s="30">
        <v>150</v>
      </c>
    </row>
    <row r="10" spans="1:12" x14ac:dyDescent="0.3">
      <c r="A10" s="2">
        <v>46112</v>
      </c>
      <c r="B10" s="23">
        <f t="shared" si="3"/>
        <v>9</v>
      </c>
      <c r="C10" s="3"/>
      <c r="D10" s="4">
        <f t="shared" si="0"/>
        <v>150</v>
      </c>
      <c r="E10" s="4">
        <f t="shared" si="1"/>
        <v>38.133412734736979</v>
      </c>
      <c r="F10" s="4">
        <f t="shared" si="5"/>
        <v>111.86658726526302</v>
      </c>
      <c r="G10" s="4">
        <f t="shared" si="4"/>
        <v>4029.1756260003772</v>
      </c>
      <c r="H10" s="4">
        <f t="shared" si="2"/>
        <v>970.82437399962282</v>
      </c>
      <c r="J10" s="5" t="s">
        <v>15</v>
      </c>
      <c r="K10" s="31">
        <v>40</v>
      </c>
    </row>
    <row r="11" spans="1:12" ht="17.25" thickBot="1" x14ac:dyDescent="0.35">
      <c r="A11" s="19">
        <v>46129</v>
      </c>
      <c r="B11" s="24">
        <f t="shared" si="3"/>
        <v>10</v>
      </c>
      <c r="C11" s="20"/>
      <c r="D11" s="21">
        <f t="shared" si="0"/>
        <v>150</v>
      </c>
      <c r="E11" s="21">
        <f t="shared" si="1"/>
        <v>37.103272368201409</v>
      </c>
      <c r="F11" s="21">
        <f t="shared" si="5"/>
        <v>112.8967276317986</v>
      </c>
      <c r="G11" s="21">
        <f t="shared" si="4"/>
        <v>3916.2788983685787</v>
      </c>
      <c r="H11" s="21">
        <f t="shared" si="2"/>
        <v>1083.7211016314213</v>
      </c>
      <c r="J11" s="8"/>
      <c r="L11" s="22"/>
    </row>
    <row r="12" spans="1:12" x14ac:dyDescent="0.3">
      <c r="A12" s="2">
        <v>46153</v>
      </c>
      <c r="B12" s="23">
        <f t="shared" si="3"/>
        <v>11</v>
      </c>
      <c r="C12" s="3"/>
      <c r="D12" s="4">
        <f t="shared" si="0"/>
        <v>150</v>
      </c>
      <c r="E12" s="4">
        <f t="shared" si="1"/>
        <v>36.063645798495536</v>
      </c>
      <c r="F12" s="4">
        <f t="shared" si="5"/>
        <v>113.93635420150446</v>
      </c>
      <c r="G12" s="4">
        <f t="shared" si="4"/>
        <v>3802.3425441670743</v>
      </c>
      <c r="H12" s="4">
        <f t="shared" si="2"/>
        <v>1197.6574558329257</v>
      </c>
      <c r="J12" s="9" t="s">
        <v>16</v>
      </c>
      <c r="K12" s="10">
        <f>IFERROR(MAX($B:$B),"")</f>
        <v>27</v>
      </c>
    </row>
    <row r="13" spans="1:12" x14ac:dyDescent="0.3">
      <c r="A13" s="19">
        <v>46157</v>
      </c>
      <c r="B13" s="24">
        <f t="shared" si="3"/>
        <v>12</v>
      </c>
      <c r="C13" s="20"/>
      <c r="D13" s="21">
        <f t="shared" si="0"/>
        <v>150</v>
      </c>
      <c r="E13" s="21">
        <f t="shared" si="1"/>
        <v>35.014445670484562</v>
      </c>
      <c r="F13" s="21">
        <f t="shared" si="5"/>
        <v>114.98555432951544</v>
      </c>
      <c r="G13" s="21">
        <f t="shared" si="4"/>
        <v>3687.356989837559</v>
      </c>
      <c r="H13" s="21">
        <f t="shared" si="2"/>
        <v>1312.643010162441</v>
      </c>
      <c r="J13" s="26" t="s">
        <v>22</v>
      </c>
      <c r="K13" s="12">
        <f>(K10*K9)-K9*K12</f>
        <v>1950</v>
      </c>
    </row>
    <row r="14" spans="1:12" x14ac:dyDescent="0.3">
      <c r="A14" s="2">
        <v>46176</v>
      </c>
      <c r="B14" s="23">
        <f t="shared" si="3"/>
        <v>13</v>
      </c>
      <c r="C14" s="3"/>
      <c r="D14" s="4">
        <f t="shared" si="0"/>
        <v>150</v>
      </c>
      <c r="E14" s="4">
        <f t="shared" si="1"/>
        <v>33.955583824610727</v>
      </c>
      <c r="F14" s="4">
        <f t="shared" si="5"/>
        <v>116.04441617538927</v>
      </c>
      <c r="G14" s="4">
        <f t="shared" si="4"/>
        <v>3571.3125736621696</v>
      </c>
      <c r="H14" s="4">
        <f t="shared" si="2"/>
        <v>1428.6874263378304</v>
      </c>
      <c r="J14" s="11" t="s">
        <v>23</v>
      </c>
      <c r="K14" s="12">
        <f>IF(A2="", K9*K10, IFERROR(INDEX($G:$G, MATCH($K$12, $B:$B, 0)), 0))</f>
        <v>1829.8827748738483</v>
      </c>
    </row>
    <row r="15" spans="1:12" ht="17.25" thickBot="1" x14ac:dyDescent="0.35">
      <c r="A15" s="19">
        <v>46178</v>
      </c>
      <c r="B15" s="24">
        <f t="shared" si="3"/>
        <v>14</v>
      </c>
      <c r="C15" s="20"/>
      <c r="D15" s="21">
        <f t="shared" si="0"/>
        <v>150</v>
      </c>
      <c r="E15" s="21">
        <f t="shared" si="1"/>
        <v>32.886971289485665</v>
      </c>
      <c r="F15" s="21">
        <f t="shared" si="5"/>
        <v>117.11302871051433</v>
      </c>
      <c r="G15" s="21">
        <f t="shared" si="4"/>
        <v>3454.1995449516553</v>
      </c>
      <c r="H15" s="21">
        <f t="shared" si="2"/>
        <v>1545.8004550483447</v>
      </c>
      <c r="J15" s="13" t="s">
        <v>6</v>
      </c>
      <c r="K15" s="14">
        <f>IFERROR(INDEX($H:$H, MATCH($K$12, $B:$B, 0)), 0)</f>
        <v>3170.1172251261514</v>
      </c>
    </row>
    <row r="16" spans="1:12" x14ac:dyDescent="0.3">
      <c r="A16" s="2">
        <v>46179</v>
      </c>
      <c r="B16" s="23">
        <f t="shared" si="3"/>
        <v>15</v>
      </c>
      <c r="C16" s="3"/>
      <c r="D16" s="4">
        <f t="shared" si="0"/>
        <v>150</v>
      </c>
      <c r="E16" s="4">
        <f t="shared" si="1"/>
        <v>31.808518274414535</v>
      </c>
      <c r="F16" s="4">
        <f t="shared" si="5"/>
        <v>118.19148172558546</v>
      </c>
      <c r="G16" s="4">
        <f t="shared" si="4"/>
        <v>3336.0080632260697</v>
      </c>
      <c r="H16" s="4">
        <f t="shared" si="2"/>
        <v>1663.9919367739303</v>
      </c>
      <c r="J16" s="15" t="s">
        <v>18</v>
      </c>
      <c r="K16" s="16">
        <f>IF(A2,A2, "")</f>
        <v>46095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150</v>
      </c>
      <c r="E17" s="21">
        <f t="shared" si="1"/>
        <v>30.720134161851334</v>
      </c>
      <c r="F17" s="21">
        <f t="shared" si="5"/>
        <v>119.27986583814867</v>
      </c>
      <c r="G17" s="21">
        <f t="shared" si="4"/>
        <v>3216.7281973879212</v>
      </c>
      <c r="H17" s="21">
        <f t="shared" si="2"/>
        <v>1783.2718026120788</v>
      </c>
      <c r="J17" s="17" t="s">
        <v>19</v>
      </c>
      <c r="K17" s="18">
        <f xml:space="preserve"> IF(A2,(K16 + 120),"")</f>
        <v>46215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150</v>
      </c>
      <c r="E18" s="4">
        <f t="shared" si="1"/>
        <v>29.621727499784694</v>
      </c>
      <c r="F18" s="4">
        <f t="shared" si="5"/>
        <v>120.3782725002153</v>
      </c>
      <c r="G18" s="4">
        <f t="shared" si="4"/>
        <v>3096.349924887706</v>
      </c>
      <c r="H18" s="4">
        <f t="shared" si="2"/>
        <v>1903.650075112294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150</v>
      </c>
      <c r="E19" s="21">
        <f t="shared" si="1"/>
        <v>28.513205994053575</v>
      </c>
      <c r="F19" s="21">
        <f t="shared" si="5"/>
        <v>121.48679400594642</v>
      </c>
      <c r="G19" s="21">
        <f t="shared" si="4"/>
        <v>2974.8631308817594</v>
      </c>
      <c r="H19" s="21">
        <f t="shared" si="2"/>
        <v>2025.1368691182406</v>
      </c>
    </row>
    <row r="20" spans="1:11" x14ac:dyDescent="0.3">
      <c r="A20" s="2">
        <v>46197</v>
      </c>
      <c r="B20" s="23">
        <f t="shared" si="3"/>
        <v>19</v>
      </c>
      <c r="C20" s="3"/>
      <c r="D20" s="4">
        <f t="shared" si="0"/>
        <v>150</v>
      </c>
      <c r="E20" s="4">
        <f t="shared" si="1"/>
        <v>27.394476500592226</v>
      </c>
      <c r="F20" s="4">
        <f t="shared" si="5"/>
        <v>122.60552349940778</v>
      </c>
      <c r="G20" s="4">
        <f t="shared" si="4"/>
        <v>2852.2576073823516</v>
      </c>
      <c r="H20" s="4">
        <f t="shared" si="2"/>
        <v>2147.7423926176484</v>
      </c>
      <c r="J20" s="22"/>
      <c r="K20" s="22"/>
    </row>
    <row r="21" spans="1:11" x14ac:dyDescent="0.3">
      <c r="A21" s="19">
        <v>46198</v>
      </c>
      <c r="B21" s="24">
        <f t="shared" si="3"/>
        <v>20</v>
      </c>
      <c r="C21" s="20"/>
      <c r="D21" s="21">
        <f t="shared" si="0"/>
        <v>150</v>
      </c>
      <c r="E21" s="21">
        <f t="shared" si="1"/>
        <v>26.265445017603696</v>
      </c>
      <c r="F21" s="21">
        <f t="shared" si="5"/>
        <v>123.7345549823963</v>
      </c>
      <c r="G21" s="21">
        <f t="shared" si="4"/>
        <v>2728.5230523999553</v>
      </c>
      <c r="H21" s="21">
        <f t="shared" si="2"/>
        <v>2271.4769476000447</v>
      </c>
    </row>
    <row r="22" spans="1:11" x14ac:dyDescent="0.3">
      <c r="A22" s="2">
        <v>46199</v>
      </c>
      <c r="B22" s="23">
        <f t="shared" si="3"/>
        <v>21</v>
      </c>
      <c r="C22" s="3"/>
      <c r="D22" s="4">
        <f t="shared" si="0"/>
        <v>150</v>
      </c>
      <c r="E22" s="4">
        <f t="shared" si="1"/>
        <v>25.126016677661283</v>
      </c>
      <c r="F22" s="4">
        <f t="shared" si="5"/>
        <v>124.87398332233872</v>
      </c>
      <c r="G22" s="4">
        <f t="shared" si="4"/>
        <v>2603.6490690776168</v>
      </c>
      <c r="H22" s="4">
        <f t="shared" si="2"/>
        <v>2396.3509309223832</v>
      </c>
    </row>
    <row r="23" spans="1:11" x14ac:dyDescent="0.3">
      <c r="A23" s="19">
        <v>46201</v>
      </c>
      <c r="B23" s="24">
        <f t="shared" si="3"/>
        <v>22</v>
      </c>
      <c r="C23" s="20"/>
      <c r="D23" s="21">
        <f t="shared" si="0"/>
        <v>150</v>
      </c>
      <c r="E23" s="21">
        <f t="shared" si="1"/>
        <v>23.976095739737261</v>
      </c>
      <c r="F23" s="21">
        <f t="shared" si="5"/>
        <v>126.02390426026274</v>
      </c>
      <c r="G23" s="21">
        <f t="shared" si="4"/>
        <v>2477.6251648173538</v>
      </c>
      <c r="H23" s="21">
        <f t="shared" si="2"/>
        <v>2522.3748351826462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150</v>
      </c>
      <c r="E24" s="4">
        <f t="shared" si="1"/>
        <v>22.815585581158178</v>
      </c>
      <c r="F24" s="4">
        <f t="shared" si="5"/>
        <v>127.18441441884183</v>
      </c>
      <c r="G24" s="4">
        <f t="shared" si="4"/>
        <v>2350.4407503985121</v>
      </c>
      <c r="H24" s="4">
        <f t="shared" si="2"/>
        <v>2649.5592496014879</v>
      </c>
    </row>
    <row r="25" spans="1:11" x14ac:dyDescent="0.3">
      <c r="A25" s="19">
        <v>46207</v>
      </c>
      <c r="B25" s="24">
        <f t="shared" si="3"/>
        <v>24</v>
      </c>
      <c r="C25" s="20"/>
      <c r="D25" s="21">
        <f t="shared" si="0"/>
        <v>150</v>
      </c>
      <c r="E25" s="21">
        <f t="shared" si="1"/>
        <v>21.644388689486114</v>
      </c>
      <c r="F25" s="21">
        <f t="shared" si="5"/>
        <v>128.35561131051389</v>
      </c>
      <c r="G25" s="21">
        <f t="shared" si="4"/>
        <v>2222.0851390879984</v>
      </c>
      <c r="H25" s="21">
        <f t="shared" si="2"/>
        <v>2777.9148609120016</v>
      </c>
    </row>
    <row r="26" spans="1:11" x14ac:dyDescent="0.3">
      <c r="A26" s="2">
        <v>46207</v>
      </c>
      <c r="B26" s="23">
        <f t="shared" si="3"/>
        <v>25</v>
      </c>
      <c r="C26" s="3"/>
      <c r="D26" s="4">
        <f t="shared" si="0"/>
        <v>150</v>
      </c>
      <c r="E26" s="4">
        <f t="shared" si="1"/>
        <v>20.462406654325122</v>
      </c>
      <c r="F26" s="4">
        <f t="shared" si="5"/>
        <v>129.53759334567488</v>
      </c>
      <c r="G26" s="4">
        <f t="shared" si="4"/>
        <v>2092.5475457423236</v>
      </c>
      <c r="H26" s="4">
        <f t="shared" si="2"/>
        <v>2907.4524542576764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150</v>
      </c>
      <c r="E27" s="21">
        <f t="shared" si="1"/>
        <v>19.269540159052266</v>
      </c>
      <c r="F27" s="21">
        <f t="shared" si="5"/>
        <v>130.73045984094773</v>
      </c>
      <c r="G27" s="21">
        <f t="shared" si="4"/>
        <v>1961.8170859013758</v>
      </c>
      <c r="H27" s="21">
        <f t="shared" si="2"/>
        <v>3038.1829140986242</v>
      </c>
    </row>
    <row r="28" spans="1:11" x14ac:dyDescent="0.3">
      <c r="A28" s="2">
        <v>46213</v>
      </c>
      <c r="B28" s="23">
        <f t="shared" si="3"/>
        <v>27</v>
      </c>
      <c r="C28" s="3"/>
      <c r="D28" s="4">
        <f t="shared" si="0"/>
        <v>150</v>
      </c>
      <c r="E28" s="4">
        <f t="shared" si="1"/>
        <v>18.065688972472483</v>
      </c>
      <c r="F28" s="4">
        <f t="shared" si="5"/>
        <v>131.93431102752751</v>
      </c>
      <c r="G28" s="4">
        <f t="shared" si="4"/>
        <v>1829.8827748738483</v>
      </c>
      <c r="H28" s="4">
        <f t="shared" si="2"/>
        <v>3170.1172251261514</v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HJMWxkNQnmDv1b+Ag1BSlpU0xGecKcF7SzfA0mG0ZTw2MJXpdk+16nfzBCNNsu6uThZtXajZ1B2kQ9G3cq8d0w==" saltValue="fYvKvOOukHr1hNRroO6Q4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2026-07-14T04:02:58Z</dcterms:modified>
</cp:coreProperties>
</file>