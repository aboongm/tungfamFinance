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8" i="5" l="1"/>
  <c r="B17" i="5"/>
  <c r="B16" i="5"/>
  <c r="B15" i="5"/>
  <c r="B14" i="5"/>
  <c r="B13" i="5"/>
  <c r="B12" i="5"/>
  <c r="B11" i="5"/>
  <c r="B3" i="5"/>
  <c r="B4" i="5" s="1"/>
  <c r="B5" i="5" s="1"/>
  <c r="B6" i="5" s="1"/>
  <c r="B7" i="5" s="1"/>
  <c r="B8" i="5" s="1"/>
  <c r="B9" i="5" s="1"/>
  <c r="B10" i="5" s="1"/>
  <c r="B2" i="5"/>
  <c r="K16" i="5" l="1"/>
  <c r="K2" i="5"/>
  <c r="K17" i="5" l="1"/>
  <c r="K12" i="5"/>
  <c r="D3" i="5"/>
  <c r="E2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F2" i="5"/>
  <c r="G2" i="5" s="1"/>
  <c r="H2" i="5" l="1"/>
  <c r="E3" i="5"/>
  <c r="F3" i="5" s="1"/>
  <c r="G3" i="5" s="1"/>
  <c r="E4" i="5" s="1"/>
  <c r="F4" i="5" s="1"/>
  <c r="G4" i="5" s="1"/>
  <c r="H4" i="5" s="1"/>
  <c r="K8" i="5"/>
  <c r="K14" i="5" l="1"/>
  <c r="H3" i="5"/>
  <c r="E5" i="5" l="1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<sst xmlns="http://schemas.openxmlformats.org/spreadsheetml/2006/main" count="25" uniqueCount="24">
  <si>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</si>
  <si>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</si>
  <si>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</si>
  <si>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</si>
  <si>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</si>
  <si>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</si>
  <si>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</si>
  <si>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</si>
  <si>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</si>
  <si>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</si>
  <si>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</si>
  <si>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</si>
  <si>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</si>
  <si>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</si>
  <si>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</si>
  <si>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</si>
  <si>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</si>
  <si>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</si>
  <si>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</si>
  <si>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</si>
  <si>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</si>
  <si>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L_Gomti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</si>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</sst>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46185</v>
      </c>
      <c r="B2" s="22">
        <f>IF(A2&lt;&gt;"",1,"")</f>
        <v>1</v>
      </c>
      <c r="C2" s="3"/>
      <c r="D2" s="1">
        <f t="shared" ref="D2:D18" si="0">IF(AND($A2&lt;&gt;"",$B2&lt;&gt;""),$K$9,"")</f>
        <v>1400</v>
      </c>
      <c r="E2" s="1">
        <f>IF(AND($A2&lt;&gt;"",$B2&lt;&gt;""),$K$7*$K$8,"")</f>
        <v>401.03124158893064</v>
      </c>
      <c r="F2" s="1">
        <f>IF(AND($A2&lt;&gt;"",$B2&lt;&gt;""),D2-E2,"")</f>
        <v>998.9687584110693</v>
      </c>
      <c r="G2" s="1">
        <f>IF(AND($A2&lt;&gt;"",$B2&lt;&gt;""),$K$7-F2,"")</f>
        <v>19001.031241588931</v>
      </c>
      <c r="H2" s="1">
        <f>IF(AND($A2&lt;&gt;"",$B2&lt;&gt;""),$K$7-G2,"")</f>
        <v>998.96875841106885</v>
      </c>
      <c r="J2" s="4" t="s">
        <v>17</v>
      </c>
      <c r="K2" s="29" t="str">
        <f ca="1">IF(K3&lt;&gt;"",
   "L" &amp; TEXT(K7,"0") &amp;
   IF(J10="Weeks","W","D") &amp; K10 &amp;
   "-" &amp; K3 &amp;
   "-N" &amp; RIGHT(CELL("filename",A1),LEN(CELL("filename",A1))-FIND("]",CELL("filename",A1))),
   "")</f>
        <v>L20000W17-L_Gomti-NLoan1</v>
      </c>
    </row>
    <row r="3" spans="1:11" x14ac:dyDescent="0.3">
      <c r="A3" s="19">
        <v>46192</v>
      </c>
      <c r="B3" s="23">
        <f>IF(A3&lt;&gt;"",B2+1,"")</f>
        <v>2</v>
      </c>
      <c r="C3" s="20"/>
      <c r="D3" s="21">
        <f t="shared" si="0"/>
        <v>1400</v>
      </c>
      <c r="E3" s="21">
        <f t="shared" ref="E3:E18" si="1">IF(AND($A3&lt;&gt;"",$B3&lt;&gt;""),G2*$K$8,"")</f>
        <v>381.00035751422342</v>
      </c>
      <c r="F3" s="21">
        <f>IF(AND($A3&lt;&gt;"",$B3&lt;&gt;""),D3-E3,"")</f>
        <v>1018.9996424857766</v>
      </c>
      <c r="G3" s="21">
        <f>IF(AND($A3&lt;&gt;"",$B3&lt;&gt;""),G2-F3,"")</f>
        <v>17982.031599103153</v>
      </c>
      <c r="H3" s="21">
        <f t="shared" ref="H3:H18" si="2">IF(AND($A3&lt;&gt;"",$B3&lt;&gt;""),$K$7-G3,"")</f>
        <v>2017.968400896847</v>
      </c>
      <c r="J3" s="4" t="s">
        <v>10</v>
      </c>
      <c r="K3" s="25" t="s">
        <v>21</v>
      </c>
    </row>
    <row r="4" spans="1:11" x14ac:dyDescent="0.3">
      <c r="A4" s="2">
        <v>46199</v>
      </c>
      <c r="B4" s="22">
        <f t="shared" ref="B4:B18" si="3">IF(A4&lt;&gt;"",B3+1,"")</f>
        <v>3</v>
      </c>
      <c r="C4" s="3"/>
      <c r="D4" s="1">
        <f t="shared" si="0"/>
        <v>1400</v>
      </c>
      <c r="E4" s="1">
        <f t="shared" si="1"/>
        <v>360.56782292398606</v>
      </c>
      <c r="F4" s="1">
        <f t="shared" ref="F4:F18" si="4">IF(AND($A4&lt;&gt;"",$B4&lt;&gt;""),D4-E4,"")</f>
        <v>1039.4321770760139</v>
      </c>
      <c r="G4" s="1">
        <f t="shared" ref="G4:G18" si="5">IF(AND($A4&lt;&gt;"",$B4&lt;&gt;""),G3-F4,"")</f>
        <v>16942.599422027139</v>
      </c>
      <c r="H4" s="1">
        <f t="shared" si="2"/>
        <v>3057.4005779728614</v>
      </c>
      <c r="J4" s="4" t="s">
        <v>11</v>
      </c>
      <c r="K4" s="25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5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5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6">
        <v>20000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7">
        <v>1400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8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22</v>
      </c>
      <c r="K13" s="11">
        <f>(K10*K9)-K9*K12</f>
        <v>19600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23</v>
      </c>
      <c r="K14" s="11">
        <f>IF(A2="", K9*K10, IFERROR(INDEX($G:$G, MATCH($K$12, $B:$B, 0)), 0))</f>
        <v>16942.599422027139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3057.4005779728614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46185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46304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YxwJp52GrHLNW8detSBgZVzyJbQ+evoq0edjvrOQnSENOH1jOgewXrAXAJ97/oILEGX4fGVculQiS8oWGqOAJg==" saltValue="Spri8bly5IiG6ZoTXTeJBg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2026-06-27T06:34:53Z</dcterms:modified>
</cp:coreProperties>
</file>