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228" sheetId="7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7" i="7" l="1"/>
  <c r="K16" i="7"/>
  <c r="K14" i="7"/>
  <c r="K12" i="7"/>
  <c r="K13" i="7" s="1"/>
  <c r="K8" i="7"/>
  <c r="K2" i="7"/>
  <c r="B3" i="7"/>
  <c r="B2" i="7"/>
  <c r="G2" i="7" s="1"/>
  <c r="H2" i="7" s="1"/>
  <c r="K15" i="7" l="1"/>
  <c r="D2" i="7"/>
  <c r="F2" i="7" s="1"/>
  <c r="E2" i="7"/>
  <c r="D3" i="7"/>
  <c r="E3" i="7"/>
  <c r="F3" i="7" s="1"/>
  <c r="G3" i="7" s="1"/>
  <c r="H3" i="7" s="1"/>
  <c r="B4" i="7"/>
  <c r="B18" i="5"/>
  <c r="B17" i="5"/>
  <c r="B16" i="5"/>
  <c r="B15" i="5"/>
  <c r="B14" i="5"/>
  <c r="B13" i="5"/>
  <c r="B12" i="5"/>
  <c r="B11" i="5"/>
  <c r="B3" i="5"/>
  <c r="B4" i="5" s="1"/>
  <c r="B5" i="5" s="1"/>
  <c r="B6" i="5" s="1"/>
  <c r="B7" i="5" s="1"/>
  <c r="B8" i="5" s="1"/>
  <c r="B9" i="5" s="1"/>
  <c r="B10" i="5" s="1"/>
  <c r="B2" i="5"/>
  <c r="D4" i="7" l="1"/>
  <c r="F4" i="7"/>
  <c r="G4" i="7" s="1"/>
  <c r="H4" i="7" s="1"/>
  <c r="B5" i="7"/>
  <c r="E4" i="7"/>
  <c r="K16" i="5"/>
  <c r="K2" i="5"/>
  <c r="B6" i="7" l="1"/>
  <c r="E5" i="7"/>
  <c r="D5" i="7"/>
  <c r="F5" i="7" s="1"/>
  <c r="G5" i="7" s="1"/>
  <c r="H5" i="7" s="1"/>
  <c r="K17" i="5"/>
  <c r="K12" i="5"/>
  <c r="D3" i="5"/>
  <c r="E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D6" i="7" l="1"/>
  <c r="F6" i="7"/>
  <c r="G6" i="7" s="1"/>
  <c r="H6" i="7" s="1"/>
  <c r="B7" i="7"/>
  <c r="E6" i="7"/>
  <c r="K13" i="5"/>
  <c r="F2" i="5"/>
  <c r="G2" i="5" s="1"/>
  <c r="B8" i="7" l="1"/>
  <c r="E7" i="7"/>
  <c r="D7" i="7"/>
  <c r="F7" i="7" s="1"/>
  <c r="G7" i="7" s="1"/>
  <c r="H7" i="7" s="1"/>
  <c r="H2" i="5"/>
  <c r="E3" i="5"/>
  <c r="F3" i="5" s="1"/>
  <c r="G3" i="5" s="1"/>
  <c r="E4" i="5" s="1"/>
  <c r="F4" i="5" s="1"/>
  <c r="G4" i="5" s="1"/>
  <c r="H4" i="5" s="1"/>
  <c r="K8" i="5"/>
  <c r="D8" i="7" l="1"/>
  <c r="F8" i="7"/>
  <c r="G8" i="7" s="1"/>
  <c r="H8" i="7" s="1"/>
  <c r="B9" i="7"/>
  <c r="E8" i="7"/>
  <c r="H3" i="5"/>
  <c r="B10" i="7" l="1"/>
  <c r="E9" i="7"/>
  <c r="D9" i="7"/>
  <c r="F9" i="7" s="1"/>
  <c r="G9" i="7" s="1"/>
  <c r="H9" i="7" s="1"/>
  <c r="E5" i="5"/>
  <c r="F5" i="5" s="1"/>
  <c r="G5" i="5" s="1"/>
  <c r="D10" i="7" l="1"/>
  <c r="F10" i="7"/>
  <c r="G10" i="7" s="1"/>
  <c r="H10" i="7" s="1"/>
  <c r="B11" i="7"/>
  <c r="E10" i="7"/>
  <c r="H5" i="5"/>
  <c r="E6" i="5"/>
  <c r="F6" i="5" s="1"/>
  <c r="G6" i="5" s="1"/>
  <c r="H6" i="5" s="1"/>
  <c r="B12" i="7" l="1"/>
  <c r="E11" i="7"/>
  <c r="D11" i="7"/>
  <c r="F11" i="7" s="1"/>
  <c r="G11" i="7" s="1"/>
  <c r="H11" i="7" s="1"/>
  <c r="E7" i="5"/>
  <c r="F7" i="5" s="1"/>
  <c r="G7" i="5" s="1"/>
  <c r="H7" i="5" s="1"/>
  <c r="D12" i="7" l="1"/>
  <c r="F12" i="7"/>
  <c r="G12" i="7" s="1"/>
  <c r="H12" i="7" s="1"/>
  <c r="B13" i="7"/>
  <c r="E12" i="7"/>
  <c r="E8" i="5"/>
  <c r="F8" i="5" s="1"/>
  <c r="G8" i="5" s="1"/>
  <c r="H8" i="5" s="1"/>
  <c r="F13" i="7" l="1"/>
  <c r="G13" i="7" s="1"/>
  <c r="H13" i="7" s="1"/>
  <c r="B14" i="7"/>
  <c r="E13" i="7"/>
  <c r="D13" i="7"/>
  <c r="E9" i="5"/>
  <c r="F9" i="5" s="1"/>
  <c r="G9" i="5" s="1"/>
  <c r="H9" i="5" s="1"/>
  <c r="D14" i="7" l="1"/>
  <c r="F14" i="7" s="1"/>
  <c r="G14" i="7" s="1"/>
  <c r="H14" i="7" s="1"/>
  <c r="B15" i="7"/>
  <c r="E14" i="7"/>
  <c r="E10" i="5"/>
  <c r="F10" i="5" s="1"/>
  <c r="G10" i="5" s="1"/>
  <c r="H10" i="5" s="1"/>
  <c r="B16" i="7" l="1"/>
  <c r="E15" i="7"/>
  <c r="D15" i="7"/>
  <c r="F15" i="7" s="1"/>
  <c r="G15" i="7" s="1"/>
  <c r="H15" i="7" s="1"/>
  <c r="E11" i="5"/>
  <c r="F11" i="5" s="1"/>
  <c r="G11" i="5" s="1"/>
  <c r="H11" i="5" s="1"/>
  <c r="D16" i="7" l="1"/>
  <c r="B17" i="7"/>
  <c r="E16" i="7"/>
  <c r="F16" i="7" s="1"/>
  <c r="G16" i="7" s="1"/>
  <c r="H16" i="7" s="1"/>
  <c r="E12" i="5"/>
  <c r="F12" i="5" s="1"/>
  <c r="G12" i="5" s="1"/>
  <c r="H12" i="5" s="1"/>
  <c r="B18" i="7" l="1"/>
  <c r="E17" i="7"/>
  <c r="D17" i="7"/>
  <c r="F17" i="7" s="1"/>
  <c r="G17" i="7" s="1"/>
  <c r="H17" i="7" s="1"/>
  <c r="E13" i="5"/>
  <c r="F13" i="5" s="1"/>
  <c r="G13" i="5" s="1"/>
  <c r="H13" i="5" s="1"/>
  <c r="D18" i="7" l="1"/>
  <c r="F18" i="7"/>
  <c r="G18" i="7" s="1"/>
  <c r="H18" i="7" s="1"/>
  <c r="E18" i="7"/>
  <c r="E14" i="5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K14" i="5" l="1"/>
  <c r="H17" i="5"/>
  <c r="E18" i="5"/>
  <c r="F18" i="5" s="1"/>
  <c r="G18" i="5" s="1"/>
  <c r="H18" i="5" s="1"/>
  <c r="K15" i="5" l="1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<sst xmlns="http://schemas.openxmlformats.org/spreadsheetml/2006/main" count="50" uniqueCount="24">
  <si>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</si>
  <si>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</si>
  <si>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</si>
  <si>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</si>
  <si>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</si>
  <si>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</si>
  <si>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</si>
  <si>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</si>
  <si>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</si>
  <si>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</si>
  <si>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</si>
  <si>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</si>
  <si>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</si>
  <si>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</si>
  <si>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</si>
  <si>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</si>
  <si>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</si>
  <si>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</si>
  <si>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</si>
  <si>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</si>
  <si>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</si>
  <si>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L_Gomti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</si>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</sst>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K12" sqref="K12:K17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46185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9" t="str">
        <f ca="1">IF(K3&lt;&gt;"",
   "L" &amp; TEXT(K7,"0") &amp;
   IF(J10="Weeks","W","D") &amp; K10 &amp;
   "-" &amp; K3 &amp;
   "-N" &amp; RIGHT(CELL("filename",A1),LEN(CELL("filename",A1))-FIND("]",CELL("filename",A1))),
   "")</f>
        <v>L20000W17-L_Gomti-NLoan1</v>
      </c>
    </row>
    <row r="3" spans="1:11" x14ac:dyDescent="0.3">
      <c r="A3" s="19">
        <v>46192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5" t="s">
        <v>21</v>
      </c>
    </row>
    <row r="4" spans="1:11" x14ac:dyDescent="0.3">
      <c r="A4" s="2">
        <v>46199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5"/>
    </row>
    <row r="5" spans="1:11" x14ac:dyDescent="0.3">
      <c r="A5" s="19">
        <v>46206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5"/>
    </row>
    <row r="6" spans="1:11" x14ac:dyDescent="0.3">
      <c r="A6" s="2">
        <v>46213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5"/>
    </row>
    <row r="7" spans="1:11" x14ac:dyDescent="0.3">
      <c r="A7" s="19">
        <v>46220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6">
        <v>20000</v>
      </c>
    </row>
    <row r="8" spans="1:11" x14ac:dyDescent="0.3">
      <c r="A8" s="2">
        <v>46227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46234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7">
        <v>1400</v>
      </c>
    </row>
    <row r="10" spans="1:11" x14ac:dyDescent="0.3">
      <c r="A10" s="2">
        <v>46241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8">
        <v>17</v>
      </c>
    </row>
    <row r="11" spans="1:11" ht="17.25" thickBot="1" x14ac:dyDescent="0.35">
      <c r="A11" s="19">
        <v>46248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46255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46263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46269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46276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46283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46185</v>
      </c>
    </row>
    <row r="17" spans="1:11" x14ac:dyDescent="0.3">
      <c r="A17" s="19">
        <v>46290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46304</v>
      </c>
    </row>
    <row r="18" spans="1:11" x14ac:dyDescent="0.3">
      <c r="A18" s="2">
        <v>46290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YxwJp52GrHLNW8detSBgZVzyJbQ+evoq0edjvrOQnSENOH1jOgewXrAXAJ97/oILEGX4fGVculQiS8oWGqOAJg==" saltValue="Spri8bly5IiG6ZoTXTeJBg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K10" sqref="K10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/>
      <c r="B2" s="22" t="str">
        <f>IF(A2&lt;&gt;"",1,"")</f>
        <v/>
      </c>
      <c r="C2" s="3"/>
      <c r="D2" s="1" t="str">
        <f t="shared" ref="D2:D18" si="0">IF(AND($A2&lt;&gt;"",$B2&lt;&gt;""),$K$9,"")</f>
        <v/>
      </c>
      <c r="E2" s="1" t="str">
        <f>IF(AND($A2&lt;&gt;"",$B2&lt;&gt;""),$K$7*$K$8,"")</f>
        <v/>
      </c>
      <c r="F2" s="1" t="str">
        <f>IF(AND($A2&lt;&gt;"",$B2&lt;&gt;""),D2-E2,"")</f>
        <v/>
      </c>
      <c r="G2" s="1" t="str">
        <f>IF(AND($A2&lt;&gt;"",$B2&lt;&gt;""),$K$7-F2,"")</f>
        <v/>
      </c>
      <c r="H2" s="1" t="str">
        <f>IF(AND($A2&lt;&gt;"",$B2&lt;&gt;""),$K$7-G2,"")</f>
        <v/>
      </c>
      <c r="J2" s="4" t="s">
        <v>17</v>
      </c>
      <c r="K2" s="29" t="str">
        <f ca="1">IF(K3&lt;&gt;"",
   "L" &amp; TEXT(K7,"0") &amp;
   IF(J10="Weeks","W","D") &amp; K10 &amp;
   "-" &amp; K3 &amp;
   "-N" &amp; RIGHT(CELL("filename",A1),LEN(CELL("filename",A1))-FIND("]",CELL("filename",A1))),
   "")</f>
        <v>L30000W17-L_Gomti-N228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5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5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5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5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6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7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8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35700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35700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0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 t="str">
        <f xml:space="preserve"> IF(A2,(K16 + (17*7)),"")</f>
        <v/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228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2026-09-30T09:30:55Z</dcterms:modified>
</cp:coreProperties>
</file>