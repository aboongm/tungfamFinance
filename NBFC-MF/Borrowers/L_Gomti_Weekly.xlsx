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3" i="5"/>
  <c r="B4" i="5" s="1"/>
  <c r="B5" i="5" s="1"/>
  <c r="B6" i="5" s="1"/>
  <c r="B7" i="5" s="1"/>
  <c r="B8" i="5" s="1"/>
  <c r="B9" i="5" s="1"/>
  <c r="B10" i="5" s="1"/>
  <c r="B2" i="5"/>
  <c r="K16" i="5" l="1"/>
  <c r="K2" i="5"/>
  <c r="K17" i="5" l="1"/>
  <c r="K12" i="5"/>
  <c r="D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F2" i="5"/>
  <c r="G2" i="5" s="1"/>
  <c r="H2" i="5" l="1"/>
  <c r="E3" i="5"/>
  <c r="F3" i="5" s="1"/>
  <c r="G3" i="5" s="1"/>
  <c r="E4" i="5" s="1"/>
  <c r="F4" i="5" s="1"/>
  <c r="G4" i="5" s="1"/>
  <c r="H4" i="5" s="1"/>
  <c r="K8" i="5"/>
  <c r="H3" i="5" l="1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K14" i="5" l="1"/>
  <c r="E11" i="5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<sst xmlns="http://schemas.openxmlformats.org/spreadsheetml/2006/main" count="25" uniqueCount="24">
  <si>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</si>
  <si>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</si>
  <si>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</si>
  <si>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</si>
  <si>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</si>
  <si>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</si>
  <si>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</si>
  <si>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</si>
  <si>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</si>
  <si>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</si>
  <si>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</si>
  <si>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</si>
  <si>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</si>
  <si>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</si>
  <si>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</si>
  <si>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</si>
  <si>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</si>
  <si>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</si>
  <si>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</si>
  <si>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</si>
  <si>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</si>
  <si>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L_Gomti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</si>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</sst>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8" activePane="bottomLeft" state="frozen"/>
      <selection pane="bottomLeft" activeCell="A11" sqref="A11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46185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9" t="str">
        <f ca="1">IF(K3&lt;&gt;"",
   "L" &amp; TEXT(K7,"0") &amp;
   IF(J10="Weeks","W","D") &amp; K10 &amp;
   "-" &amp; K3 &amp;
   "-N" &amp; RIGHT(CELL("filename",A1),LEN(CELL("filename",A1))-FIND("]",CELL("filename",A1))),
   "")</f>
        <v>L20000W17-L_Gomti-NLoan1</v>
      </c>
    </row>
    <row r="3" spans="1:11" x14ac:dyDescent="0.3">
      <c r="A3" s="19">
        <v>46192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46199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46213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46220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46227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46234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7">
        <v>1400</v>
      </c>
    </row>
    <row r="10" spans="1:11" x14ac:dyDescent="0.3">
      <c r="A10" s="2">
        <v>46241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8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9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11200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10253.395313505431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9746.6046864945693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46185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YxwJp52GrHLNW8detSBgZVzyJbQ+evoq0edjvrOQnSENOH1jOgewXrAXAJ97/oILEGX4fGVculQiS8oWGqOAJg==" saltValue="Spri8bly5IiG6ZoTXTeJB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2026-08-07T11:59:50Z</dcterms:modified>
</cp:coreProperties>
</file>