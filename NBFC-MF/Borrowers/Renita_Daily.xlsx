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7" i="4" s="1"/>
  <c r="B8" i="4" s="1"/>
  <c r="B9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10" i="4"/>
  <c r="B11" i="4"/>
  <c r="K16" i="4" l="1"/>
  <c r="K17" i="4" s="1"/>
  <c r="K2" i="4" l="1"/>
  <c r="K12" i="4" l="1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E8" i="4" l="1"/>
  <c r="F8" i="4" s="1"/>
  <c r="G8" i="4" s="1"/>
  <c r="H7" i="4"/>
  <c r="H8" i="4" l="1"/>
  <c r="E9" i="4"/>
  <c r="F9" i="4" s="1"/>
  <c r="G9" i="4" s="1"/>
  <c r="K14" i="4" s="1"/>
  <c r="H9" i="4" l="1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<sst xmlns="http://schemas.openxmlformats.org/spreadsheetml/2006/main" count="25" uniqueCount="24">
  <si>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</si>
  <si>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</si>
  <si>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</si>
  <si>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</si>
  <si>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</si>
  <si>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</si>
  <si>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</si>
  <si>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</si>
  <si>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</si>
  <si>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</si>
  <si>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</si>
  <si>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</si>
  <si>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</si>
  <si>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</si>
  <si>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</si>
  <si>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</si>
  <si>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</si>
  <si>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</si>
  <si>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</si>
  <si>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</si>
  <si>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</si>
  <si>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Renita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</si>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</sst>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A11" sqref="A1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180</v>
      </c>
      <c r="E2" s="4">
        <f>IF(AND($A2&lt;&gt;"",$B2&lt;&gt;""),$K$7*$K$8,"")</f>
        <v>56.055275028023807</v>
      </c>
      <c r="F2" s="4">
        <f>IF(AND($A2&lt;&gt;"",$B2&lt;&gt;""),D2-E2,"")</f>
        <v>123.9447249719762</v>
      </c>
      <c r="G2" s="4">
        <f>IF(AND($A2&lt;&gt;"",$B2&lt;&gt;""),$K$7-F2,"")</f>
        <v>17876.055275028022</v>
      </c>
      <c r="H2" s="4">
        <f>IF(AND($A2&lt;&gt;"",$B2&lt;&gt;""),$K$7-G2,"")</f>
        <v>123.94472497197785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L18000D120-Renita-NLoan1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180</v>
      </c>
      <c r="E3" s="21">
        <f t="shared" ref="E3:E34" si="1">IF(AND($A3&lt;&gt;"",$B3&lt;&gt;""),G2*$K$8,"")</f>
        <v>55.669288603213971</v>
      </c>
      <c r="F3" s="21">
        <f>IF(AND($A3&lt;&gt;"",$B3&lt;&gt;""),D3-E3,"")</f>
        <v>124.33071139678603</v>
      </c>
      <c r="G3" s="21">
        <f>IF(AND($A3&lt;&gt;"",$B3&lt;&gt;""),G2-F3,"")</f>
        <v>17751.724563631236</v>
      </c>
      <c r="H3" s="21">
        <f t="shared" ref="H3:H34" si="2">IF(AND($A3&lt;&gt;"",$B3&lt;&gt;""),$K$7-G3,"")</f>
        <v>248.27543636876362</v>
      </c>
      <c r="J3" s="5" t="s">
        <v>10</v>
      </c>
      <c r="K3" s="27" t="s">
        <v>21</v>
      </c>
    </row>
    <row r="4" spans="1:12" x14ac:dyDescent="0.3">
      <c r="A4" s="2">
        <v>46175</v>
      </c>
      <c r="B4" s="23">
        <f t="shared" ref="B4:B67" si="3">IF(A4&lt;&gt;"",B3+1,"")</f>
        <v>3</v>
      </c>
      <c r="C4" s="3"/>
      <c r="D4" s="4">
        <f t="shared" si="0"/>
        <v>180</v>
      </c>
      <c r="E4" s="4">
        <f t="shared" si="1"/>
        <v>55.282100146448606</v>
      </c>
      <c r="F4" s="4">
        <f>IF(AND($A4&lt;&gt;"",$B4&lt;&gt;""),D4-E4,"")</f>
        <v>124.71789985355139</v>
      </c>
      <c r="G4" s="4">
        <f>IF(AND($A4&lt;&gt;"",$B4&lt;&gt;""),G3-F4,"")</f>
        <v>17627.006663777684</v>
      </c>
      <c r="H4" s="4">
        <f t="shared" si="2"/>
        <v>372.99333622231643</v>
      </c>
      <c r="J4" s="5" t="s">
        <v>11</v>
      </c>
      <c r="K4" s="27"/>
    </row>
    <row r="5" spans="1:12" x14ac:dyDescent="0.3">
      <c r="A5" s="19">
        <v>46175</v>
      </c>
      <c r="B5" s="24">
        <f t="shared" si="3"/>
        <v>4</v>
      </c>
      <c r="C5" s="20"/>
      <c r="D5" s="21">
        <f t="shared" si="0"/>
        <v>180</v>
      </c>
      <c r="E5" s="21">
        <f t="shared" si="1"/>
        <v>54.893705914381471</v>
      </c>
      <c r="F5" s="21">
        <f>IF(AND($A5&lt;&gt;"",$B5&lt;&gt;""),D5-E5,"")</f>
        <v>125.10629408561853</v>
      </c>
      <c r="G5" s="21">
        <f>IF(AND($A5&lt;&gt;"",$B5&lt;&gt;""),G4-F5,"")</f>
        <v>17501.900369692066</v>
      </c>
      <c r="H5" s="21">
        <f t="shared" si="2"/>
        <v>498.09963030793369</v>
      </c>
      <c r="J5" s="5" t="s">
        <v>12</v>
      </c>
      <c r="K5" s="27"/>
    </row>
    <row r="6" spans="1:12" x14ac:dyDescent="0.3">
      <c r="A6" s="2">
        <v>46177</v>
      </c>
      <c r="B6" s="23">
        <f t="shared" si="3"/>
        <v>5</v>
      </c>
      <c r="C6" s="3"/>
      <c r="D6" s="4">
        <f t="shared" si="0"/>
        <v>180</v>
      </c>
      <c r="E6" s="4">
        <f t="shared" si="1"/>
        <v>54.504102152008905</v>
      </c>
      <c r="F6" s="4">
        <f>IF(AND($A6&lt;&gt;"",$B6&lt;&gt;""),D6-E6,"")</f>
        <v>125.4958978479911</v>
      </c>
      <c r="G6" s="4">
        <f t="shared" ref="G6:G69" si="4">IF(AND($A6&lt;&gt;"",$B6&lt;&gt;""),G5-F6,"")</f>
        <v>17376.404471844075</v>
      </c>
      <c r="H6" s="4">
        <f t="shared" si="2"/>
        <v>623.59552815592542</v>
      </c>
      <c r="J6" s="5" t="s">
        <v>13</v>
      </c>
      <c r="K6" s="27"/>
    </row>
    <row r="7" spans="1:12" x14ac:dyDescent="0.3">
      <c r="A7" s="19">
        <v>46178</v>
      </c>
      <c r="B7" s="24">
        <f t="shared" si="3"/>
        <v>6</v>
      </c>
      <c r="C7" s="20"/>
      <c r="D7" s="21">
        <f t="shared" si="0"/>
        <v>180</v>
      </c>
      <c r="E7" s="21">
        <f t="shared" si="1"/>
        <v>54.113285092633461</v>
      </c>
      <c r="F7" s="21">
        <f t="shared" ref="F7:F70" si="5">IF(AND($A7&lt;&gt;"",$B7&lt;&gt;""),D7-E7,"")</f>
        <v>125.88671490736654</v>
      </c>
      <c r="G7" s="21">
        <f t="shared" si="4"/>
        <v>17250.517756936708</v>
      </c>
      <c r="H7" s="21">
        <f t="shared" si="2"/>
        <v>749.48224306329212</v>
      </c>
      <c r="J7" s="5" t="s">
        <v>7</v>
      </c>
      <c r="K7" s="28">
        <v>18000</v>
      </c>
    </row>
    <row r="8" spans="1:12" x14ac:dyDescent="0.3">
      <c r="A8" s="2">
        <v>46180</v>
      </c>
      <c r="B8" s="23">
        <f t="shared" si="3"/>
        <v>7</v>
      </c>
      <c r="C8" s="3"/>
      <c r="D8" s="4">
        <f t="shared" si="0"/>
        <v>180</v>
      </c>
      <c r="E8" s="4">
        <f t="shared" si="1"/>
        <v>53.721250957827529</v>
      </c>
      <c r="F8" s="4">
        <f t="shared" si="5"/>
        <v>126.27874904217248</v>
      </c>
      <c r="G8" s="4">
        <f t="shared" si="4"/>
        <v>17124.239007894535</v>
      </c>
      <c r="H8" s="4">
        <f t="shared" si="2"/>
        <v>875.76099210546454</v>
      </c>
      <c r="J8" s="5" t="s">
        <v>14</v>
      </c>
      <c r="K8" s="29">
        <f>RATE(K10,-K9,K7)</f>
        <v>3.1141819460013226E-3</v>
      </c>
    </row>
    <row r="9" spans="1:12" x14ac:dyDescent="0.3">
      <c r="A9" s="19">
        <v>46182</v>
      </c>
      <c r="B9" s="24">
        <f t="shared" si="3"/>
        <v>8</v>
      </c>
      <c r="C9" s="20"/>
      <c r="D9" s="21">
        <f t="shared" si="0"/>
        <v>180</v>
      </c>
      <c r="E9" s="21">
        <f t="shared" si="1"/>
        <v>53.327995957396759</v>
      </c>
      <c r="F9" s="21">
        <f t="shared" si="5"/>
        <v>126.67200404260325</v>
      </c>
      <c r="G9" s="21">
        <f t="shared" si="4"/>
        <v>16997.567003851931</v>
      </c>
      <c r="H9" s="21">
        <f t="shared" si="2"/>
        <v>1002.4329961480689</v>
      </c>
      <c r="J9" s="5" t="s">
        <v>8</v>
      </c>
      <c r="K9" s="30">
        <v>180</v>
      </c>
    </row>
    <row r="10" spans="1:12" x14ac:dyDescent="0.3">
      <c r="A10" s="2">
        <v>46188</v>
      </c>
      <c r="B10" s="23">
        <f t="shared" si="3"/>
        <v>9</v>
      </c>
      <c r="C10" s="3"/>
      <c r="D10" s="4">
        <f t="shared" si="0"/>
        <v>180</v>
      </c>
      <c r="E10" s="4">
        <f t="shared" si="1"/>
        <v>52.93351628934348</v>
      </c>
      <c r="F10" s="4">
        <f t="shared" si="5"/>
        <v>127.06648371065651</v>
      </c>
      <c r="G10" s="4">
        <f t="shared" si="4"/>
        <v>16870.500520141275</v>
      </c>
      <c r="H10" s="4">
        <f t="shared" si="2"/>
        <v>1129.499479858725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180</v>
      </c>
      <c r="E11" s="21">
        <f t="shared" si="1"/>
        <v>52.537808139829878</v>
      </c>
      <c r="F11" s="21">
        <f t="shared" si="5"/>
        <v>127.46219186017012</v>
      </c>
      <c r="G11" s="21">
        <f t="shared" si="4"/>
        <v>16743.038328281105</v>
      </c>
      <c r="H11" s="21">
        <f t="shared" si="2"/>
        <v>1256.9616717188946</v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10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19800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16743.038328281105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1256.9616717188946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46175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46295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89oSUJmFeD0GFei2EWizGpVpcqQpoyyb9L15X7Ot2tJJLTuBb3Uus6ZRRxZibGe73pBDG8xJeDfRY1uMYqRXpw==" saltValue="VsV6rgzhhMAdHdf/MepN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2026-06-27T05:06:57Z</dcterms:modified>
</cp:coreProperties>
</file>