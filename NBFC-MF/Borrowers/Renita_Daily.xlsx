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 s="1"/>
  <c r="B4" i="4" s="1"/>
  <c r="B5" i="4" s="1"/>
  <c r="B6" i="4" s="1"/>
  <c r="B7" i="4" s="1"/>
  <c r="B8" i="4" s="1"/>
  <c r="B9" i="4" s="1"/>
  <c r="B118" i="4"/>
  <c r="B119" i="4"/>
  <c r="B120" i="4"/>
  <c r="B121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59" i="4"/>
  <c r="B60" i="4"/>
  <c r="B61" i="4"/>
  <c r="B62" i="4"/>
  <c r="B63" i="4"/>
  <c r="B64" i="4"/>
  <c r="B65" i="4"/>
  <c r="B66" i="4"/>
  <c r="B67" i="4"/>
  <c r="B68" i="4"/>
  <c r="B69" i="4"/>
  <c r="B70" i="4"/>
  <c r="B51" i="4"/>
  <c r="B52" i="4"/>
  <c r="B53" i="4"/>
  <c r="B54" i="4"/>
  <c r="B55" i="4"/>
  <c r="B56" i="4"/>
  <c r="B57" i="4"/>
  <c r="B58" i="4"/>
  <c r="B42" i="4"/>
  <c r="B43" i="4"/>
  <c r="B44" i="4"/>
  <c r="B45" i="4"/>
  <c r="B46" i="4"/>
  <c r="B47" i="4"/>
  <c r="B48" i="4"/>
  <c r="B49" i="4"/>
  <c r="B50" i="4"/>
  <c r="B37" i="4"/>
  <c r="B38" i="4"/>
  <c r="B39" i="4"/>
  <c r="B40" i="4"/>
  <c r="B41" i="4"/>
  <c r="B33" i="4"/>
  <c r="B34" i="4"/>
  <c r="B35" i="4"/>
  <c r="B36" i="4"/>
  <c r="B12" i="4"/>
  <c r="B13" i="4"/>
  <c r="B14" i="4"/>
  <c r="B15" i="4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10" i="4"/>
  <c r="B11" i="4"/>
  <c r="K16" i="4" l="1"/>
  <c r="K17" i="4" s="1"/>
  <c r="K2" i="4" l="1"/>
  <c r="K12" i="4" l="1"/>
  <c r="K13" i="4" s="1"/>
  <c r="E13" i="4"/>
  <c r="E47" i="4"/>
  <c r="E63" i="4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F63" i="4" s="1"/>
  <c r="G63" i="4" s="1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F47" i="4" s="1"/>
  <c r="G47" i="4" s="1"/>
  <c r="D48" i="4"/>
  <c r="D49" i="4"/>
  <c r="D50" i="4"/>
  <c r="D51" i="4"/>
  <c r="D52" i="4"/>
  <c r="D53" i="4"/>
  <c r="D5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F13" i="4" s="1"/>
  <c r="G13" i="4" s="1"/>
  <c r="D2" i="4"/>
  <c r="D3" i="4"/>
  <c r="F121" i="4" l="1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H63" i="4"/>
  <c r="E64" i="4"/>
  <c r="F64" i="4" s="1"/>
  <c r="G64" i="4" s="1"/>
  <c r="H47" i="4"/>
  <c r="E48" i="4"/>
  <c r="F48" i="4" s="1"/>
  <c r="G48" i="4" s="1"/>
  <c r="F14" i="4"/>
  <c r="G14" i="4" s="1"/>
  <c r="H13" i="4"/>
  <c r="E14" i="4"/>
  <c r="K8" i="4"/>
  <c r="E2" i="4" s="1"/>
  <c r="F2" i="4" s="1"/>
  <c r="G2" i="4" s="1"/>
  <c r="H2" i="4" l="1"/>
  <c r="E3" i="4"/>
  <c r="E107" i="4"/>
  <c r="F107" i="4" s="1"/>
  <c r="G107" i="4" s="1"/>
  <c r="H106" i="4"/>
  <c r="H88" i="4"/>
  <c r="E89" i="4"/>
  <c r="F89" i="4" s="1"/>
  <c r="G89" i="4" s="1"/>
  <c r="H64" i="4"/>
  <c r="E65" i="4"/>
  <c r="F65" i="4" s="1"/>
  <c r="G65" i="4" s="1"/>
  <c r="E49" i="4"/>
  <c r="F49" i="4" s="1"/>
  <c r="G49" i="4" s="1"/>
  <c r="H48" i="4"/>
  <c r="H14" i="4"/>
  <c r="E15" i="4"/>
  <c r="F15" i="4" s="1"/>
  <c r="G15" i="4" s="1"/>
  <c r="H107" i="4" l="1"/>
  <c r="G108" i="4"/>
  <c r="E108" i="4"/>
  <c r="F108" i="4" s="1"/>
  <c r="H89" i="4"/>
  <c r="E90" i="4"/>
  <c r="F90" i="4" s="1"/>
  <c r="G90" i="4" s="1"/>
  <c r="H65" i="4"/>
  <c r="E66" i="4"/>
  <c r="F66" i="4" s="1"/>
  <c r="G66" i="4" s="1"/>
  <c r="E50" i="4"/>
  <c r="F50" i="4" s="1"/>
  <c r="G50" i="4" s="1"/>
  <c r="H49" i="4"/>
  <c r="G16" i="4"/>
  <c r="H15" i="4"/>
  <c r="E16" i="4"/>
  <c r="F16" i="4" s="1"/>
  <c r="E109" i="4" l="1"/>
  <c r="F109" i="4" s="1"/>
  <c r="H108" i="4"/>
  <c r="G109" i="4"/>
  <c r="E91" i="4"/>
  <c r="F91" i="4" s="1"/>
  <c r="G91" i="4"/>
  <c r="H90" i="4"/>
  <c r="H66" i="4"/>
  <c r="E67" i="4"/>
  <c r="F67" i="4" s="1"/>
  <c r="G67" i="4" s="1"/>
  <c r="G51" i="4"/>
  <c r="E51" i="4"/>
  <c r="F51" i="4" s="1"/>
  <c r="H50" i="4"/>
  <c r="E33" i="4"/>
  <c r="F33" i="4" s="1"/>
  <c r="G33" i="4" s="1"/>
  <c r="E17" i="4"/>
  <c r="F17" i="4" s="1"/>
  <c r="G17" i="4" s="1"/>
  <c r="H16" i="4"/>
  <c r="E110" i="4" l="1"/>
  <c r="F110" i="4" s="1"/>
  <c r="G110" i="4" s="1"/>
  <c r="H109" i="4"/>
  <c r="H91" i="4"/>
  <c r="E92" i="4"/>
  <c r="F92" i="4" s="1"/>
  <c r="G92" i="4"/>
  <c r="H67" i="4"/>
  <c r="E68" i="4"/>
  <c r="F68" i="4" s="1"/>
  <c r="G68" i="4"/>
  <c r="H51" i="4"/>
  <c r="E52" i="4"/>
  <c r="F52" i="4" s="1"/>
  <c r="G52" i="4" s="1"/>
  <c r="H33" i="4"/>
  <c r="E34" i="4"/>
  <c r="F34" i="4" s="1"/>
  <c r="G34" i="4" s="1"/>
  <c r="H17" i="4"/>
  <c r="E18" i="4"/>
  <c r="F18" i="4" s="1"/>
  <c r="G18" i="4" s="1"/>
  <c r="E10" i="4"/>
  <c r="F10" i="4" s="1"/>
  <c r="G10" i="4" s="1"/>
  <c r="G111" i="4" l="1"/>
  <c r="E111" i="4"/>
  <c r="F111" i="4" s="1"/>
  <c r="H110" i="4"/>
  <c r="H92" i="4"/>
  <c r="E93" i="4"/>
  <c r="F93" i="4" s="1"/>
  <c r="G93" i="4" s="1"/>
  <c r="H68" i="4"/>
  <c r="E69" i="4"/>
  <c r="F69" i="4" s="1"/>
  <c r="G69" i="4" s="1"/>
  <c r="G53" i="4"/>
  <c r="E53" i="4"/>
  <c r="F53" i="4" s="1"/>
  <c r="H52" i="4"/>
  <c r="E35" i="4"/>
  <c r="F35" i="4" s="1"/>
  <c r="G35" i="4" s="1"/>
  <c r="H34" i="4"/>
  <c r="E19" i="4"/>
  <c r="F19" i="4" s="1"/>
  <c r="G19" i="4" s="1"/>
  <c r="H18" i="4"/>
  <c r="H10" i="4"/>
  <c r="E11" i="4"/>
  <c r="F11" i="4" s="1"/>
  <c r="G11" i="4" s="1"/>
  <c r="E112" i="4" l="1"/>
  <c r="F112" i="4" s="1"/>
  <c r="G112" i="4" s="1"/>
  <c r="H111" i="4"/>
  <c r="H93" i="4"/>
  <c r="E94" i="4"/>
  <c r="F94" i="4" s="1"/>
  <c r="G94" i="4" s="1"/>
  <c r="H69" i="4"/>
  <c r="E70" i="4"/>
  <c r="F70" i="4" s="1"/>
  <c r="G70" i="4" s="1"/>
  <c r="G54" i="4"/>
  <c r="E54" i="4"/>
  <c r="F54" i="4" s="1"/>
  <c r="H53" i="4"/>
  <c r="E36" i="4"/>
  <c r="F36" i="4" s="1"/>
  <c r="G36" i="4"/>
  <c r="H35" i="4"/>
  <c r="H19" i="4"/>
  <c r="E20" i="4"/>
  <c r="F20" i="4" s="1"/>
  <c r="G20" i="4" s="1"/>
  <c r="H11" i="4"/>
  <c r="E12" i="4"/>
  <c r="F12" i="4" s="1"/>
  <c r="G12" i="4"/>
  <c r="H12" i="4" s="1"/>
  <c r="E113" i="4" l="1"/>
  <c r="F113" i="4" s="1"/>
  <c r="H112" i="4"/>
  <c r="G113" i="4"/>
  <c r="E95" i="4"/>
  <c r="F95" i="4" s="1"/>
  <c r="G95" i="4"/>
  <c r="H94" i="4"/>
  <c r="H70" i="4"/>
  <c r="E71" i="4"/>
  <c r="F71" i="4" s="1"/>
  <c r="G71" i="4" s="1"/>
  <c r="E55" i="4"/>
  <c r="F55" i="4" s="1"/>
  <c r="G55" i="4" s="1"/>
  <c r="H54" i="4"/>
  <c r="H36" i="4"/>
  <c r="E37" i="4"/>
  <c r="F37" i="4" s="1"/>
  <c r="G37" i="4" s="1"/>
  <c r="E21" i="4"/>
  <c r="F21" i="4" s="1"/>
  <c r="G21" i="4" s="1"/>
  <c r="H20" i="4"/>
  <c r="H113" i="4" l="1"/>
  <c r="E114" i="4"/>
  <c r="F114" i="4" s="1"/>
  <c r="G114" i="4"/>
  <c r="H95" i="4"/>
  <c r="E96" i="4"/>
  <c r="F96" i="4" s="1"/>
  <c r="G96" i="4"/>
  <c r="H71" i="4"/>
  <c r="E72" i="4"/>
  <c r="F72" i="4" s="1"/>
  <c r="G72" i="4"/>
  <c r="H55" i="4"/>
  <c r="E56" i="4"/>
  <c r="F56" i="4" s="1"/>
  <c r="G56" i="4" s="1"/>
  <c r="H37" i="4"/>
  <c r="E38" i="4"/>
  <c r="F38" i="4" s="1"/>
  <c r="G38" i="4" s="1"/>
  <c r="H21" i="4"/>
  <c r="E22" i="4"/>
  <c r="F22" i="4" s="1"/>
  <c r="G22" i="4" s="1"/>
  <c r="E115" i="4" l="1"/>
  <c r="F115" i="4" s="1"/>
  <c r="G115" i="4" s="1"/>
  <c r="H114" i="4"/>
  <c r="H96" i="4"/>
  <c r="E97" i="4"/>
  <c r="F97" i="4" s="1"/>
  <c r="G97" i="4" s="1"/>
  <c r="H72" i="4"/>
  <c r="E73" i="4"/>
  <c r="F73" i="4" s="1"/>
  <c r="G73" i="4" s="1"/>
  <c r="G57" i="4"/>
  <c r="E57" i="4"/>
  <c r="F57" i="4" s="1"/>
  <c r="H56" i="4"/>
  <c r="H38" i="4"/>
  <c r="E39" i="4"/>
  <c r="F39" i="4" s="1"/>
  <c r="G39" i="4"/>
  <c r="H22" i="4"/>
  <c r="E23" i="4"/>
  <c r="F23" i="4" s="1"/>
  <c r="G23" i="4" s="1"/>
  <c r="H115" i="4" l="1"/>
  <c r="E116" i="4"/>
  <c r="F116" i="4" s="1"/>
  <c r="G116" i="4" s="1"/>
  <c r="H97" i="4"/>
  <c r="E98" i="4"/>
  <c r="F98" i="4" s="1"/>
  <c r="G98" i="4" s="1"/>
  <c r="H73" i="4"/>
  <c r="E74" i="4"/>
  <c r="F74" i="4" s="1"/>
  <c r="G74" i="4" s="1"/>
  <c r="E58" i="4"/>
  <c r="F58" i="4" s="1"/>
  <c r="G58" i="4" s="1"/>
  <c r="H57" i="4"/>
  <c r="E40" i="4"/>
  <c r="F40" i="4" s="1"/>
  <c r="G40" i="4" s="1"/>
  <c r="H39" i="4"/>
  <c r="H23" i="4"/>
  <c r="E24" i="4"/>
  <c r="F24" i="4" s="1"/>
  <c r="G24" i="4" s="1"/>
  <c r="H116" i="4" l="1"/>
  <c r="E117" i="4"/>
  <c r="F117" i="4" s="1"/>
  <c r="G117" i="4" s="1"/>
  <c r="E99" i="4"/>
  <c r="F99" i="4" s="1"/>
  <c r="G99" i="4"/>
  <c r="H98" i="4"/>
  <c r="H74" i="4"/>
  <c r="E75" i="4"/>
  <c r="F75" i="4" s="1"/>
  <c r="G75" i="4" s="1"/>
  <c r="G59" i="4"/>
  <c r="E59" i="4"/>
  <c r="F59" i="4" s="1"/>
  <c r="H58" i="4"/>
  <c r="H40" i="4"/>
  <c r="E41" i="4"/>
  <c r="F41" i="4" s="1"/>
  <c r="G41" i="4" s="1"/>
  <c r="E25" i="4"/>
  <c r="F25" i="4" s="1"/>
  <c r="G25" i="4" s="1"/>
  <c r="H24" i="4"/>
  <c r="E118" i="4" l="1"/>
  <c r="F118" i="4" s="1"/>
  <c r="G118" i="4" s="1"/>
  <c r="H117" i="4"/>
  <c r="H99" i="4"/>
  <c r="E100" i="4"/>
  <c r="F100" i="4" s="1"/>
  <c r="G100" i="4"/>
  <c r="H75" i="4"/>
  <c r="E76" i="4"/>
  <c r="F76" i="4" s="1"/>
  <c r="G76" i="4"/>
  <c r="H59" i="4"/>
  <c r="E60" i="4"/>
  <c r="F60" i="4" s="1"/>
  <c r="G60" i="4" s="1"/>
  <c r="H41" i="4"/>
  <c r="E42" i="4"/>
  <c r="F42" i="4" s="1"/>
  <c r="G42" i="4" s="1"/>
  <c r="H25" i="4"/>
  <c r="E26" i="4"/>
  <c r="F26" i="4" s="1"/>
  <c r="G26" i="4" s="1"/>
  <c r="H118" i="4" l="1"/>
  <c r="E119" i="4"/>
  <c r="F119" i="4" s="1"/>
  <c r="G119" i="4" s="1"/>
  <c r="H119" i="4" s="1"/>
  <c r="H100" i="4"/>
  <c r="E101" i="4"/>
  <c r="F101" i="4" s="1"/>
  <c r="G101" i="4" s="1"/>
  <c r="H76" i="4"/>
  <c r="E77" i="4"/>
  <c r="F77" i="4" s="1"/>
  <c r="G77" i="4" s="1"/>
  <c r="E61" i="4"/>
  <c r="F61" i="4" s="1"/>
  <c r="G61" i="4" s="1"/>
  <c r="H60" i="4"/>
  <c r="E43" i="4"/>
  <c r="F43" i="4" s="1"/>
  <c r="H42" i="4"/>
  <c r="G43" i="4"/>
  <c r="E27" i="4"/>
  <c r="F27" i="4" s="1"/>
  <c r="G27" i="4" s="1"/>
  <c r="H26" i="4"/>
  <c r="H101" i="4" l="1"/>
  <c r="E102" i="4"/>
  <c r="F102" i="4" s="1"/>
  <c r="G102" i="4" s="1"/>
  <c r="H77" i="4"/>
  <c r="E78" i="4"/>
  <c r="F78" i="4" s="1"/>
  <c r="G78" i="4" s="1"/>
  <c r="E62" i="4"/>
  <c r="F62" i="4" s="1"/>
  <c r="G62" i="4" s="1"/>
  <c r="H62" i="4" s="1"/>
  <c r="H61" i="4"/>
  <c r="E44" i="4"/>
  <c r="F44" i="4" s="1"/>
  <c r="G44" i="4"/>
  <c r="H43" i="4"/>
  <c r="H27" i="4"/>
  <c r="E28" i="4"/>
  <c r="F28" i="4" s="1"/>
  <c r="G28" i="4" s="1"/>
  <c r="H28" i="4" l="1"/>
  <c r="E29" i="4"/>
  <c r="F29" i="4" s="1"/>
  <c r="G29" i="4" s="1"/>
  <c r="E103" i="4"/>
  <c r="F103" i="4" s="1"/>
  <c r="G103" i="4"/>
  <c r="H102" i="4"/>
  <c r="H78" i="4"/>
  <c r="E79" i="4"/>
  <c r="F79" i="4" s="1"/>
  <c r="G79" i="4" s="1"/>
  <c r="G45" i="4"/>
  <c r="E45" i="4"/>
  <c r="F45" i="4" s="1"/>
  <c r="H44" i="4"/>
  <c r="H29" i="4" l="1"/>
  <c r="E30" i="4"/>
  <c r="F30" i="4" s="1"/>
  <c r="G30" i="4" s="1"/>
  <c r="H103" i="4"/>
  <c r="E104" i="4"/>
  <c r="F104" i="4" s="1"/>
  <c r="G104" i="4"/>
  <c r="H104" i="4" s="1"/>
  <c r="H79" i="4"/>
  <c r="E80" i="4"/>
  <c r="F80" i="4" s="1"/>
  <c r="G80" i="4"/>
  <c r="H45" i="4"/>
  <c r="E46" i="4"/>
  <c r="F46" i="4" s="1"/>
  <c r="G46" i="4" s="1"/>
  <c r="H46" i="4" s="1"/>
  <c r="H30" i="4" l="1"/>
  <c r="E31" i="4"/>
  <c r="F31" i="4" s="1"/>
  <c r="G31" i="4" s="1"/>
  <c r="H80" i="4"/>
  <c r="E81" i="4"/>
  <c r="F81" i="4" s="1"/>
  <c r="G81" i="4" s="1"/>
  <c r="E32" i="4" l="1"/>
  <c r="F32" i="4" s="1"/>
  <c r="G32" i="4"/>
  <c r="H32" i="4" s="1"/>
  <c r="H31" i="4"/>
  <c r="H81" i="4"/>
  <c r="E82" i="4"/>
  <c r="F82" i="4" s="1"/>
  <c r="G82" i="4" s="1"/>
  <c r="F3" i="4"/>
  <c r="G3" i="4" s="1"/>
  <c r="E4" i="4" l="1"/>
  <c r="H3" i="4"/>
  <c r="H82" i="4"/>
  <c r="E83" i="4"/>
  <c r="F83" i="4" s="1"/>
  <c r="G83" i="4" s="1"/>
  <c r="F4" i="4"/>
  <c r="G4" i="4" s="1"/>
  <c r="E5" i="4" l="1"/>
  <c r="F5" i="4" s="1"/>
  <c r="G5" i="4" s="1"/>
  <c r="H4" i="4"/>
  <c r="H83" i="4"/>
  <c r="E84" i="4"/>
  <c r="F84" i="4" s="1"/>
  <c r="G84" i="4"/>
  <c r="H5" i="4" l="1"/>
  <c r="E6" i="4"/>
  <c r="F6" i="4" s="1"/>
  <c r="G6" i="4" s="1"/>
  <c r="H84" i="4"/>
  <c r="E85" i="4"/>
  <c r="F85" i="4" s="1"/>
  <c r="G85" i="4" s="1"/>
  <c r="E7" i="4" l="1"/>
  <c r="F7" i="4" s="1"/>
  <c r="G7" i="4" s="1"/>
  <c r="H6" i="4"/>
  <c r="H85" i="4"/>
  <c r="E86" i="4"/>
  <c r="F86" i="4" s="1"/>
  <c r="G86" i="4" s="1"/>
  <c r="H86" i="4" s="1"/>
  <c r="E8" i="4" l="1"/>
  <c r="F8" i="4" s="1"/>
  <c r="G8" i="4" s="1"/>
  <c r="H7" i="4"/>
  <c r="H8" i="4" l="1"/>
  <c r="E9" i="4"/>
  <c r="F9" i="4" s="1"/>
  <c r="G9" i="4" s="1"/>
  <c r="K14" i="4" s="1"/>
  <c r="H9" i="4" l="1"/>
  <c r="K15" i="4" s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<sst xmlns="http://schemas.openxmlformats.org/spreadsheetml/2006/main" count="25" uniqueCount="24">
  <si>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</si>
  <si>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</si>
  <si>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</si>
  <si>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</si>
  <si>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</si>
  <si>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</si>
  <si>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</si>
  <si>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</si>
  <si>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</si>
  <si>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</si>
  <si>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</si>
  <si>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</si>
  <si>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</si>
  <si>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</si>
  <si>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</si>
  <si>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</si>
  <si>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</si>
  <si>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</si>
  <si>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</si>
  <si>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</si>
  <si>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</si>
  <si>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Renita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</si>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</sst>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22" activePane="bottomLeft" state="frozen"/>
      <selection pane="bottomLeft" activeCell="B35" sqref="B35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1.8554687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46175</v>
      </c>
      <c r="B2" s="23">
        <f>IF(A2&lt;&gt;"",1,"")</f>
        <v>1</v>
      </c>
      <c r="C2" s="3"/>
      <c r="D2" s="4">
        <f t="shared" ref="D2:D33" si="0">IF(AND($A2&lt;&gt;"",$B2&lt;&gt;""),$K$9,"")</f>
        <v>180</v>
      </c>
      <c r="E2" s="4">
        <f>IF(AND($A2&lt;&gt;"",$B2&lt;&gt;""),$K$7*$K$8,"")</f>
        <v>56.055275028023807</v>
      </c>
      <c r="F2" s="4">
        <f>IF(AND($A2&lt;&gt;"",$B2&lt;&gt;""),D2-E2,"")</f>
        <v>123.9447249719762</v>
      </c>
      <c r="G2" s="4">
        <f>IF(AND($A2&lt;&gt;"",$B2&lt;&gt;""),$K$7-F2,"")</f>
        <v>17876.055275028022</v>
      </c>
      <c r="H2" s="4">
        <f>IF(AND($A2&lt;&gt;"",$B2&lt;&gt;""),$K$7-G2,"")</f>
        <v>123.94472497197785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L18000D120-Renita-NLoan1</v>
      </c>
    </row>
    <row r="3" spans="1:12" x14ac:dyDescent="0.3">
      <c r="A3" s="19">
        <v>46175</v>
      </c>
      <c r="B3" s="24">
        <f>IF(A3&lt;&gt;"",B2+1,"")</f>
        <v>2</v>
      </c>
      <c r="C3" s="20"/>
      <c r="D3" s="21">
        <f t="shared" si="0"/>
        <v>180</v>
      </c>
      <c r="E3" s="21">
        <f t="shared" ref="E3:E34" si="1">IF(AND($A3&lt;&gt;"",$B3&lt;&gt;""),G2*$K$8,"")</f>
        <v>55.669288603213971</v>
      </c>
      <c r="F3" s="21">
        <f>IF(AND($A3&lt;&gt;"",$B3&lt;&gt;""),D3-E3,"")</f>
        <v>124.33071139678603</v>
      </c>
      <c r="G3" s="21">
        <f>IF(AND($A3&lt;&gt;"",$B3&lt;&gt;""),G2-F3,"")</f>
        <v>17751.724563631236</v>
      </c>
      <c r="H3" s="21">
        <f t="shared" ref="H3:H34" si="2">IF(AND($A3&lt;&gt;"",$B3&lt;&gt;""),$K$7-G3,"")</f>
        <v>248.27543636876362</v>
      </c>
      <c r="J3" s="5" t="s">
        <v>10</v>
      </c>
      <c r="K3" s="27" t="s">
        <v>21</v>
      </c>
    </row>
    <row r="4" spans="1:12" x14ac:dyDescent="0.3">
      <c r="A4" s="2">
        <v>46175</v>
      </c>
      <c r="B4" s="23">
        <f t="shared" ref="B4:B67" si="3">IF(A4&lt;&gt;"",B3+1,"")</f>
        <v>3</v>
      </c>
      <c r="C4" s="3"/>
      <c r="D4" s="4">
        <f t="shared" si="0"/>
        <v>180</v>
      </c>
      <c r="E4" s="4">
        <f t="shared" si="1"/>
        <v>55.282100146448606</v>
      </c>
      <c r="F4" s="4">
        <f>IF(AND($A4&lt;&gt;"",$B4&lt;&gt;""),D4-E4,"")</f>
        <v>124.71789985355139</v>
      </c>
      <c r="G4" s="4">
        <f>IF(AND($A4&lt;&gt;"",$B4&lt;&gt;""),G3-F4,"")</f>
        <v>17627.006663777684</v>
      </c>
      <c r="H4" s="4">
        <f t="shared" si="2"/>
        <v>372.99333622231643</v>
      </c>
      <c r="J4" s="5" t="s">
        <v>11</v>
      </c>
      <c r="K4" s="27"/>
    </row>
    <row r="5" spans="1:12" x14ac:dyDescent="0.3">
      <c r="A5" s="19">
        <v>46175</v>
      </c>
      <c r="B5" s="24">
        <f t="shared" si="3"/>
        <v>4</v>
      </c>
      <c r="C5" s="20"/>
      <c r="D5" s="21">
        <f t="shared" si="0"/>
        <v>180</v>
      </c>
      <c r="E5" s="21">
        <f t="shared" si="1"/>
        <v>54.893705914381471</v>
      </c>
      <c r="F5" s="21">
        <f>IF(AND($A5&lt;&gt;"",$B5&lt;&gt;""),D5-E5,"")</f>
        <v>125.10629408561853</v>
      </c>
      <c r="G5" s="21">
        <f>IF(AND($A5&lt;&gt;"",$B5&lt;&gt;""),G4-F5,"")</f>
        <v>17501.900369692066</v>
      </c>
      <c r="H5" s="21">
        <f t="shared" si="2"/>
        <v>498.09963030793369</v>
      </c>
      <c r="J5" s="5" t="s">
        <v>12</v>
      </c>
      <c r="K5" s="27"/>
    </row>
    <row r="6" spans="1:12" x14ac:dyDescent="0.3">
      <c r="A6" s="2">
        <v>46177</v>
      </c>
      <c r="B6" s="23">
        <f t="shared" si="3"/>
        <v>5</v>
      </c>
      <c r="C6" s="3"/>
      <c r="D6" s="4">
        <f t="shared" si="0"/>
        <v>180</v>
      </c>
      <c r="E6" s="4">
        <f t="shared" si="1"/>
        <v>54.504102152008905</v>
      </c>
      <c r="F6" s="4">
        <f>IF(AND($A6&lt;&gt;"",$B6&lt;&gt;""),D6-E6,"")</f>
        <v>125.4958978479911</v>
      </c>
      <c r="G6" s="4">
        <f t="shared" ref="G6:G69" si="4">IF(AND($A6&lt;&gt;"",$B6&lt;&gt;""),G5-F6,"")</f>
        <v>17376.404471844075</v>
      </c>
      <c r="H6" s="4">
        <f t="shared" si="2"/>
        <v>623.59552815592542</v>
      </c>
      <c r="J6" s="5" t="s">
        <v>13</v>
      </c>
      <c r="K6" s="27"/>
    </row>
    <row r="7" spans="1:12" x14ac:dyDescent="0.3">
      <c r="A7" s="19">
        <v>46178</v>
      </c>
      <c r="B7" s="24">
        <f t="shared" si="3"/>
        <v>6</v>
      </c>
      <c r="C7" s="20"/>
      <c r="D7" s="21">
        <f t="shared" si="0"/>
        <v>180</v>
      </c>
      <c r="E7" s="21">
        <f t="shared" si="1"/>
        <v>54.113285092633461</v>
      </c>
      <c r="F7" s="21">
        <f t="shared" ref="F7:F70" si="5">IF(AND($A7&lt;&gt;"",$B7&lt;&gt;""),D7-E7,"")</f>
        <v>125.88671490736654</v>
      </c>
      <c r="G7" s="21">
        <f t="shared" si="4"/>
        <v>17250.517756936708</v>
      </c>
      <c r="H7" s="21">
        <f t="shared" si="2"/>
        <v>749.48224306329212</v>
      </c>
      <c r="J7" s="5" t="s">
        <v>7</v>
      </c>
      <c r="K7" s="28">
        <v>18000</v>
      </c>
    </row>
    <row r="8" spans="1:12" x14ac:dyDescent="0.3">
      <c r="A8" s="2">
        <v>46180</v>
      </c>
      <c r="B8" s="23">
        <f t="shared" si="3"/>
        <v>7</v>
      </c>
      <c r="C8" s="3"/>
      <c r="D8" s="4">
        <f t="shared" si="0"/>
        <v>180</v>
      </c>
      <c r="E8" s="4">
        <f t="shared" si="1"/>
        <v>53.721250957827529</v>
      </c>
      <c r="F8" s="4">
        <f t="shared" si="5"/>
        <v>126.27874904217248</v>
      </c>
      <c r="G8" s="4">
        <f t="shared" si="4"/>
        <v>17124.239007894535</v>
      </c>
      <c r="H8" s="4">
        <f t="shared" si="2"/>
        <v>875.76099210546454</v>
      </c>
      <c r="J8" s="5" t="s">
        <v>14</v>
      </c>
      <c r="K8" s="29">
        <f>RATE(K10,-K9,K7)</f>
        <v>3.1141819460013226E-3</v>
      </c>
    </row>
    <row r="9" spans="1:12" x14ac:dyDescent="0.3">
      <c r="A9" s="19">
        <v>46182</v>
      </c>
      <c r="B9" s="24">
        <f t="shared" si="3"/>
        <v>8</v>
      </c>
      <c r="C9" s="20"/>
      <c r="D9" s="21">
        <f t="shared" si="0"/>
        <v>180</v>
      </c>
      <c r="E9" s="21">
        <f t="shared" si="1"/>
        <v>53.327995957396759</v>
      </c>
      <c r="F9" s="21">
        <f t="shared" si="5"/>
        <v>126.67200404260325</v>
      </c>
      <c r="G9" s="21">
        <f t="shared" si="4"/>
        <v>16997.567003851931</v>
      </c>
      <c r="H9" s="21">
        <f t="shared" si="2"/>
        <v>1002.4329961480689</v>
      </c>
      <c r="J9" s="5" t="s">
        <v>8</v>
      </c>
      <c r="K9" s="30">
        <v>180</v>
      </c>
    </row>
    <row r="10" spans="1:12" x14ac:dyDescent="0.3">
      <c r="A10" s="2">
        <v>46188</v>
      </c>
      <c r="B10" s="23">
        <f t="shared" si="3"/>
        <v>9</v>
      </c>
      <c r="C10" s="3"/>
      <c r="D10" s="4">
        <f t="shared" si="0"/>
        <v>180</v>
      </c>
      <c r="E10" s="4">
        <f t="shared" si="1"/>
        <v>52.93351628934348</v>
      </c>
      <c r="F10" s="4">
        <f t="shared" si="5"/>
        <v>127.06648371065651</v>
      </c>
      <c r="G10" s="4">
        <f t="shared" si="4"/>
        <v>16870.500520141275</v>
      </c>
      <c r="H10" s="4">
        <f t="shared" si="2"/>
        <v>1129.499479858725</v>
      </c>
      <c r="J10" s="5" t="s">
        <v>15</v>
      </c>
      <c r="K10" s="31">
        <v>120</v>
      </c>
    </row>
    <row r="11" spans="1:12" ht="17.25" thickBot="1" x14ac:dyDescent="0.35">
      <c r="A11" s="19">
        <v>46188</v>
      </c>
      <c r="B11" s="24">
        <f t="shared" si="3"/>
        <v>10</v>
      </c>
      <c r="C11" s="20"/>
      <c r="D11" s="21">
        <f t="shared" si="0"/>
        <v>180</v>
      </c>
      <c r="E11" s="21">
        <f t="shared" si="1"/>
        <v>52.537808139829878</v>
      </c>
      <c r="F11" s="21">
        <f t="shared" si="5"/>
        <v>127.46219186017012</v>
      </c>
      <c r="G11" s="21">
        <f t="shared" si="4"/>
        <v>16743.038328281105</v>
      </c>
      <c r="H11" s="21">
        <f t="shared" si="2"/>
        <v>1256.9616717188946</v>
      </c>
      <c r="J11" s="8"/>
      <c r="L11" s="22"/>
    </row>
    <row r="12" spans="1:12" x14ac:dyDescent="0.3">
      <c r="A12" s="2">
        <v>46202</v>
      </c>
      <c r="B12" s="23">
        <f t="shared" si="3"/>
        <v>11</v>
      </c>
      <c r="C12" s="3"/>
      <c r="D12" s="4">
        <f t="shared" si="0"/>
        <v>180</v>
      </c>
      <c r="E12" s="4">
        <f t="shared" si="1"/>
        <v>52.140867683141181</v>
      </c>
      <c r="F12" s="4">
        <f t="shared" si="5"/>
        <v>127.85913231685882</v>
      </c>
      <c r="G12" s="4">
        <f t="shared" si="4"/>
        <v>16615.179195964247</v>
      </c>
      <c r="H12" s="4">
        <f t="shared" si="2"/>
        <v>1384.8208040357531</v>
      </c>
      <c r="J12" s="9" t="s">
        <v>16</v>
      </c>
      <c r="K12" s="10">
        <f>IFERROR(MAX($B:$B),"")</f>
        <v>34</v>
      </c>
    </row>
    <row r="13" spans="1:12" x14ac:dyDescent="0.3">
      <c r="A13" s="19">
        <v>46202</v>
      </c>
      <c r="B13" s="24">
        <f t="shared" si="3"/>
        <v>12</v>
      </c>
      <c r="C13" s="20"/>
      <c r="D13" s="21">
        <f t="shared" si="0"/>
        <v>180</v>
      </c>
      <c r="E13" s="21">
        <f t="shared" si="1"/>
        <v>51.74269108164863</v>
      </c>
      <c r="F13" s="21">
        <f t="shared" si="5"/>
        <v>128.25730891835138</v>
      </c>
      <c r="G13" s="21">
        <f t="shared" si="4"/>
        <v>16486.921887045897</v>
      </c>
      <c r="H13" s="21">
        <f t="shared" si="2"/>
        <v>1513.0781129541028</v>
      </c>
      <c r="J13" s="25" t="s">
        <v>22</v>
      </c>
      <c r="K13" s="12">
        <f>(K10*K9)-K9*K12</f>
        <v>15480</v>
      </c>
    </row>
    <row r="14" spans="1:12" x14ac:dyDescent="0.3">
      <c r="A14" s="2">
        <v>46202</v>
      </c>
      <c r="B14" s="23">
        <f t="shared" si="3"/>
        <v>13</v>
      </c>
      <c r="C14" s="3"/>
      <c r="D14" s="4">
        <f t="shared" si="0"/>
        <v>180</v>
      </c>
      <c r="E14" s="4">
        <f t="shared" si="1"/>
        <v>51.34327448577239</v>
      </c>
      <c r="F14" s="4">
        <f t="shared" si="5"/>
        <v>128.65672551422762</v>
      </c>
      <c r="G14" s="4">
        <f t="shared" si="4"/>
        <v>16358.26516153167</v>
      </c>
      <c r="H14" s="4">
        <f t="shared" si="2"/>
        <v>1641.7348384683301</v>
      </c>
      <c r="J14" s="11" t="s">
        <v>23</v>
      </c>
      <c r="K14" s="12">
        <f>IF(A2="", K9*K10, IFERROR(INDEX($G:$G, MATCH($K$12, $B:$B, 0)), 0))</f>
        <v>13561.971112790645</v>
      </c>
    </row>
    <row r="15" spans="1:12" ht="17.25" thickBot="1" x14ac:dyDescent="0.35">
      <c r="A15" s="19">
        <v>46202</v>
      </c>
      <c r="B15" s="24">
        <f t="shared" si="3"/>
        <v>14</v>
      </c>
      <c r="C15" s="20"/>
      <c r="D15" s="21">
        <f t="shared" si="0"/>
        <v>180</v>
      </c>
      <c r="E15" s="21">
        <f t="shared" si="1"/>
        <v>50.942614033944338</v>
      </c>
      <c r="F15" s="21">
        <f t="shared" si="5"/>
        <v>129.05738596605568</v>
      </c>
      <c r="G15" s="21">
        <f t="shared" si="4"/>
        <v>16229.207775565614</v>
      </c>
      <c r="H15" s="21">
        <f t="shared" si="2"/>
        <v>1770.7922244343863</v>
      </c>
      <c r="J15" s="13" t="s">
        <v>6</v>
      </c>
      <c r="K15" s="14">
        <f>IFERROR(INDEX($H:$H, MATCH($K$12, $B:$B, 0)), 0)</f>
        <v>4438.0288872093552</v>
      </c>
    </row>
    <row r="16" spans="1:12" x14ac:dyDescent="0.3">
      <c r="A16" s="2">
        <v>46202</v>
      </c>
      <c r="B16" s="23">
        <f t="shared" si="3"/>
        <v>15</v>
      </c>
      <c r="C16" s="3"/>
      <c r="D16" s="4">
        <f t="shared" si="0"/>
        <v>180</v>
      </c>
      <c r="E16" s="4">
        <f t="shared" si="1"/>
        <v>50.540705852570717</v>
      </c>
      <c r="F16" s="4">
        <f t="shared" si="5"/>
        <v>129.45929414742929</v>
      </c>
      <c r="G16" s="4">
        <f t="shared" si="4"/>
        <v>16099.748481418184</v>
      </c>
      <c r="H16" s="4">
        <f t="shared" si="2"/>
        <v>1900.2515185818156</v>
      </c>
      <c r="J16" s="15" t="s">
        <v>18</v>
      </c>
      <c r="K16" s="16">
        <f>IF(A2,A2, "")</f>
        <v>46175</v>
      </c>
    </row>
    <row r="17" spans="1:11" x14ac:dyDescent="0.3">
      <c r="A17" s="19">
        <v>46202</v>
      </c>
      <c r="B17" s="24">
        <f t="shared" si="3"/>
        <v>16</v>
      </c>
      <c r="C17" s="20"/>
      <c r="D17" s="21">
        <f t="shared" si="0"/>
        <v>180</v>
      </c>
      <c r="E17" s="21">
        <f t="shared" si="1"/>
        <v>50.137546055994719</v>
      </c>
      <c r="F17" s="21">
        <f t="shared" si="5"/>
        <v>129.86245394400527</v>
      </c>
      <c r="G17" s="21">
        <f t="shared" si="4"/>
        <v>15969.886027474178</v>
      </c>
      <c r="H17" s="21">
        <f t="shared" si="2"/>
        <v>2030.1139725258217</v>
      </c>
      <c r="J17" s="17" t="s">
        <v>19</v>
      </c>
      <c r="K17" s="18">
        <f xml:space="preserve"> IF(A2,(K16 + 120),"")</f>
        <v>46295</v>
      </c>
    </row>
    <row r="18" spans="1:11" x14ac:dyDescent="0.3">
      <c r="A18" s="2">
        <v>46202</v>
      </c>
      <c r="B18" s="23">
        <f t="shared" si="3"/>
        <v>17</v>
      </c>
      <c r="C18" s="3"/>
      <c r="D18" s="4">
        <f t="shared" si="0"/>
        <v>180</v>
      </c>
      <c r="E18" s="4">
        <f t="shared" si="1"/>
        <v>49.733130746458869</v>
      </c>
      <c r="F18" s="4">
        <f t="shared" si="5"/>
        <v>130.26686925354113</v>
      </c>
      <c r="G18" s="4">
        <f t="shared" si="4"/>
        <v>15839.619158220637</v>
      </c>
      <c r="H18" s="4">
        <f t="shared" si="2"/>
        <v>2160.3808417793625</v>
      </c>
    </row>
    <row r="19" spans="1:11" x14ac:dyDescent="0.3">
      <c r="A19" s="19">
        <v>46202</v>
      </c>
      <c r="B19" s="24">
        <f t="shared" si="3"/>
        <v>18</v>
      </c>
      <c r="C19" s="20"/>
      <c r="D19" s="21">
        <f t="shared" si="0"/>
        <v>180</v>
      </c>
      <c r="E19" s="21">
        <f t="shared" si="1"/>
        <v>49.327456014067373</v>
      </c>
      <c r="F19" s="21">
        <f t="shared" si="5"/>
        <v>130.67254398593263</v>
      </c>
      <c r="G19" s="21">
        <f t="shared" si="4"/>
        <v>15708.946614234705</v>
      </c>
      <c r="H19" s="21">
        <f t="shared" si="2"/>
        <v>2291.0533857652954</v>
      </c>
    </row>
    <row r="20" spans="1:11" x14ac:dyDescent="0.3">
      <c r="A20" s="2">
        <v>46202</v>
      </c>
      <c r="B20" s="23">
        <f t="shared" si="3"/>
        <v>19</v>
      </c>
      <c r="C20" s="3"/>
      <c r="D20" s="4">
        <f t="shared" si="0"/>
        <v>180</v>
      </c>
      <c r="E20" s="4">
        <f t="shared" si="1"/>
        <v>48.920517936748318</v>
      </c>
      <c r="F20" s="4">
        <f t="shared" si="5"/>
        <v>131.07948206325167</v>
      </c>
      <c r="G20" s="4">
        <f t="shared" si="4"/>
        <v>15577.867132171454</v>
      </c>
      <c r="H20" s="4">
        <f t="shared" si="2"/>
        <v>2422.1328678285463</v>
      </c>
      <c r="J20" s="22"/>
      <c r="K20" s="22"/>
    </row>
    <row r="21" spans="1:11" x14ac:dyDescent="0.3">
      <c r="A21" s="19">
        <v>46202</v>
      </c>
      <c r="B21" s="24">
        <f t="shared" si="3"/>
        <v>20</v>
      </c>
      <c r="C21" s="20"/>
      <c r="D21" s="21">
        <f t="shared" si="0"/>
        <v>180</v>
      </c>
      <c r="E21" s="21">
        <f t="shared" si="1"/>
        <v>48.512312580215742</v>
      </c>
      <c r="F21" s="21">
        <f t="shared" si="5"/>
        <v>131.48768741978427</v>
      </c>
      <c r="G21" s="21">
        <f t="shared" si="4"/>
        <v>15446.37944475167</v>
      </c>
      <c r="H21" s="21">
        <f t="shared" si="2"/>
        <v>2553.6205552483298</v>
      </c>
    </row>
    <row r="22" spans="1:11" x14ac:dyDescent="0.3">
      <c r="A22" s="2">
        <v>46202</v>
      </c>
      <c r="B22" s="23">
        <f t="shared" si="3"/>
        <v>21</v>
      </c>
      <c r="C22" s="3"/>
      <c r="D22" s="4">
        <f t="shared" si="0"/>
        <v>180</v>
      </c>
      <c r="E22" s="4">
        <f t="shared" si="1"/>
        <v>48.102835997931585</v>
      </c>
      <c r="F22" s="4">
        <f t="shared" si="5"/>
        <v>131.89716400206842</v>
      </c>
      <c r="G22" s="4">
        <f t="shared" si="4"/>
        <v>15314.482280749602</v>
      </c>
      <c r="H22" s="4">
        <f t="shared" si="2"/>
        <v>2685.5177192503979</v>
      </c>
    </row>
    <row r="23" spans="1:11" x14ac:dyDescent="0.3">
      <c r="A23" s="19">
        <v>46202</v>
      </c>
      <c r="B23" s="24">
        <f t="shared" si="3"/>
        <v>22</v>
      </c>
      <c r="C23" s="20"/>
      <c r="D23" s="21">
        <f t="shared" si="0"/>
        <v>180</v>
      </c>
      <c r="E23" s="21">
        <f t="shared" si="1"/>
        <v>47.692084231067568</v>
      </c>
      <c r="F23" s="21">
        <f t="shared" si="5"/>
        <v>132.30791576893245</v>
      </c>
      <c r="G23" s="21">
        <f t="shared" si="4"/>
        <v>15182.17436498067</v>
      </c>
      <c r="H23" s="21">
        <f t="shared" si="2"/>
        <v>2817.8256350193296</v>
      </c>
    </row>
    <row r="24" spans="1:11" x14ac:dyDescent="0.3">
      <c r="A24" s="2">
        <v>46202</v>
      </c>
      <c r="B24" s="23">
        <f t="shared" si="3"/>
        <v>23</v>
      </c>
      <c r="C24" s="3"/>
      <c r="D24" s="4">
        <f t="shared" si="0"/>
        <v>180</v>
      </c>
      <c r="E24" s="4">
        <f t="shared" si="1"/>
        <v>47.280053308466897</v>
      </c>
      <c r="F24" s="4">
        <f t="shared" si="5"/>
        <v>132.7199466915331</v>
      </c>
      <c r="G24" s="4">
        <f t="shared" si="4"/>
        <v>15049.454418289137</v>
      </c>
      <c r="H24" s="4">
        <f t="shared" si="2"/>
        <v>2950.5455817108632</v>
      </c>
    </row>
    <row r="25" spans="1:11" x14ac:dyDescent="0.3">
      <c r="A25" s="19">
        <v>46202</v>
      </c>
      <c r="B25" s="24">
        <f t="shared" si="3"/>
        <v>24</v>
      </c>
      <c r="C25" s="20"/>
      <c r="D25" s="21">
        <f t="shared" si="0"/>
        <v>180</v>
      </c>
      <c r="E25" s="21">
        <f t="shared" si="1"/>
        <v>46.866739246605867</v>
      </c>
      <c r="F25" s="21">
        <f t="shared" si="5"/>
        <v>133.13326075339413</v>
      </c>
      <c r="G25" s="21">
        <f t="shared" si="4"/>
        <v>14916.321157535742</v>
      </c>
      <c r="H25" s="21">
        <f t="shared" si="2"/>
        <v>3083.6788424642582</v>
      </c>
    </row>
    <row r="26" spans="1:11" x14ac:dyDescent="0.3">
      <c r="A26" s="2">
        <v>46202</v>
      </c>
      <c r="B26" s="23">
        <f t="shared" si="3"/>
        <v>25</v>
      </c>
      <c r="C26" s="3"/>
      <c r="D26" s="4">
        <f t="shared" si="0"/>
        <v>180</v>
      </c>
      <c r="E26" s="4">
        <f t="shared" si="1"/>
        <v>46.452138049555359</v>
      </c>
      <c r="F26" s="4">
        <f t="shared" si="5"/>
        <v>133.54786195044466</v>
      </c>
      <c r="G26" s="4">
        <f t="shared" si="4"/>
        <v>14782.773295585297</v>
      </c>
      <c r="H26" s="4">
        <f t="shared" si="2"/>
        <v>3217.2267044147029</v>
      </c>
    </row>
    <row r="27" spans="1:11" x14ac:dyDescent="0.3">
      <c r="A27" s="19">
        <v>46202</v>
      </c>
      <c r="B27" s="24">
        <f t="shared" si="3"/>
        <v>26</v>
      </c>
      <c r="C27" s="20"/>
      <c r="D27" s="21">
        <f t="shared" si="0"/>
        <v>180</v>
      </c>
      <c r="E27" s="21">
        <f t="shared" si="1"/>
        <v>46.036245708942204</v>
      </c>
      <c r="F27" s="21">
        <f t="shared" si="5"/>
        <v>133.9637542910578</v>
      </c>
      <c r="G27" s="21">
        <f t="shared" si="4"/>
        <v>14648.809541294238</v>
      </c>
      <c r="H27" s="21">
        <f t="shared" si="2"/>
        <v>3351.1904587057616</v>
      </c>
    </row>
    <row r="28" spans="1:11" x14ac:dyDescent="0.3">
      <c r="A28" s="2">
        <v>46202</v>
      </c>
      <c r="B28" s="23">
        <f t="shared" si="3"/>
        <v>27</v>
      </c>
      <c r="C28" s="3"/>
      <c r="D28" s="4">
        <f t="shared" si="0"/>
        <v>180</v>
      </c>
      <c r="E28" s="4">
        <f t="shared" si="1"/>
        <v>45.619058203910434</v>
      </c>
      <c r="F28" s="4">
        <f t="shared" si="5"/>
        <v>134.38094179608956</v>
      </c>
      <c r="G28" s="4">
        <f t="shared" si="4"/>
        <v>14514.428599498149</v>
      </c>
      <c r="H28" s="4">
        <f t="shared" si="2"/>
        <v>3485.5714005018508</v>
      </c>
    </row>
    <row r="29" spans="1:11" x14ac:dyDescent="0.3">
      <c r="A29" s="19">
        <v>46202</v>
      </c>
      <c r="B29" s="24">
        <f t="shared" si="3"/>
        <v>28</v>
      </c>
      <c r="C29" s="20"/>
      <c r="D29" s="21">
        <f t="shared" si="0"/>
        <v>180</v>
      </c>
      <c r="E29" s="21">
        <f t="shared" si="1"/>
        <v>45.200571501082401</v>
      </c>
      <c r="F29" s="21">
        <f t="shared" si="5"/>
        <v>134.79942849891759</v>
      </c>
      <c r="G29" s="21">
        <f t="shared" si="4"/>
        <v>14379.629170999231</v>
      </c>
      <c r="H29" s="21">
        <f t="shared" si="2"/>
        <v>3620.3708290007689</v>
      </c>
    </row>
    <row r="30" spans="1:11" x14ac:dyDescent="0.3">
      <c r="A30" s="2">
        <v>46202</v>
      </c>
      <c r="B30" s="23">
        <f t="shared" si="3"/>
        <v>29</v>
      </c>
      <c r="C30" s="3"/>
      <c r="D30" s="4">
        <f t="shared" si="0"/>
        <v>180</v>
      </c>
      <c r="E30" s="4">
        <f t="shared" si="1"/>
        <v>44.78078155451977</v>
      </c>
      <c r="F30" s="4">
        <f t="shared" si="5"/>
        <v>135.21921844548024</v>
      </c>
      <c r="G30" s="4">
        <f t="shared" si="4"/>
        <v>14244.409952553751</v>
      </c>
      <c r="H30" s="4">
        <f t="shared" si="2"/>
        <v>3755.5900474462487</v>
      </c>
    </row>
    <row r="31" spans="1:11" x14ac:dyDescent="0.3">
      <c r="A31" s="19">
        <v>46202</v>
      </c>
      <c r="B31" s="24">
        <f t="shared" si="3"/>
        <v>30</v>
      </c>
      <c r="C31" s="20"/>
      <c r="D31" s="21">
        <f t="shared" si="0"/>
        <v>180</v>
      </c>
      <c r="E31" s="21">
        <f t="shared" si="1"/>
        <v>44.359684305684446</v>
      </c>
      <c r="F31" s="21">
        <f t="shared" si="5"/>
        <v>135.64031569431555</v>
      </c>
      <c r="G31" s="21">
        <f t="shared" si="4"/>
        <v>14108.769636859435</v>
      </c>
      <c r="H31" s="21">
        <f t="shared" si="2"/>
        <v>3891.2303631405648</v>
      </c>
    </row>
    <row r="32" spans="1:11" x14ac:dyDescent="0.3">
      <c r="A32" s="2">
        <v>46202</v>
      </c>
      <c r="B32" s="23">
        <f t="shared" si="3"/>
        <v>31</v>
      </c>
      <c r="C32" s="3"/>
      <c r="D32" s="4">
        <f t="shared" si="0"/>
        <v>180</v>
      </c>
      <c r="E32" s="4">
        <f t="shared" si="1"/>
        <v>43.937275683399292</v>
      </c>
      <c r="F32" s="4">
        <f t="shared" si="5"/>
        <v>136.06272431660071</v>
      </c>
      <c r="G32" s="4">
        <f t="shared" si="4"/>
        <v>13972.706912542835</v>
      </c>
      <c r="H32" s="4">
        <f t="shared" si="2"/>
        <v>4027.2930874571648</v>
      </c>
    </row>
    <row r="33" spans="1:8" x14ac:dyDescent="0.3">
      <c r="A33" s="19">
        <v>46203</v>
      </c>
      <c r="B33" s="24">
        <f t="shared" si="3"/>
        <v>32</v>
      </c>
      <c r="C33" s="20"/>
      <c r="D33" s="21">
        <f t="shared" si="0"/>
        <v>180</v>
      </c>
      <c r="E33" s="21">
        <f t="shared" si="1"/>
        <v>43.513551603808779</v>
      </c>
      <c r="F33" s="21">
        <f t="shared" si="5"/>
        <v>136.48644839619124</v>
      </c>
      <c r="G33" s="21">
        <f t="shared" si="4"/>
        <v>13836.220464146643</v>
      </c>
      <c r="H33" s="21">
        <f t="shared" si="2"/>
        <v>4163.7795358533567</v>
      </c>
    </row>
    <row r="34" spans="1:8" x14ac:dyDescent="0.3">
      <c r="A34" s="2">
        <v>46204</v>
      </c>
      <c r="B34" s="23">
        <f t="shared" si="3"/>
        <v>33</v>
      </c>
      <c r="C34" s="3"/>
      <c r="D34" s="4">
        <f t="shared" ref="D34:D65" si="6">IF(AND($A34&lt;&gt;"",$B34&lt;&gt;""),$K$9,"")</f>
        <v>180</v>
      </c>
      <c r="E34" s="4">
        <f t="shared" si="1"/>
        <v>43.088507970339514</v>
      </c>
      <c r="F34" s="4">
        <f t="shared" si="5"/>
        <v>136.91149202966048</v>
      </c>
      <c r="G34" s="4">
        <f t="shared" si="4"/>
        <v>13699.308972116984</v>
      </c>
      <c r="H34" s="4">
        <f t="shared" si="2"/>
        <v>4300.6910278830164</v>
      </c>
    </row>
    <row r="35" spans="1:8" x14ac:dyDescent="0.3">
      <c r="A35" s="19">
        <v>46205</v>
      </c>
      <c r="B35" s="24">
        <f t="shared" si="3"/>
        <v>34</v>
      </c>
      <c r="C35" s="20"/>
      <c r="D35" s="21">
        <f t="shared" si="6"/>
        <v>180</v>
      </c>
      <c r="E35" s="21">
        <f t="shared" ref="E35:E66" si="7">IF(AND($A35&lt;&gt;"",$B35&lt;&gt;""),G34*$K$8,"")</f>
        <v>42.662140673660645</v>
      </c>
      <c r="F35" s="21">
        <f t="shared" si="5"/>
        <v>137.33785932633936</v>
      </c>
      <c r="G35" s="21">
        <f t="shared" si="4"/>
        <v>13561.971112790645</v>
      </c>
      <c r="H35" s="21">
        <f t="shared" ref="H35:H66" si="8">IF(AND($A35&lt;&gt;"",$B35&lt;&gt;""),$K$7-G35,"")</f>
        <v>4438.0288872093552</v>
      </c>
    </row>
    <row r="36" spans="1:8" x14ac:dyDescent="0.3">
      <c r="A36" s="2"/>
      <c r="B36" s="23" t="str">
        <f t="shared" si="3"/>
        <v/>
      </c>
      <c r="C36" s="3"/>
      <c r="D36" s="4" t="str">
        <f t="shared" si="6"/>
        <v/>
      </c>
      <c r="E36" s="4" t="str">
        <f t="shared" si="7"/>
        <v/>
      </c>
      <c r="F36" s="4" t="str">
        <f t="shared" si="5"/>
        <v/>
      </c>
      <c r="G36" s="4" t="str">
        <f t="shared" si="4"/>
        <v/>
      </c>
      <c r="H36" s="4" t="str">
        <f t="shared" si="8"/>
        <v/>
      </c>
    </row>
    <row r="37" spans="1:8" x14ac:dyDescent="0.3">
      <c r="A37" s="19"/>
      <c r="B37" s="24" t="str">
        <f t="shared" si="3"/>
        <v/>
      </c>
      <c r="C37" s="20"/>
      <c r="D37" s="21" t="str">
        <f t="shared" si="6"/>
        <v/>
      </c>
      <c r="E37" s="21" t="str">
        <f t="shared" si="7"/>
        <v/>
      </c>
      <c r="F37" s="21" t="str">
        <f t="shared" si="5"/>
        <v/>
      </c>
      <c r="G37" s="21" t="str">
        <f t="shared" si="4"/>
        <v/>
      </c>
      <c r="H37" s="21" t="str">
        <f t="shared" si="8"/>
        <v/>
      </c>
    </row>
    <row r="38" spans="1:8" x14ac:dyDescent="0.3">
      <c r="A38" s="2"/>
      <c r="B38" s="23" t="str">
        <f t="shared" si="3"/>
        <v/>
      </c>
      <c r="C38" s="3"/>
      <c r="D38" s="4" t="str">
        <f t="shared" si="6"/>
        <v/>
      </c>
      <c r="E38" s="4" t="str">
        <f t="shared" si="7"/>
        <v/>
      </c>
      <c r="F38" s="4" t="str">
        <f t="shared" si="5"/>
        <v/>
      </c>
      <c r="G38" s="4" t="str">
        <f t="shared" si="4"/>
        <v/>
      </c>
      <c r="H38" s="4" t="str">
        <f t="shared" si="8"/>
        <v/>
      </c>
    </row>
    <row r="39" spans="1:8" x14ac:dyDescent="0.3">
      <c r="A39" s="19"/>
      <c r="B39" s="24" t="str">
        <f t="shared" si="3"/>
        <v/>
      </c>
      <c r="C39" s="20"/>
      <c r="D39" s="21" t="str">
        <f t="shared" si="6"/>
        <v/>
      </c>
      <c r="E39" s="21" t="str">
        <f t="shared" si="7"/>
        <v/>
      </c>
      <c r="F39" s="21" t="str">
        <f t="shared" si="5"/>
        <v/>
      </c>
      <c r="G39" s="21" t="str">
        <f t="shared" si="4"/>
        <v/>
      </c>
      <c r="H39" s="21" t="str">
        <f t="shared" si="8"/>
        <v/>
      </c>
    </row>
    <row r="40" spans="1:8" x14ac:dyDescent="0.3">
      <c r="A40" s="2"/>
      <c r="B40" s="23" t="str">
        <f t="shared" si="3"/>
        <v/>
      </c>
      <c r="C40" s="3"/>
      <c r="D40" s="4" t="str">
        <f t="shared" si="6"/>
        <v/>
      </c>
      <c r="E40" s="4" t="str">
        <f t="shared" si="7"/>
        <v/>
      </c>
      <c r="F40" s="4" t="str">
        <f t="shared" si="5"/>
        <v/>
      </c>
      <c r="G40" s="4" t="str">
        <f t="shared" si="4"/>
        <v/>
      </c>
      <c r="H40" s="4" t="str">
        <f t="shared" si="8"/>
        <v/>
      </c>
    </row>
    <row r="41" spans="1:8" x14ac:dyDescent="0.3">
      <c r="A41" s="19"/>
      <c r="B41" s="24" t="str">
        <f t="shared" si="3"/>
        <v/>
      </c>
      <c r="C41" s="20"/>
      <c r="D41" s="21" t="str">
        <f t="shared" si="6"/>
        <v/>
      </c>
      <c r="E41" s="21" t="str">
        <f t="shared" si="7"/>
        <v/>
      </c>
      <c r="F41" s="21" t="str">
        <f t="shared" si="5"/>
        <v/>
      </c>
      <c r="G41" s="21" t="str">
        <f t="shared" si="4"/>
        <v/>
      </c>
      <c r="H41" s="21" t="str">
        <f t="shared" si="8"/>
        <v/>
      </c>
    </row>
    <row r="42" spans="1:8" x14ac:dyDescent="0.3">
      <c r="A42" s="2"/>
      <c r="B42" s="23" t="str">
        <f t="shared" si="3"/>
        <v/>
      </c>
      <c r="C42" s="3"/>
      <c r="D42" s="4" t="str">
        <f t="shared" si="6"/>
        <v/>
      </c>
      <c r="E42" s="4" t="str">
        <f t="shared" si="7"/>
        <v/>
      </c>
      <c r="F42" s="4" t="str">
        <f t="shared" si="5"/>
        <v/>
      </c>
      <c r="G42" s="4" t="str">
        <f t="shared" si="4"/>
        <v/>
      </c>
      <c r="H42" s="4" t="str">
        <f t="shared" si="8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6"/>
        <v/>
      </c>
      <c r="E43" s="21" t="str">
        <f t="shared" si="7"/>
        <v/>
      </c>
      <c r="F43" s="21" t="str">
        <f t="shared" si="5"/>
        <v/>
      </c>
      <c r="G43" s="21" t="str">
        <f t="shared" si="4"/>
        <v/>
      </c>
      <c r="H43" s="21" t="str">
        <f t="shared" si="8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6"/>
        <v/>
      </c>
      <c r="E44" s="4" t="str">
        <f t="shared" si="7"/>
        <v/>
      </c>
      <c r="F44" s="4" t="str">
        <f t="shared" si="5"/>
        <v/>
      </c>
      <c r="G44" s="4" t="str">
        <f t="shared" si="4"/>
        <v/>
      </c>
      <c r="H44" s="4" t="str">
        <f t="shared" si="8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6"/>
        <v/>
      </c>
      <c r="E45" s="21" t="str">
        <f t="shared" si="7"/>
        <v/>
      </c>
      <c r="F45" s="21" t="str">
        <f t="shared" si="5"/>
        <v/>
      </c>
      <c r="G45" s="21" t="str">
        <f t="shared" si="4"/>
        <v/>
      </c>
      <c r="H45" s="21" t="str">
        <f t="shared" si="8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6"/>
        <v/>
      </c>
      <c r="E46" s="4" t="str">
        <f t="shared" si="7"/>
        <v/>
      </c>
      <c r="F46" s="4" t="str">
        <f t="shared" si="5"/>
        <v/>
      </c>
      <c r="G46" s="4" t="str">
        <f t="shared" si="4"/>
        <v/>
      </c>
      <c r="H46" s="4" t="str">
        <f t="shared" si="8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6"/>
        <v/>
      </c>
      <c r="E47" s="21" t="str">
        <f t="shared" si="7"/>
        <v/>
      </c>
      <c r="F47" s="21" t="str">
        <f t="shared" si="5"/>
        <v/>
      </c>
      <c r="G47" s="21" t="str">
        <f t="shared" si="4"/>
        <v/>
      </c>
      <c r="H47" s="21" t="str">
        <f t="shared" si="8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6"/>
        <v/>
      </c>
      <c r="E48" s="4" t="str">
        <f t="shared" si="7"/>
        <v/>
      </c>
      <c r="F48" s="4" t="str">
        <f t="shared" si="5"/>
        <v/>
      </c>
      <c r="G48" s="4" t="str">
        <f t="shared" si="4"/>
        <v/>
      </c>
      <c r="H48" s="4" t="str">
        <f t="shared" si="8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6"/>
        <v/>
      </c>
      <c r="E49" s="21" t="str">
        <f t="shared" si="7"/>
        <v/>
      </c>
      <c r="F49" s="21" t="str">
        <f t="shared" si="5"/>
        <v/>
      </c>
      <c r="G49" s="21" t="str">
        <f t="shared" si="4"/>
        <v/>
      </c>
      <c r="H49" s="21" t="str">
        <f t="shared" si="8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6"/>
        <v/>
      </c>
      <c r="E50" s="4" t="str">
        <f t="shared" si="7"/>
        <v/>
      </c>
      <c r="F50" s="4" t="str">
        <f t="shared" si="5"/>
        <v/>
      </c>
      <c r="G50" s="4" t="str">
        <f t="shared" si="4"/>
        <v/>
      </c>
      <c r="H50" s="4" t="str">
        <f t="shared" si="8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6"/>
        <v/>
      </c>
      <c r="E51" s="21" t="str">
        <f t="shared" si="7"/>
        <v/>
      </c>
      <c r="F51" s="21" t="str">
        <f t="shared" si="5"/>
        <v/>
      </c>
      <c r="G51" s="21" t="str">
        <f t="shared" si="4"/>
        <v/>
      </c>
      <c r="H51" s="21" t="str">
        <f t="shared" si="8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6"/>
        <v/>
      </c>
      <c r="E52" s="4" t="str">
        <f t="shared" si="7"/>
        <v/>
      </c>
      <c r="F52" s="4" t="str">
        <f t="shared" si="5"/>
        <v/>
      </c>
      <c r="G52" s="4" t="str">
        <f t="shared" si="4"/>
        <v/>
      </c>
      <c r="H52" s="4" t="str">
        <f t="shared" si="8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6"/>
        <v/>
      </c>
      <c r="E53" s="21" t="str">
        <f t="shared" si="7"/>
        <v/>
      </c>
      <c r="F53" s="21" t="str">
        <f t="shared" si="5"/>
        <v/>
      </c>
      <c r="G53" s="21" t="str">
        <f t="shared" si="4"/>
        <v/>
      </c>
      <c r="H53" s="21" t="str">
        <f t="shared" si="8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6"/>
        <v/>
      </c>
      <c r="E54" s="4" t="str">
        <f t="shared" si="7"/>
        <v/>
      </c>
      <c r="F54" s="4" t="str">
        <f t="shared" si="5"/>
        <v/>
      </c>
      <c r="G54" s="4" t="str">
        <f t="shared" si="4"/>
        <v/>
      </c>
      <c r="H54" s="4" t="str">
        <f t="shared" si="8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6"/>
        <v/>
      </c>
      <c r="E55" s="21" t="str">
        <f t="shared" si="7"/>
        <v/>
      </c>
      <c r="F55" s="21" t="str">
        <f t="shared" si="5"/>
        <v/>
      </c>
      <c r="G55" s="21" t="str">
        <f t="shared" si="4"/>
        <v/>
      </c>
      <c r="H55" s="21" t="str">
        <f t="shared" si="8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6"/>
        <v/>
      </c>
      <c r="E56" s="4" t="str">
        <f t="shared" si="7"/>
        <v/>
      </c>
      <c r="F56" s="4" t="str">
        <f t="shared" si="5"/>
        <v/>
      </c>
      <c r="G56" s="4" t="str">
        <f t="shared" si="4"/>
        <v/>
      </c>
      <c r="H56" s="4" t="str">
        <f t="shared" si="8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6"/>
        <v/>
      </c>
      <c r="E57" s="21" t="str">
        <f t="shared" si="7"/>
        <v/>
      </c>
      <c r="F57" s="21" t="str">
        <f t="shared" si="5"/>
        <v/>
      </c>
      <c r="G57" s="21" t="str">
        <f t="shared" si="4"/>
        <v/>
      </c>
      <c r="H57" s="21" t="str">
        <f t="shared" si="8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6"/>
        <v/>
      </c>
      <c r="E58" s="4" t="str">
        <f t="shared" si="7"/>
        <v/>
      </c>
      <c r="F58" s="4" t="str">
        <f t="shared" si="5"/>
        <v/>
      </c>
      <c r="G58" s="4" t="str">
        <f t="shared" si="4"/>
        <v/>
      </c>
      <c r="H58" s="4" t="str">
        <f t="shared" si="8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6"/>
        <v/>
      </c>
      <c r="E59" s="21" t="str">
        <f t="shared" si="7"/>
        <v/>
      </c>
      <c r="F59" s="21" t="str">
        <f t="shared" si="5"/>
        <v/>
      </c>
      <c r="G59" s="21" t="str">
        <f t="shared" si="4"/>
        <v/>
      </c>
      <c r="H59" s="21" t="str">
        <f t="shared" si="8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6"/>
        <v/>
      </c>
      <c r="E60" s="4" t="str">
        <f t="shared" si="7"/>
        <v/>
      </c>
      <c r="F60" s="4" t="str">
        <f t="shared" si="5"/>
        <v/>
      </c>
      <c r="G60" s="4" t="str">
        <f t="shared" si="4"/>
        <v/>
      </c>
      <c r="H60" s="4" t="str">
        <f t="shared" si="8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6"/>
        <v/>
      </c>
      <c r="E61" s="21" t="str">
        <f t="shared" si="7"/>
        <v/>
      </c>
      <c r="F61" s="21" t="str">
        <f t="shared" si="5"/>
        <v/>
      </c>
      <c r="G61" s="21" t="str">
        <f t="shared" si="4"/>
        <v/>
      </c>
      <c r="H61" s="21" t="str">
        <f t="shared" si="8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6"/>
        <v/>
      </c>
      <c r="E62" s="4" t="str">
        <f t="shared" si="7"/>
        <v/>
      </c>
      <c r="F62" s="4" t="str">
        <f t="shared" si="5"/>
        <v/>
      </c>
      <c r="G62" s="4" t="str">
        <f t="shared" si="4"/>
        <v/>
      </c>
      <c r="H62" s="4" t="str">
        <f t="shared" si="8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6"/>
        <v/>
      </c>
      <c r="E63" s="21" t="str">
        <f t="shared" si="7"/>
        <v/>
      </c>
      <c r="F63" s="21" t="str">
        <f t="shared" si="5"/>
        <v/>
      </c>
      <c r="G63" s="21" t="str">
        <f t="shared" si="4"/>
        <v/>
      </c>
      <c r="H63" s="21" t="str">
        <f t="shared" si="8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6"/>
        <v/>
      </c>
      <c r="E64" s="4" t="str">
        <f t="shared" si="7"/>
        <v/>
      </c>
      <c r="F64" s="4" t="str">
        <f t="shared" si="5"/>
        <v/>
      </c>
      <c r="G64" s="4" t="str">
        <f t="shared" si="4"/>
        <v/>
      </c>
      <c r="H64" s="4" t="str">
        <f t="shared" si="8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6"/>
        <v/>
      </c>
      <c r="E65" s="21" t="str">
        <f t="shared" si="7"/>
        <v/>
      </c>
      <c r="F65" s="21" t="str">
        <f t="shared" si="5"/>
        <v/>
      </c>
      <c r="G65" s="21" t="str">
        <f t="shared" si="4"/>
        <v/>
      </c>
      <c r="H65" s="21" t="str">
        <f t="shared" si="8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97" si="9">IF(AND($A66&lt;&gt;"",$B66&lt;&gt;""),$K$9,"")</f>
        <v/>
      </c>
      <c r="E66" s="4" t="str">
        <f t="shared" si="7"/>
        <v/>
      </c>
      <c r="F66" s="4" t="str">
        <f t="shared" si="5"/>
        <v/>
      </c>
      <c r="G66" s="4" t="str">
        <f t="shared" si="4"/>
        <v/>
      </c>
      <c r="H66" s="4" t="str">
        <f t="shared" si="8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9"/>
        <v/>
      </c>
      <c r="E67" s="21" t="str">
        <f t="shared" ref="E67:E98" si="10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98" si="11">IF(AND($A67&lt;&gt;"",$B67&lt;&gt;""),$K$7-G67,"")</f>
        <v/>
      </c>
    </row>
    <row r="68" spans="1:8" x14ac:dyDescent="0.3">
      <c r="A68" s="2"/>
      <c r="B68" s="23" t="str">
        <f t="shared" ref="B68:B121" si="12">IF(A68&lt;&gt;"",B67+1,"")</f>
        <v/>
      </c>
      <c r="C68" s="3"/>
      <c r="D68" s="4" t="str">
        <f t="shared" si="9"/>
        <v/>
      </c>
      <c r="E68" s="4" t="str">
        <f t="shared" si="10"/>
        <v/>
      </c>
      <c r="F68" s="4" t="str">
        <f t="shared" si="5"/>
        <v/>
      </c>
      <c r="G68" s="4" t="str">
        <f t="shared" si="4"/>
        <v/>
      </c>
      <c r="H68" s="4" t="str">
        <f t="shared" si="11"/>
        <v/>
      </c>
    </row>
    <row r="69" spans="1:8" x14ac:dyDescent="0.3">
      <c r="A69" s="19"/>
      <c r="B69" s="24" t="str">
        <f t="shared" si="12"/>
        <v/>
      </c>
      <c r="C69" s="20"/>
      <c r="D69" s="21" t="str">
        <f t="shared" si="9"/>
        <v/>
      </c>
      <c r="E69" s="21" t="str">
        <f t="shared" si="10"/>
        <v/>
      </c>
      <c r="F69" s="21" t="str">
        <f t="shared" si="5"/>
        <v/>
      </c>
      <c r="G69" s="21" t="str">
        <f t="shared" si="4"/>
        <v/>
      </c>
      <c r="H69" s="21" t="str">
        <f t="shared" si="11"/>
        <v/>
      </c>
    </row>
    <row r="70" spans="1:8" x14ac:dyDescent="0.3">
      <c r="A70" s="2"/>
      <c r="B70" s="23" t="str">
        <f t="shared" si="12"/>
        <v/>
      </c>
      <c r="C70" s="3"/>
      <c r="D70" s="4" t="str">
        <f t="shared" si="9"/>
        <v/>
      </c>
      <c r="E70" s="4" t="str">
        <f t="shared" si="10"/>
        <v/>
      </c>
      <c r="F70" s="4" t="str">
        <f t="shared" si="5"/>
        <v/>
      </c>
      <c r="G70" s="4" t="str">
        <f t="shared" ref="G70:G121" si="13">IF(AND($A70&lt;&gt;"",$B70&lt;&gt;""),G69-F70,"")</f>
        <v/>
      </c>
      <c r="H70" s="4" t="str">
        <f t="shared" si="11"/>
        <v/>
      </c>
    </row>
    <row r="71" spans="1:8" x14ac:dyDescent="0.3">
      <c r="A71" s="19"/>
      <c r="B71" s="24" t="str">
        <f t="shared" si="12"/>
        <v/>
      </c>
      <c r="C71" s="20"/>
      <c r="D71" s="21" t="str">
        <f t="shared" si="9"/>
        <v/>
      </c>
      <c r="E71" s="21" t="str">
        <f t="shared" si="10"/>
        <v/>
      </c>
      <c r="F71" s="21" t="str">
        <f t="shared" ref="F71:F121" si="14">IF(AND($A71&lt;&gt;"",$B71&lt;&gt;""),D71-E71,"")</f>
        <v/>
      </c>
      <c r="G71" s="21" t="str">
        <f t="shared" si="13"/>
        <v/>
      </c>
      <c r="H71" s="21" t="str">
        <f t="shared" si="11"/>
        <v/>
      </c>
    </row>
    <row r="72" spans="1:8" x14ac:dyDescent="0.3">
      <c r="A72" s="2"/>
      <c r="B72" s="23" t="str">
        <f t="shared" si="12"/>
        <v/>
      </c>
      <c r="C72" s="3"/>
      <c r="D72" s="4" t="str">
        <f t="shared" si="9"/>
        <v/>
      </c>
      <c r="E72" s="4" t="str">
        <f t="shared" si="10"/>
        <v/>
      </c>
      <c r="F72" s="4" t="str">
        <f t="shared" si="14"/>
        <v/>
      </c>
      <c r="G72" s="4" t="str">
        <f t="shared" si="13"/>
        <v/>
      </c>
      <c r="H72" s="4" t="str">
        <f t="shared" si="11"/>
        <v/>
      </c>
    </row>
    <row r="73" spans="1:8" x14ac:dyDescent="0.3">
      <c r="A73" s="19"/>
      <c r="B73" s="24" t="str">
        <f t="shared" si="12"/>
        <v/>
      </c>
      <c r="C73" s="20"/>
      <c r="D73" s="21" t="str">
        <f t="shared" si="9"/>
        <v/>
      </c>
      <c r="E73" s="21" t="str">
        <f t="shared" si="10"/>
        <v/>
      </c>
      <c r="F73" s="21" t="str">
        <f t="shared" si="14"/>
        <v/>
      </c>
      <c r="G73" s="21" t="str">
        <f t="shared" si="13"/>
        <v/>
      </c>
      <c r="H73" s="21" t="str">
        <f t="shared" si="11"/>
        <v/>
      </c>
    </row>
    <row r="74" spans="1:8" x14ac:dyDescent="0.3">
      <c r="A74" s="2"/>
      <c r="B74" s="23" t="str">
        <f t="shared" si="12"/>
        <v/>
      </c>
      <c r="C74" s="3"/>
      <c r="D74" s="4" t="str">
        <f t="shared" si="9"/>
        <v/>
      </c>
      <c r="E74" s="4" t="str">
        <f t="shared" si="10"/>
        <v/>
      </c>
      <c r="F74" s="4" t="str">
        <f t="shared" si="14"/>
        <v/>
      </c>
      <c r="G74" s="4" t="str">
        <f t="shared" si="13"/>
        <v/>
      </c>
      <c r="H74" s="4" t="str">
        <f t="shared" si="11"/>
        <v/>
      </c>
    </row>
    <row r="75" spans="1:8" x14ac:dyDescent="0.3">
      <c r="A75" s="19"/>
      <c r="B75" s="24" t="str">
        <f t="shared" si="12"/>
        <v/>
      </c>
      <c r="C75" s="20"/>
      <c r="D75" s="21" t="str">
        <f t="shared" si="9"/>
        <v/>
      </c>
      <c r="E75" s="21" t="str">
        <f t="shared" si="10"/>
        <v/>
      </c>
      <c r="F75" s="21" t="str">
        <f t="shared" si="14"/>
        <v/>
      </c>
      <c r="G75" s="21" t="str">
        <f t="shared" si="13"/>
        <v/>
      </c>
      <c r="H75" s="21" t="str">
        <f t="shared" si="11"/>
        <v/>
      </c>
    </row>
    <row r="76" spans="1:8" x14ac:dyDescent="0.3">
      <c r="A76" s="2"/>
      <c r="B76" s="23" t="str">
        <f t="shared" si="12"/>
        <v/>
      </c>
      <c r="C76" s="3"/>
      <c r="D76" s="4" t="str">
        <f t="shared" si="9"/>
        <v/>
      </c>
      <c r="E76" s="4" t="str">
        <f t="shared" si="10"/>
        <v/>
      </c>
      <c r="F76" s="4" t="str">
        <f t="shared" si="14"/>
        <v/>
      </c>
      <c r="G76" s="4" t="str">
        <f t="shared" si="13"/>
        <v/>
      </c>
      <c r="H76" s="4" t="str">
        <f t="shared" si="11"/>
        <v/>
      </c>
    </row>
    <row r="77" spans="1:8" x14ac:dyDescent="0.3">
      <c r="A77" s="19"/>
      <c r="B77" s="24" t="str">
        <f t="shared" si="12"/>
        <v/>
      </c>
      <c r="C77" s="20"/>
      <c r="D77" s="21" t="str">
        <f t="shared" si="9"/>
        <v/>
      </c>
      <c r="E77" s="21" t="str">
        <f t="shared" si="10"/>
        <v/>
      </c>
      <c r="F77" s="21" t="str">
        <f t="shared" si="14"/>
        <v/>
      </c>
      <c r="G77" s="21" t="str">
        <f t="shared" si="13"/>
        <v/>
      </c>
      <c r="H77" s="21" t="str">
        <f t="shared" si="11"/>
        <v/>
      </c>
    </row>
    <row r="78" spans="1:8" x14ac:dyDescent="0.3">
      <c r="A78" s="2"/>
      <c r="B78" s="23" t="str">
        <f t="shared" si="12"/>
        <v/>
      </c>
      <c r="C78" s="3"/>
      <c r="D78" s="4" t="str">
        <f t="shared" si="9"/>
        <v/>
      </c>
      <c r="E78" s="4" t="str">
        <f t="shared" si="10"/>
        <v/>
      </c>
      <c r="F78" s="4" t="str">
        <f t="shared" si="14"/>
        <v/>
      </c>
      <c r="G78" s="4" t="str">
        <f t="shared" si="13"/>
        <v/>
      </c>
      <c r="H78" s="4" t="str">
        <f t="shared" si="11"/>
        <v/>
      </c>
    </row>
    <row r="79" spans="1:8" x14ac:dyDescent="0.3">
      <c r="A79" s="19"/>
      <c r="B79" s="24" t="str">
        <f t="shared" si="12"/>
        <v/>
      </c>
      <c r="C79" s="20"/>
      <c r="D79" s="21" t="str">
        <f t="shared" si="9"/>
        <v/>
      </c>
      <c r="E79" s="21" t="str">
        <f t="shared" si="10"/>
        <v/>
      </c>
      <c r="F79" s="21" t="str">
        <f t="shared" si="14"/>
        <v/>
      </c>
      <c r="G79" s="21" t="str">
        <f t="shared" si="13"/>
        <v/>
      </c>
      <c r="H79" s="21" t="str">
        <f t="shared" si="11"/>
        <v/>
      </c>
    </row>
    <row r="80" spans="1:8" x14ac:dyDescent="0.3">
      <c r="A80" s="2"/>
      <c r="B80" s="23" t="str">
        <f t="shared" si="12"/>
        <v/>
      </c>
      <c r="C80" s="3"/>
      <c r="D80" s="4" t="str">
        <f t="shared" si="9"/>
        <v/>
      </c>
      <c r="E80" s="4" t="str">
        <f t="shared" si="10"/>
        <v/>
      </c>
      <c r="F80" s="4" t="str">
        <f t="shared" si="14"/>
        <v/>
      </c>
      <c r="G80" s="4" t="str">
        <f t="shared" si="13"/>
        <v/>
      </c>
      <c r="H80" s="4" t="str">
        <f t="shared" si="11"/>
        <v/>
      </c>
    </row>
    <row r="81" spans="1:8" x14ac:dyDescent="0.3">
      <c r="A81" s="19"/>
      <c r="B81" s="24" t="str">
        <f t="shared" si="12"/>
        <v/>
      </c>
      <c r="C81" s="20"/>
      <c r="D81" s="21" t="str">
        <f t="shared" si="9"/>
        <v/>
      </c>
      <c r="E81" s="21" t="str">
        <f t="shared" si="10"/>
        <v/>
      </c>
      <c r="F81" s="21" t="str">
        <f t="shared" si="14"/>
        <v/>
      </c>
      <c r="G81" s="21" t="str">
        <f t="shared" si="13"/>
        <v/>
      </c>
      <c r="H81" s="21" t="str">
        <f t="shared" si="11"/>
        <v/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89oSUJmFeD0GFei2EWizGpVpcqQpoyyb9L15X7Ot2tJJLTuBb3Uus6ZRRxZibGe73pBDG8xJeDfRY1uMYqRXpw==" saltValue="VsV6rgzhhMAdHdf/MepNP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2026-07-09T08:16:53Z</dcterms:modified>
</cp:coreProperties>
</file>