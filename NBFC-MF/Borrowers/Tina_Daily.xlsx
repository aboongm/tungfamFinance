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7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6" i="4"/>
  <c r="B7" i="4"/>
  <c r="B8" i="4"/>
  <c r="B9" i="4"/>
  <c r="B10" i="4"/>
  <c r="B11" i="4"/>
  <c r="B4" i="4"/>
  <c r="B5" i="4"/>
  <c r="K16" i="4" l="1"/>
  <c r="K17" i="4" s="1"/>
  <c r="K2" i="4" l="1"/>
  <c r="K12" i="4" l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G15" i="4"/>
  <c r="H14" i="4"/>
  <c r="E15" i="4"/>
  <c r="F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G18" i="4"/>
  <c r="E18" i="4"/>
  <c r="F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G20" i="4"/>
  <c r="E20" i="4"/>
  <c r="F20" i="4" s="1"/>
  <c r="H11" i="4"/>
  <c r="E12" i="4"/>
  <c r="F12" i="4" s="1"/>
  <c r="G12" i="4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K14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<sst xmlns="http://schemas.openxmlformats.org/spreadsheetml/2006/main" count="25" uniqueCount="24">
  <si>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</si>
  <si>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</si>
  <si>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</si>
  <si>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</si>
  <si>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</si>
  <si>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</si>
  <si>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</si>
  <si>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</si>
  <si>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</si>
  <si>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</si>
  <si>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</si>
  <si>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</si>
  <si>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</si>
  <si>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</si>
  <si>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</si>
  <si>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</si>
  <si>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</si>
  <si>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</si>
  <si>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</si>
  <si>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</si>
  <si>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</si>
  <si>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</si>
  <si>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</si>
  <si>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Tina_devi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</si>
</sst>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46291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L10000D120-Tina_devi-N227</v>
      </c>
    </row>
    <row r="3" spans="1:12" x14ac:dyDescent="0.3">
      <c r="A3" s="19">
        <v>46292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6" t="s">
        <v>23</v>
      </c>
    </row>
    <row r="4" spans="1:12" x14ac:dyDescent="0.3">
      <c r="A4" s="2">
        <v>46293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6"/>
    </row>
    <row r="5" spans="1:12" x14ac:dyDescent="0.3">
      <c r="A5" s="19">
        <v>46294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6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>IF(AND($A6&lt;&gt;"",$B6&lt;&gt;""),D6-E6,"")</f>
        <v/>
      </c>
      <c r="G6" s="4" t="str">
        <f t="shared" ref="G6:G69" si="4">IF(AND($A6&lt;&gt;"",$B6&lt;&gt;""),G5-F6,"")</f>
        <v/>
      </c>
      <c r="H6" s="4" t="str">
        <f t="shared" si="2"/>
        <v/>
      </c>
      <c r="J6" s="5" t="s">
        <v>13</v>
      </c>
      <c r="K6" s="26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7">
        <v>10000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8">
        <f>RATE(K10,-K9,K7)</f>
        <v>3.1141819460012141E-3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29">
        <v>100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0">
        <v>120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4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21</v>
      </c>
      <c r="K13" s="12">
        <f>(K10*K9)-K9*K12</f>
        <v>11600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22</v>
      </c>
      <c r="K14" s="12">
        <f>IF(A2="", K9*K10, IFERROR(INDEX($G:$G, MATCH($K$12, $B:$B, 0)), 0))</f>
        <v>9723.2779831622556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276.72201683774438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46291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46411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2026-09-30T07:41:29Z</dcterms:modified>
</cp:coreProperties>
</file>