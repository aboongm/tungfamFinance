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227" sheetId="4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" i="4" l="1"/>
  <c r="B3" i="4"/>
  <c r="B118" i="4"/>
  <c r="B119" i="4"/>
  <c r="B120" i="4"/>
  <c r="B121" i="4"/>
  <c r="B71" i="4"/>
  <c r="B72" i="4"/>
  <c r="B73" i="4"/>
  <c r="B74" i="4"/>
  <c r="B75" i="4"/>
  <c r="B76" i="4"/>
  <c r="B77" i="4"/>
  <c r="B78" i="4"/>
  <c r="B79" i="4"/>
  <c r="B80" i="4"/>
  <c r="B81" i="4"/>
  <c r="B82" i="4"/>
  <c r="B83" i="4"/>
  <c r="B84" i="4"/>
  <c r="B85" i="4"/>
  <c r="B86" i="4"/>
  <c r="B87" i="4"/>
  <c r="B88" i="4"/>
  <c r="B89" i="4"/>
  <c r="B90" i="4"/>
  <c r="B91" i="4"/>
  <c r="B92" i="4"/>
  <c r="B93" i="4"/>
  <c r="B94" i="4"/>
  <c r="B95" i="4"/>
  <c r="B96" i="4"/>
  <c r="B97" i="4"/>
  <c r="B98" i="4"/>
  <c r="B99" i="4"/>
  <c r="B100" i="4"/>
  <c r="B101" i="4"/>
  <c r="B102" i="4"/>
  <c r="B103" i="4"/>
  <c r="B104" i="4"/>
  <c r="B105" i="4"/>
  <c r="B106" i="4"/>
  <c r="B107" i="4"/>
  <c r="B108" i="4"/>
  <c r="B109" i="4"/>
  <c r="B110" i="4"/>
  <c r="B111" i="4"/>
  <c r="B112" i="4"/>
  <c r="B113" i="4"/>
  <c r="B114" i="4"/>
  <c r="B115" i="4"/>
  <c r="B116" i="4"/>
  <c r="B117" i="4"/>
  <c r="B59" i="4"/>
  <c r="B60" i="4"/>
  <c r="B61" i="4"/>
  <c r="B62" i="4"/>
  <c r="B63" i="4"/>
  <c r="B64" i="4"/>
  <c r="B65" i="4"/>
  <c r="B66" i="4"/>
  <c r="B67" i="4"/>
  <c r="B68" i="4"/>
  <c r="B69" i="4"/>
  <c r="B70" i="4"/>
  <c r="B51" i="4"/>
  <c r="B52" i="4"/>
  <c r="B53" i="4"/>
  <c r="B54" i="4"/>
  <c r="B55" i="4"/>
  <c r="B56" i="4"/>
  <c r="B57" i="4"/>
  <c r="B58" i="4"/>
  <c r="B42" i="4"/>
  <c r="B43" i="4"/>
  <c r="B44" i="4"/>
  <c r="B45" i="4"/>
  <c r="B46" i="4"/>
  <c r="B47" i="4"/>
  <c r="B48" i="4"/>
  <c r="B49" i="4"/>
  <c r="B50" i="4"/>
  <c r="B37" i="4"/>
  <c r="B38" i="4"/>
  <c r="B39" i="4"/>
  <c r="B40" i="4"/>
  <c r="B41" i="4"/>
  <c r="B31" i="4"/>
  <c r="B32" i="4"/>
  <c r="B33" i="4"/>
  <c r="B34" i="4"/>
  <c r="B35" i="4"/>
  <c r="B36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12" i="4"/>
  <c r="B13" i="4"/>
  <c r="B14" i="4"/>
  <c r="B15" i="4"/>
  <c r="B16" i="4"/>
  <c r="B17" i="4"/>
  <c r="B6" i="4"/>
  <c r="B7" i="4"/>
  <c r="B8" i="4"/>
  <c r="B9" i="4"/>
  <c r="B10" i="4"/>
  <c r="B11" i="4"/>
  <c r="B4" i="4"/>
  <c r="B5" i="4"/>
  <c r="K16" i="4" l="1"/>
  <c r="K17" i="4" s="1"/>
  <c r="K2" i="4" l="1"/>
  <c r="K12" i="4" l="1"/>
  <c r="E13" i="4"/>
  <c r="E29" i="4"/>
  <c r="E47" i="4"/>
  <c r="E63" i="4"/>
  <c r="E87" i="4"/>
  <c r="E105" i="4"/>
  <c r="E120" i="4"/>
  <c r="F105" i="4"/>
  <c r="G105" i="4" s="1"/>
  <c r="D4" i="4"/>
  <c r="D108" i="4"/>
  <c r="D109" i="4"/>
  <c r="D110" i="4"/>
  <c r="D111" i="4"/>
  <c r="D112" i="4"/>
  <c r="D113" i="4"/>
  <c r="D114" i="4"/>
  <c r="D115" i="4"/>
  <c r="D116" i="4"/>
  <c r="D117" i="4"/>
  <c r="D118" i="4"/>
  <c r="D119" i="4"/>
  <c r="D120" i="4"/>
  <c r="F120" i="4" s="1"/>
  <c r="G120" i="4" s="1"/>
  <c r="D121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F87" i="4" s="1"/>
  <c r="G87" i="4" s="1"/>
  <c r="D88" i="4"/>
  <c r="D55" i="4"/>
  <c r="D56" i="4"/>
  <c r="D57" i="4"/>
  <c r="D58" i="4"/>
  <c r="D59" i="4"/>
  <c r="D60" i="4"/>
  <c r="D61" i="4"/>
  <c r="D62" i="4"/>
  <c r="D63" i="4"/>
  <c r="F63" i="4" s="1"/>
  <c r="G63" i="4" s="1"/>
  <c r="D64" i="4"/>
  <c r="D65" i="4"/>
  <c r="D66" i="4"/>
  <c r="D67" i="4"/>
  <c r="D68" i="4"/>
  <c r="D69" i="4"/>
  <c r="D70" i="4"/>
  <c r="D40" i="4"/>
  <c r="D41" i="4"/>
  <c r="D42" i="4"/>
  <c r="D43" i="4"/>
  <c r="D44" i="4"/>
  <c r="D45" i="4"/>
  <c r="D46" i="4"/>
  <c r="D47" i="4"/>
  <c r="F47" i="4" s="1"/>
  <c r="G47" i="4" s="1"/>
  <c r="D48" i="4"/>
  <c r="D49" i="4"/>
  <c r="D50" i="4"/>
  <c r="D51" i="4"/>
  <c r="D52" i="4"/>
  <c r="D53" i="4"/>
  <c r="D54" i="4"/>
  <c r="D26" i="4"/>
  <c r="D27" i="4"/>
  <c r="D28" i="4"/>
  <c r="D29" i="4"/>
  <c r="F29" i="4" s="1"/>
  <c r="G29" i="4" s="1"/>
  <c r="D30" i="4"/>
  <c r="D31" i="4"/>
  <c r="D32" i="4"/>
  <c r="D33" i="4"/>
  <c r="D34" i="4"/>
  <c r="D35" i="4"/>
  <c r="D36" i="4"/>
  <c r="D37" i="4"/>
  <c r="D38" i="4"/>
  <c r="D39" i="4"/>
  <c r="D14" i="4"/>
  <c r="D15" i="4"/>
  <c r="D16" i="4"/>
  <c r="D17" i="4"/>
  <c r="D18" i="4"/>
  <c r="D19" i="4"/>
  <c r="D20" i="4"/>
  <c r="D21" i="4"/>
  <c r="D22" i="4"/>
  <c r="D23" i="4"/>
  <c r="D24" i="4"/>
  <c r="D25" i="4"/>
  <c r="D5" i="4"/>
  <c r="D6" i="4"/>
  <c r="D7" i="4"/>
  <c r="D8" i="4"/>
  <c r="D9" i="4"/>
  <c r="D10" i="4"/>
  <c r="D11" i="4"/>
  <c r="D12" i="4"/>
  <c r="D13" i="4"/>
  <c r="F13" i="4" s="1"/>
  <c r="G13" i="4" s="1"/>
  <c r="D2" i="4"/>
  <c r="D3" i="4"/>
  <c r="K13" i="4" l="1"/>
  <c r="F121" i="4"/>
  <c r="G121" i="4" s="1"/>
  <c r="H121" i="4" s="1"/>
  <c r="H120" i="4"/>
  <c r="E121" i="4"/>
  <c r="H105" i="4"/>
  <c r="E106" i="4"/>
  <c r="F106" i="4" s="1"/>
  <c r="G106" i="4" s="1"/>
  <c r="H87" i="4"/>
  <c r="E88" i="4"/>
  <c r="F88" i="4" s="1"/>
  <c r="G88" i="4" s="1"/>
  <c r="H63" i="4"/>
  <c r="E64" i="4"/>
  <c r="F64" i="4" s="1"/>
  <c r="G64" i="4" s="1"/>
  <c r="H47" i="4"/>
  <c r="E48" i="4"/>
  <c r="F48" i="4" s="1"/>
  <c r="G48" i="4" s="1"/>
  <c r="H29" i="4"/>
  <c r="E30" i="4"/>
  <c r="F30" i="4" s="1"/>
  <c r="G30" i="4" s="1"/>
  <c r="H13" i="4"/>
  <c r="E14" i="4"/>
  <c r="F14" i="4" s="1"/>
  <c r="G14" i="4" s="1"/>
  <c r="K8" i="4"/>
  <c r="E2" i="4" s="1"/>
  <c r="F2" i="4" s="1"/>
  <c r="G2" i="4" s="1"/>
  <c r="H2" i="4" l="1"/>
  <c r="E3" i="4"/>
  <c r="E107" i="4"/>
  <c r="F107" i="4" s="1"/>
  <c r="G107" i="4" s="1"/>
  <c r="H106" i="4"/>
  <c r="H88" i="4"/>
  <c r="E89" i="4"/>
  <c r="F89" i="4" s="1"/>
  <c r="G89" i="4" s="1"/>
  <c r="H64" i="4"/>
  <c r="E65" i="4"/>
  <c r="F65" i="4" s="1"/>
  <c r="G65" i="4" s="1"/>
  <c r="E49" i="4"/>
  <c r="F49" i="4" s="1"/>
  <c r="G49" i="4" s="1"/>
  <c r="H48" i="4"/>
  <c r="H30" i="4"/>
  <c r="E31" i="4"/>
  <c r="F31" i="4" s="1"/>
  <c r="G31" i="4"/>
  <c r="H14" i="4"/>
  <c r="E15" i="4"/>
  <c r="F15" i="4" s="1"/>
  <c r="G15" i="4" s="1"/>
  <c r="E7" i="4"/>
  <c r="F7" i="4" s="1"/>
  <c r="G7" i="4"/>
  <c r="H107" i="4" l="1"/>
  <c r="G108" i="4"/>
  <c r="E108" i="4"/>
  <c r="F108" i="4" s="1"/>
  <c r="H89" i="4"/>
  <c r="E90" i="4"/>
  <c r="F90" i="4" s="1"/>
  <c r="G90" i="4" s="1"/>
  <c r="H65" i="4"/>
  <c r="E66" i="4"/>
  <c r="F66" i="4" s="1"/>
  <c r="G66" i="4" s="1"/>
  <c r="E50" i="4"/>
  <c r="F50" i="4" s="1"/>
  <c r="G50" i="4" s="1"/>
  <c r="H49" i="4"/>
  <c r="E32" i="4"/>
  <c r="F32" i="4" s="1"/>
  <c r="G32" i="4"/>
  <c r="H31" i="4"/>
  <c r="H15" i="4"/>
  <c r="E16" i="4"/>
  <c r="F16" i="4" s="1"/>
  <c r="G16" i="4" s="1"/>
  <c r="E8" i="4"/>
  <c r="F8" i="4" s="1"/>
  <c r="G8" i="4" s="1"/>
  <c r="H7" i="4"/>
  <c r="E109" i="4" l="1"/>
  <c r="F109" i="4" s="1"/>
  <c r="H108" i="4"/>
  <c r="G109" i="4"/>
  <c r="E91" i="4"/>
  <c r="F91" i="4" s="1"/>
  <c r="G91" i="4"/>
  <c r="H90" i="4"/>
  <c r="H66" i="4"/>
  <c r="E67" i="4"/>
  <c r="F67" i="4" s="1"/>
  <c r="G67" i="4" s="1"/>
  <c r="G51" i="4"/>
  <c r="E51" i="4"/>
  <c r="F51" i="4" s="1"/>
  <c r="H50" i="4"/>
  <c r="E33" i="4"/>
  <c r="F33" i="4" s="1"/>
  <c r="G33" i="4" s="1"/>
  <c r="H32" i="4"/>
  <c r="E17" i="4"/>
  <c r="F17" i="4" s="1"/>
  <c r="G17" i="4" s="1"/>
  <c r="H16" i="4"/>
  <c r="H8" i="4"/>
  <c r="E9" i="4"/>
  <c r="F9" i="4" s="1"/>
  <c r="G9" i="4" s="1"/>
  <c r="E110" i="4" l="1"/>
  <c r="F110" i="4" s="1"/>
  <c r="G110" i="4" s="1"/>
  <c r="H109" i="4"/>
  <c r="H91" i="4"/>
  <c r="E92" i="4"/>
  <c r="F92" i="4" s="1"/>
  <c r="G92" i="4"/>
  <c r="H67" i="4"/>
  <c r="E68" i="4"/>
  <c r="F68" i="4" s="1"/>
  <c r="G68" i="4"/>
  <c r="H51" i="4"/>
  <c r="E52" i="4"/>
  <c r="F52" i="4" s="1"/>
  <c r="G52" i="4" s="1"/>
  <c r="H33" i="4"/>
  <c r="E34" i="4"/>
  <c r="F34" i="4" s="1"/>
  <c r="G34" i="4" s="1"/>
  <c r="H17" i="4"/>
  <c r="E18" i="4"/>
  <c r="F18" i="4" s="1"/>
  <c r="G18" i="4" s="1"/>
  <c r="E10" i="4"/>
  <c r="F10" i="4" s="1"/>
  <c r="G10" i="4" s="1"/>
  <c r="H9" i="4"/>
  <c r="G111" i="4" l="1"/>
  <c r="E111" i="4"/>
  <c r="F111" i="4" s="1"/>
  <c r="H110" i="4"/>
  <c r="H92" i="4"/>
  <c r="E93" i="4"/>
  <c r="F93" i="4" s="1"/>
  <c r="G93" i="4" s="1"/>
  <c r="H68" i="4"/>
  <c r="E69" i="4"/>
  <c r="F69" i="4" s="1"/>
  <c r="G69" i="4" s="1"/>
  <c r="G53" i="4"/>
  <c r="E53" i="4"/>
  <c r="F53" i="4" s="1"/>
  <c r="H52" i="4"/>
  <c r="E35" i="4"/>
  <c r="F35" i="4" s="1"/>
  <c r="H34" i="4"/>
  <c r="G35" i="4"/>
  <c r="E19" i="4"/>
  <c r="F19" i="4" s="1"/>
  <c r="G19" i="4" s="1"/>
  <c r="H18" i="4"/>
  <c r="H10" i="4"/>
  <c r="E11" i="4"/>
  <c r="F11" i="4" s="1"/>
  <c r="G11" i="4" s="1"/>
  <c r="E112" i="4" l="1"/>
  <c r="F112" i="4" s="1"/>
  <c r="G112" i="4" s="1"/>
  <c r="H111" i="4"/>
  <c r="H93" i="4"/>
  <c r="E94" i="4"/>
  <c r="F94" i="4" s="1"/>
  <c r="G94" i="4" s="1"/>
  <c r="H69" i="4"/>
  <c r="E70" i="4"/>
  <c r="F70" i="4" s="1"/>
  <c r="G70" i="4" s="1"/>
  <c r="G54" i="4"/>
  <c r="E54" i="4"/>
  <c r="F54" i="4" s="1"/>
  <c r="H53" i="4"/>
  <c r="E36" i="4"/>
  <c r="F36" i="4" s="1"/>
  <c r="G36" i="4"/>
  <c r="H35" i="4"/>
  <c r="H19" i="4"/>
  <c r="G20" i="4"/>
  <c r="E20" i="4"/>
  <c r="F20" i="4" s="1"/>
  <c r="H11" i="4"/>
  <c r="E12" i="4"/>
  <c r="F12" i="4" s="1"/>
  <c r="G12" i="4"/>
  <c r="H12" i="4" s="1"/>
  <c r="E113" i="4" l="1"/>
  <c r="F113" i="4" s="1"/>
  <c r="H112" i="4"/>
  <c r="G113" i="4"/>
  <c r="E95" i="4"/>
  <c r="F95" i="4" s="1"/>
  <c r="G95" i="4"/>
  <c r="H94" i="4"/>
  <c r="H70" i="4"/>
  <c r="E71" i="4"/>
  <c r="F71" i="4" s="1"/>
  <c r="G71" i="4" s="1"/>
  <c r="E55" i="4"/>
  <c r="F55" i="4" s="1"/>
  <c r="G55" i="4" s="1"/>
  <c r="H54" i="4"/>
  <c r="H36" i="4"/>
  <c r="E37" i="4"/>
  <c r="F37" i="4" s="1"/>
  <c r="G37" i="4" s="1"/>
  <c r="E21" i="4"/>
  <c r="F21" i="4" s="1"/>
  <c r="G21" i="4" s="1"/>
  <c r="H20" i="4"/>
  <c r="H113" i="4" l="1"/>
  <c r="E114" i="4"/>
  <c r="F114" i="4" s="1"/>
  <c r="G114" i="4"/>
  <c r="H95" i="4"/>
  <c r="E96" i="4"/>
  <c r="F96" i="4" s="1"/>
  <c r="G96" i="4"/>
  <c r="H71" i="4"/>
  <c r="E72" i="4"/>
  <c r="F72" i="4" s="1"/>
  <c r="G72" i="4"/>
  <c r="H55" i="4"/>
  <c r="E56" i="4"/>
  <c r="F56" i="4" s="1"/>
  <c r="G56" i="4" s="1"/>
  <c r="H37" i="4"/>
  <c r="E38" i="4"/>
  <c r="F38" i="4" s="1"/>
  <c r="G38" i="4" s="1"/>
  <c r="H21" i="4"/>
  <c r="E22" i="4"/>
  <c r="F22" i="4" s="1"/>
  <c r="G22" i="4" s="1"/>
  <c r="E115" i="4" l="1"/>
  <c r="F115" i="4" s="1"/>
  <c r="G115" i="4" s="1"/>
  <c r="H114" i="4"/>
  <c r="H96" i="4"/>
  <c r="E97" i="4"/>
  <c r="F97" i="4" s="1"/>
  <c r="G97" i="4" s="1"/>
  <c r="H72" i="4"/>
  <c r="E73" i="4"/>
  <c r="F73" i="4" s="1"/>
  <c r="G73" i="4" s="1"/>
  <c r="G57" i="4"/>
  <c r="E57" i="4"/>
  <c r="F57" i="4" s="1"/>
  <c r="H56" i="4"/>
  <c r="H38" i="4"/>
  <c r="E39" i="4"/>
  <c r="F39" i="4" s="1"/>
  <c r="G39" i="4"/>
  <c r="H22" i="4"/>
  <c r="E23" i="4"/>
  <c r="F23" i="4" s="1"/>
  <c r="G23" i="4" s="1"/>
  <c r="H115" i="4" l="1"/>
  <c r="E116" i="4"/>
  <c r="F116" i="4" s="1"/>
  <c r="G116" i="4" s="1"/>
  <c r="H97" i="4"/>
  <c r="E98" i="4"/>
  <c r="F98" i="4" s="1"/>
  <c r="G98" i="4" s="1"/>
  <c r="H73" i="4"/>
  <c r="E74" i="4"/>
  <c r="F74" i="4" s="1"/>
  <c r="G74" i="4" s="1"/>
  <c r="E58" i="4"/>
  <c r="F58" i="4" s="1"/>
  <c r="G58" i="4" s="1"/>
  <c r="H57" i="4"/>
  <c r="E40" i="4"/>
  <c r="F40" i="4" s="1"/>
  <c r="G40" i="4" s="1"/>
  <c r="H39" i="4"/>
  <c r="H23" i="4"/>
  <c r="E24" i="4"/>
  <c r="F24" i="4" s="1"/>
  <c r="G24" i="4" s="1"/>
  <c r="H116" i="4" l="1"/>
  <c r="E117" i="4"/>
  <c r="F117" i="4" s="1"/>
  <c r="G117" i="4" s="1"/>
  <c r="E99" i="4"/>
  <c r="F99" i="4" s="1"/>
  <c r="G99" i="4"/>
  <c r="H98" i="4"/>
  <c r="H74" i="4"/>
  <c r="E75" i="4"/>
  <c r="F75" i="4" s="1"/>
  <c r="G75" i="4" s="1"/>
  <c r="G59" i="4"/>
  <c r="E59" i="4"/>
  <c r="F59" i="4" s="1"/>
  <c r="H58" i="4"/>
  <c r="H40" i="4"/>
  <c r="E41" i="4"/>
  <c r="F41" i="4" s="1"/>
  <c r="G41" i="4" s="1"/>
  <c r="E25" i="4"/>
  <c r="F25" i="4" s="1"/>
  <c r="G25" i="4" s="1"/>
  <c r="H24" i="4"/>
  <c r="E118" i="4" l="1"/>
  <c r="F118" i="4" s="1"/>
  <c r="G118" i="4" s="1"/>
  <c r="H117" i="4"/>
  <c r="H99" i="4"/>
  <c r="E100" i="4"/>
  <c r="F100" i="4" s="1"/>
  <c r="G100" i="4"/>
  <c r="H75" i="4"/>
  <c r="E76" i="4"/>
  <c r="F76" i="4" s="1"/>
  <c r="G76" i="4"/>
  <c r="H59" i="4"/>
  <c r="E60" i="4"/>
  <c r="F60" i="4" s="1"/>
  <c r="G60" i="4" s="1"/>
  <c r="H41" i="4"/>
  <c r="E42" i="4"/>
  <c r="F42" i="4" s="1"/>
  <c r="G42" i="4" s="1"/>
  <c r="H25" i="4"/>
  <c r="E26" i="4"/>
  <c r="F26" i="4" s="1"/>
  <c r="G26" i="4" s="1"/>
  <c r="H118" i="4" l="1"/>
  <c r="E119" i="4"/>
  <c r="F119" i="4" s="1"/>
  <c r="G119" i="4" s="1"/>
  <c r="H119" i="4" s="1"/>
  <c r="H100" i="4"/>
  <c r="E101" i="4"/>
  <c r="F101" i="4" s="1"/>
  <c r="G101" i="4" s="1"/>
  <c r="H76" i="4"/>
  <c r="E77" i="4"/>
  <c r="F77" i="4" s="1"/>
  <c r="G77" i="4" s="1"/>
  <c r="E61" i="4"/>
  <c r="F61" i="4" s="1"/>
  <c r="G61" i="4" s="1"/>
  <c r="H60" i="4"/>
  <c r="E43" i="4"/>
  <c r="F43" i="4" s="1"/>
  <c r="H42" i="4"/>
  <c r="G43" i="4"/>
  <c r="E27" i="4"/>
  <c r="F27" i="4" s="1"/>
  <c r="G27" i="4" s="1"/>
  <c r="H26" i="4"/>
  <c r="H101" i="4" l="1"/>
  <c r="E102" i="4"/>
  <c r="F102" i="4" s="1"/>
  <c r="G102" i="4" s="1"/>
  <c r="H77" i="4"/>
  <c r="E78" i="4"/>
  <c r="F78" i="4" s="1"/>
  <c r="G78" i="4" s="1"/>
  <c r="E62" i="4"/>
  <c r="F62" i="4" s="1"/>
  <c r="G62" i="4" s="1"/>
  <c r="H62" i="4" s="1"/>
  <c r="H61" i="4"/>
  <c r="E44" i="4"/>
  <c r="F44" i="4" s="1"/>
  <c r="G44" i="4"/>
  <c r="H43" i="4"/>
  <c r="H27" i="4"/>
  <c r="E28" i="4"/>
  <c r="F28" i="4" s="1"/>
  <c r="G28" i="4" s="1"/>
  <c r="H28" i="4" s="1"/>
  <c r="E103" i="4" l="1"/>
  <c r="F103" i="4" s="1"/>
  <c r="G103" i="4"/>
  <c r="H102" i="4"/>
  <c r="H78" i="4"/>
  <c r="E79" i="4"/>
  <c r="F79" i="4" s="1"/>
  <c r="G79" i="4" s="1"/>
  <c r="G45" i="4"/>
  <c r="E45" i="4"/>
  <c r="F45" i="4" s="1"/>
  <c r="H44" i="4"/>
  <c r="H103" i="4" l="1"/>
  <c r="E104" i="4"/>
  <c r="F104" i="4" s="1"/>
  <c r="G104" i="4"/>
  <c r="H104" i="4" s="1"/>
  <c r="H79" i="4"/>
  <c r="E80" i="4"/>
  <c r="F80" i="4" s="1"/>
  <c r="G80" i="4"/>
  <c r="H45" i="4"/>
  <c r="E46" i="4"/>
  <c r="F46" i="4" s="1"/>
  <c r="G46" i="4" s="1"/>
  <c r="H46" i="4" s="1"/>
  <c r="H80" i="4" l="1"/>
  <c r="E81" i="4"/>
  <c r="F81" i="4" s="1"/>
  <c r="G81" i="4" s="1"/>
  <c r="H81" i="4" l="1"/>
  <c r="E82" i="4"/>
  <c r="F82" i="4" s="1"/>
  <c r="G82" i="4" s="1"/>
  <c r="F3" i="4"/>
  <c r="G3" i="4" s="1"/>
  <c r="E4" i="4" l="1"/>
  <c r="H3" i="4"/>
  <c r="H82" i="4"/>
  <c r="E83" i="4"/>
  <c r="F83" i="4" s="1"/>
  <c r="G83" i="4" s="1"/>
  <c r="F4" i="4"/>
  <c r="G4" i="4" s="1"/>
  <c r="E5" i="4" l="1"/>
  <c r="F5" i="4" s="1"/>
  <c r="G5" i="4" s="1"/>
  <c r="H4" i="4"/>
  <c r="H83" i="4"/>
  <c r="E84" i="4"/>
  <c r="F84" i="4" s="1"/>
  <c r="G84" i="4"/>
  <c r="H5" i="4" l="1"/>
  <c r="E6" i="4"/>
  <c r="F6" i="4" s="1"/>
  <c r="G6" i="4" s="1"/>
  <c r="K14" i="4" s="1"/>
  <c r="H84" i="4"/>
  <c r="E85" i="4"/>
  <c r="F85" i="4" s="1"/>
  <c r="G85" i="4" s="1"/>
  <c r="H6" i="4" l="1"/>
  <c r="K15" i="4" s="1"/>
  <c r="H85" i="4"/>
  <c r="E86" i="4"/>
  <c r="F86" i="4" s="1"/>
  <c r="G86" i="4" s="1"/>
  <c r="H86" i="4" s="1"/>
</calcChain>
</file>

<file path=xl/sharedStrings.xml><?xml version="1.0" encoding="utf-8"?>
<sst xmlns="http://schemas.openxmlformats.org/spreadsheetml/2006/main" count="25" uniqueCount="24">
  <si>
    <t>Date</t>
  </si>
  <si>
    <t>EMI Paid (₹)</t>
  </si>
  <si>
    <t>Interest Portion (₹)</t>
  </si>
  <si>
    <t>Principal Portion (₹)</t>
  </si>
  <si>
    <t>Outstanding Principal (₹)</t>
  </si>
  <si>
    <t>Day</t>
  </si>
  <si>
    <t>Repaid Principal</t>
  </si>
  <si>
    <t>Loan Principal</t>
  </si>
  <si>
    <t>EMI</t>
  </si>
  <si>
    <t>Profile Details</t>
  </si>
  <si>
    <t>Name:</t>
  </si>
  <si>
    <t>Aadhar:</t>
  </si>
  <si>
    <t>Address:</t>
  </si>
  <si>
    <t>Mobile:</t>
  </si>
  <si>
    <t>Daily Rate</t>
  </si>
  <si>
    <t>Days</t>
  </si>
  <si>
    <t>Latest Day</t>
  </si>
  <si>
    <t>Code</t>
  </si>
  <si>
    <t>Start Date</t>
  </si>
  <si>
    <t>End Date</t>
  </si>
  <si>
    <t>Reference Id</t>
  </si>
  <si>
    <t>Out(Int + Principal)</t>
  </si>
  <si>
    <t>Principal Outstanding</t>
  </si>
  <si>
    <t>Tina_devi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</si>
</sst>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[$-409]d\-mmm\-yyyy;@"/>
    <numFmt numFmtId="165" formatCode="_ [$₹-4009]\ * #,##0.00_ ;_ [$₹-4009]\ * \-#,##0.00_ ;_ [$₹-4009]\ * &quot;-&quot;??_ ;_ @_ "/>
    <numFmt numFmtId="166" formatCode="0.0000"/>
  </numFmts>
  <fonts count="8" x14ac:knownFonts="1">
    <font>
      <sz val="11"/>
      <color theme="1"/>
      <name val="Calibri"/>
      <family val="2"/>
      <scheme val="minor"/>
    </font>
    <font>
      <sz val="11"/>
      <color theme="0" tint="-4.9989318521683403E-2"/>
      <name val="Segoe UI"/>
      <family val="2"/>
    </font>
    <font>
      <sz val="11"/>
      <name val="Segoe UI"/>
      <family val="2"/>
    </font>
    <font>
      <sz val="11"/>
      <color theme="0" tint="-0.14999847407452621"/>
      <name val="Segoe UI"/>
      <family val="2"/>
    </font>
    <font>
      <b/>
      <sz val="11"/>
      <color theme="0" tint="-0.14999847407452621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"/>
      <family val="2"/>
    </font>
    <font>
      <sz val="9"/>
      <color theme="0" tint="-0.14999847407452621"/>
      <name val="Segoe UI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medium">
        <color theme="4" tint="0.59996337778862885"/>
      </right>
      <top style="thin">
        <color theme="4" tint="0.59996337778862885"/>
      </top>
      <bottom style="medium">
        <color theme="4" tint="0.59996337778862885"/>
      </bottom>
      <diagonal/>
    </border>
    <border>
      <left style="thin">
        <color theme="4" tint="0.59996337778862885"/>
      </left>
      <right style="thin">
        <color theme="4" tint="0.59996337778862885"/>
      </right>
      <top style="medium">
        <color theme="4" tint="0.59996337778862885"/>
      </top>
      <bottom style="thin">
        <color theme="4" tint="0.59996337778862885"/>
      </bottom>
      <diagonal/>
    </border>
    <border>
      <left style="medium">
        <color theme="4" tint="0.59996337778862885"/>
      </left>
      <right style="thin">
        <color theme="4" tint="0.59996337778862885"/>
      </right>
      <top/>
      <bottom style="thin">
        <color theme="4" tint="0.59996337778862885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3" fillId="4" borderId="0" xfId="0" applyFont="1" applyFill="1" applyProtection="1">
      <protection locked="0"/>
    </xf>
    <xf numFmtId="164" fontId="2" fillId="3" borderId="1" xfId="0" applyNumberFormat="1" applyFont="1" applyFill="1" applyBorder="1" applyAlignment="1" applyProtection="1">
      <alignment horizontal="center" vertical="center"/>
      <protection locked="0"/>
    </xf>
    <xf numFmtId="1" fontId="2" fillId="3" borderId="1" xfId="0" applyNumberFormat="1" applyFont="1" applyFill="1" applyBorder="1" applyAlignment="1" applyProtection="1">
      <alignment horizontal="center" vertical="center"/>
      <protection locked="0"/>
    </xf>
    <xf numFmtId="165" fontId="2" fillId="3" borderId="1" xfId="0" applyNumberFormat="1" applyFont="1" applyFill="1" applyBorder="1" applyAlignment="1" applyProtection="1">
      <alignment horizontal="center" vertical="center"/>
    </xf>
    <xf numFmtId="165" fontId="3" fillId="4" borderId="1" xfId="0" applyNumberFormat="1" applyFont="1" applyFill="1" applyBorder="1" applyAlignment="1" applyProtection="1">
      <alignment horizontal="left" vertical="center"/>
    </xf>
    <xf numFmtId="0" fontId="1" fillId="2" borderId="0" xfId="0" applyFont="1" applyFill="1" applyAlignment="1" applyProtection="1">
      <alignment horizontal="center" vertical="center" wrapText="1"/>
    </xf>
    <xf numFmtId="0" fontId="1" fillId="2" borderId="0" xfId="0" applyFont="1" applyFill="1" applyAlignment="1" applyProtection="1">
      <alignment horizontal="left" vertical="center"/>
    </xf>
    <xf numFmtId="0" fontId="3" fillId="4" borderId="0" xfId="0" applyFont="1" applyFill="1" applyProtection="1"/>
    <xf numFmtId="165" fontId="4" fillId="5" borderId="2" xfId="0" applyNumberFormat="1" applyFont="1" applyFill="1" applyBorder="1" applyAlignment="1" applyProtection="1">
      <alignment horizontal="left" vertical="center"/>
    </xf>
    <xf numFmtId="1" fontId="4" fillId="5" borderId="3" xfId="0" applyNumberFormat="1" applyFont="1" applyFill="1" applyBorder="1" applyAlignment="1" applyProtection="1">
      <alignment horizontal="right" vertical="center"/>
    </xf>
    <xf numFmtId="165" fontId="4" fillId="5" borderId="4" xfId="0" applyNumberFormat="1" applyFont="1" applyFill="1" applyBorder="1" applyAlignment="1" applyProtection="1">
      <alignment horizontal="left" vertical="center"/>
    </xf>
    <xf numFmtId="165" fontId="4" fillId="5" borderId="5" xfId="0" applyNumberFormat="1" applyFont="1" applyFill="1" applyBorder="1" applyAlignment="1" applyProtection="1">
      <alignment horizontal="center" vertical="center"/>
    </xf>
    <xf numFmtId="165" fontId="4" fillId="5" borderId="6" xfId="0" applyNumberFormat="1" applyFont="1" applyFill="1" applyBorder="1" applyAlignment="1" applyProtection="1">
      <alignment horizontal="left" vertical="center"/>
    </xf>
    <xf numFmtId="165" fontId="4" fillId="5" borderId="7" xfId="0" applyNumberFormat="1" applyFont="1" applyFill="1" applyBorder="1" applyAlignment="1" applyProtection="1">
      <alignment horizontal="center" vertical="center"/>
    </xf>
    <xf numFmtId="0" fontId="3" fillId="4" borderId="8" xfId="0" applyFont="1" applyFill="1" applyBorder="1" applyProtection="1"/>
    <xf numFmtId="164" fontId="4" fillId="4" borderId="8" xfId="0" applyNumberFormat="1" applyFont="1" applyFill="1" applyBorder="1" applyProtection="1"/>
    <xf numFmtId="0" fontId="3" fillId="4" borderId="1" xfId="0" applyFont="1" applyFill="1" applyBorder="1" applyProtection="1"/>
    <xf numFmtId="164" fontId="4" fillId="4" borderId="1" xfId="0" applyNumberFormat="1" applyFont="1" applyFill="1" applyBorder="1" applyProtection="1"/>
    <xf numFmtId="164" fontId="2" fillId="6" borderId="1" xfId="0" applyNumberFormat="1" applyFont="1" applyFill="1" applyBorder="1" applyAlignment="1" applyProtection="1">
      <alignment horizontal="center" vertical="center"/>
      <protection locked="0"/>
    </xf>
    <xf numFmtId="1" fontId="2" fillId="6" borderId="1" xfId="0" applyNumberFormat="1" applyFont="1" applyFill="1" applyBorder="1" applyAlignment="1" applyProtection="1">
      <alignment horizontal="center" vertical="center"/>
      <protection locked="0"/>
    </xf>
    <xf numFmtId="165" fontId="2" fillId="6" borderId="1" xfId="0" applyNumberFormat="1" applyFont="1" applyFill="1" applyBorder="1" applyAlignment="1" applyProtection="1">
      <alignment horizontal="center" vertical="center"/>
    </xf>
    <xf numFmtId="165" fontId="3" fillId="4" borderId="0" xfId="0" applyNumberFormat="1" applyFont="1" applyFill="1" applyProtection="1">
      <protection locked="0"/>
    </xf>
    <xf numFmtId="1" fontId="2" fillId="3" borderId="1" xfId="0" applyNumberFormat="1" applyFont="1" applyFill="1" applyBorder="1" applyAlignment="1" applyProtection="1">
      <alignment horizontal="center" vertical="center"/>
    </xf>
    <xf numFmtId="1" fontId="2" fillId="6" borderId="1" xfId="0" applyNumberFormat="1" applyFont="1" applyFill="1" applyBorder="1" applyAlignment="1" applyProtection="1">
      <alignment horizontal="center" vertical="center"/>
    </xf>
    <xf numFmtId="165" fontId="4" fillId="5" borderId="9" xfId="0" applyNumberFormat="1" applyFont="1" applyFill="1" applyBorder="1" applyAlignment="1" applyProtection="1">
      <alignment horizontal="left" vertical="center"/>
    </xf>
    <xf numFmtId="1" fontId="5" fillId="2" borderId="1" xfId="0" applyNumberFormat="1" applyFont="1" applyFill="1" applyBorder="1" applyAlignment="1" applyProtection="1">
      <alignment horizontal="center" vertical="center"/>
      <protection locked="0"/>
    </xf>
    <xf numFmtId="165" fontId="6" fillId="2" borderId="1" xfId="0" applyNumberFormat="1" applyFont="1" applyFill="1" applyBorder="1" applyAlignment="1" applyProtection="1">
      <alignment horizontal="center" vertical="center"/>
      <protection locked="0"/>
    </xf>
    <xf numFmtId="166" fontId="3" fillId="4" borderId="1" xfId="0" applyNumberFormat="1" applyFont="1" applyFill="1" applyBorder="1" applyAlignment="1" applyProtection="1">
      <alignment horizontal="right" vertical="center"/>
    </xf>
    <xf numFmtId="165" fontId="5" fillId="2" borderId="1" xfId="0" applyNumberFormat="1" applyFont="1" applyFill="1" applyBorder="1" applyAlignment="1" applyProtection="1">
      <alignment horizontal="center" vertical="center"/>
      <protection locked="0"/>
    </xf>
    <xf numFmtId="1" fontId="6" fillId="2" borderId="1" xfId="0" applyNumberFormat="1" applyFont="1" applyFill="1" applyBorder="1" applyAlignment="1" applyProtection="1">
      <alignment horizontal="right" vertical="center"/>
      <protection locked="0"/>
    </xf>
    <xf numFmtId="165" fontId="7" fillId="4" borderId="1" xfId="0" applyNumberFormat="1" applyFont="1" applyFill="1" applyBorder="1" applyAlignment="1" applyProtection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1"/>
  <sheetViews>
    <sheetView tabSelected="1" zoomScaleNormal="100" workbookViewId="0">
      <pane ySplit="1" topLeftCell="A8" activePane="bottomLeft" state="frozen"/>
      <selection pane="bottomLeft" activeCell="A19" sqref="A19"/>
    </sheetView>
  </sheetViews>
  <sheetFormatPr defaultRowHeight="16.5" x14ac:dyDescent="0.3"/>
  <cols>
    <col min="1" max="1" width="15.85546875" style="1" customWidth="1"/>
    <col min="2" max="2" width="8.5703125" style="1" customWidth="1"/>
    <col min="3" max="3" width="12.42578125" style="1" customWidth="1"/>
    <col min="4" max="7" width="14.7109375" style="1" customWidth="1"/>
    <col min="8" max="8" width="13" style="1" customWidth="1"/>
    <col min="9" max="9" width="1.5703125" style="1" customWidth="1"/>
    <col min="10" max="10" width="24.140625" style="1" customWidth="1"/>
    <col min="11" max="11" width="32.28515625" style="1" customWidth="1"/>
    <col min="12" max="12" width="10" style="1" bestFit="1" customWidth="1"/>
    <col min="13" max="16384" width="9.140625" style="1"/>
  </cols>
  <sheetData>
    <row r="1" spans="1:12" ht="33" x14ac:dyDescent="0.3">
      <c r="A1" s="6" t="s">
        <v>0</v>
      </c>
      <c r="B1" s="6" t="s">
        <v>5</v>
      </c>
      <c r="C1" s="6" t="s">
        <v>20</v>
      </c>
      <c r="D1" s="6" t="s">
        <v>1</v>
      </c>
      <c r="E1" s="6" t="s">
        <v>2</v>
      </c>
      <c r="F1" s="6" t="s">
        <v>3</v>
      </c>
      <c r="G1" s="6" t="s">
        <v>4</v>
      </c>
      <c r="H1" s="6" t="s">
        <v>6</v>
      </c>
      <c r="J1" s="7" t="s">
        <v>9</v>
      </c>
      <c r="K1" s="6"/>
    </row>
    <row r="2" spans="1:12" x14ac:dyDescent="0.3">
      <c r="A2" s="2">
        <v>46291</v>
      </c>
      <c r="B2" s="23">
        <f>IF(A2&lt;&gt;"",1,"")</f>
        <v>1</v>
      </c>
      <c r="C2" s="3"/>
      <c r="D2" s="4">
        <f t="shared" ref="D2:D33" si="0">IF(AND($A2&lt;&gt;"",$B2&lt;&gt;""),$K$9,"")</f>
        <v>100</v>
      </c>
      <c r="E2" s="4">
        <f>IF(AND($A2&lt;&gt;"",$B2&lt;&gt;""),$K$7*$K$8,"")</f>
        <v>31.14181946001214</v>
      </c>
      <c r="F2" s="4">
        <f>IF(AND($A2&lt;&gt;"",$B2&lt;&gt;""),D2-E2,"")</f>
        <v>68.858180539987856</v>
      </c>
      <c r="G2" s="4">
        <f>IF(AND($A2&lt;&gt;"",$B2&lt;&gt;""),$K$7-F2,"")</f>
        <v>9931.1418194600119</v>
      </c>
      <c r="H2" s="4">
        <f>IF(AND($A2&lt;&gt;"",$B2&lt;&gt;""),$K$7-G2,"")</f>
        <v>68.858180539988098</v>
      </c>
      <c r="J2" s="5" t="s">
        <v>17</v>
      </c>
      <c r="K2" s="31" t="str">
        <f ca="1">IF(K3&lt;&gt;"",
   "L" &amp; TEXT(K7,"0") &amp;
   IF(J10="Weeks","W","D") &amp; K10 &amp;
   "-" &amp; K3 &amp;
   "-N" &amp; RIGHT(CELL("filename",A1),LEN(CELL("filename",A1))-FIND("]",CELL("filename",A1))),
   "")</f>
        <v>L10000D120-Tina_devi-N227</v>
      </c>
    </row>
    <row r="3" spans="1:12" x14ac:dyDescent="0.3">
      <c r="A3" s="19">
        <v>46292</v>
      </c>
      <c r="B3" s="24">
        <f>IF(A3&lt;&gt;"",B2+1,"")</f>
        <v>2</v>
      </c>
      <c r="C3" s="20"/>
      <c r="D3" s="21">
        <f t="shared" si="0"/>
        <v>100</v>
      </c>
      <c r="E3" s="21">
        <f t="shared" ref="E3:E34" si="1">IF(AND($A3&lt;&gt;"",$B3&lt;&gt;""),G2*$K$8,"")</f>
        <v>30.927382557340017</v>
      </c>
      <c r="F3" s="21">
        <f>IF(AND($A3&lt;&gt;"",$B3&lt;&gt;""),D3-E3,"")</f>
        <v>69.072617442659975</v>
      </c>
      <c r="G3" s="21">
        <f>IF(AND($A3&lt;&gt;"",$B3&lt;&gt;""),G2-F3,"")</f>
        <v>9862.0692020173519</v>
      </c>
      <c r="H3" s="21">
        <f t="shared" ref="H3:H34" si="2">IF(AND($A3&lt;&gt;"",$B3&lt;&gt;""),$K$7-G3,"")</f>
        <v>137.93079798264807</v>
      </c>
      <c r="J3" s="5" t="s">
        <v>10</v>
      </c>
      <c r="K3" s="26" t="s">
        <v>23</v>
      </c>
    </row>
    <row r="4" spans="1:12" x14ac:dyDescent="0.3">
      <c r="A4" s="2">
        <v>46293</v>
      </c>
      <c r="B4" s="23">
        <f t="shared" ref="B4:B67" si="3">IF(A4&lt;&gt;"",B3+1,"")</f>
        <v>3</v>
      </c>
      <c r="C4" s="3"/>
      <c r="D4" s="4">
        <f t="shared" si="0"/>
        <v>100</v>
      </c>
      <c r="E4" s="4">
        <f t="shared" si="1"/>
        <v>30.712277859137039</v>
      </c>
      <c r="F4" s="4">
        <f>IF(AND($A4&lt;&gt;"",$B4&lt;&gt;""),D4-E4,"")</f>
        <v>69.287722140862968</v>
      </c>
      <c r="G4" s="4">
        <f>IF(AND($A4&lt;&gt;"",$B4&lt;&gt;""),G3-F4,"")</f>
        <v>9792.7814798764884</v>
      </c>
      <c r="H4" s="4">
        <f t="shared" si="2"/>
        <v>207.21852012351155</v>
      </c>
      <c r="J4" s="5" t="s">
        <v>11</v>
      </c>
      <c r="K4" s="26"/>
    </row>
    <row r="5" spans="1:12" x14ac:dyDescent="0.3">
      <c r="A5" s="19">
        <v>46294</v>
      </c>
      <c r="B5" s="24">
        <f t="shared" si="3"/>
        <v>4</v>
      </c>
      <c r="C5" s="20"/>
      <c r="D5" s="21">
        <f t="shared" si="0"/>
        <v>100</v>
      </c>
      <c r="E5" s="21">
        <f t="shared" si="1"/>
        <v>30.496503285766412</v>
      </c>
      <c r="F5" s="21">
        <f>IF(AND($A5&lt;&gt;"",$B5&lt;&gt;""),D5-E5,"")</f>
        <v>69.503496714233592</v>
      </c>
      <c r="G5" s="21">
        <f>IF(AND($A5&lt;&gt;"",$B5&lt;&gt;""),G4-F5,"")</f>
        <v>9723.2779831622556</v>
      </c>
      <c r="H5" s="21">
        <f t="shared" si="2"/>
        <v>276.72201683774438</v>
      </c>
      <c r="J5" s="5" t="s">
        <v>12</v>
      </c>
      <c r="K5" s="26"/>
    </row>
    <row r="6" spans="1:12" x14ac:dyDescent="0.3">
      <c r="A6" s="2">
        <v>46295</v>
      </c>
      <c r="B6" s="23">
        <f t="shared" si="3"/>
        <v>5</v>
      </c>
      <c r="C6" s="3"/>
      <c r="D6" s="4">
        <f t="shared" si="0"/>
        <v>100</v>
      </c>
      <c r="E6" s="4">
        <f t="shared" si="1"/>
        <v>30.280056751114994</v>
      </c>
      <c r="F6" s="4">
        <f>IF(AND($A6&lt;&gt;"",$B6&lt;&gt;""),D6-E6,"")</f>
        <v>69.719943248885002</v>
      </c>
      <c r="G6" s="4">
        <f t="shared" ref="G6:G69" si="4">IF(AND($A6&lt;&gt;"",$B6&lt;&gt;""),G5-F6,"")</f>
        <v>9653.5580399133705</v>
      </c>
      <c r="H6" s="4">
        <f t="shared" si="2"/>
        <v>346.44196008662948</v>
      </c>
      <c r="J6" s="5" t="s">
        <v>13</v>
      </c>
      <c r="K6" s="26"/>
    </row>
    <row r="7" spans="1:12" x14ac:dyDescent="0.3">
      <c r="A7" s="19">
        <v>46296</v>
      </c>
      <c r="B7" s="24">
        <f t="shared" si="3"/>
        <v>6</v>
      </c>
      <c r="C7" s="20"/>
      <c r="D7" s="21">
        <f t="shared" si="0"/>
        <v>100</v>
      </c>
      <c r="E7" s="21">
        <f t="shared" si="1"/>
        <v>30.062936162573088</v>
      </c>
      <c r="F7" s="21">
        <f t="shared" ref="F7:F70" si="5">IF(AND($A7&lt;&gt;"",$B7&lt;&gt;""),D7-E7,"")</f>
        <v>69.937063837426905</v>
      </c>
      <c r="G7" s="21">
        <f t="shared" si="4"/>
        <v>9583.620976075943</v>
      </c>
      <c r="H7" s="21">
        <f t="shared" si="2"/>
        <v>416.37902392405704</v>
      </c>
      <c r="J7" s="5" t="s">
        <v>7</v>
      </c>
      <c r="K7" s="27">
        <v>10000</v>
      </c>
    </row>
    <row r="8" spans="1:12" x14ac:dyDescent="0.3">
      <c r="A8" s="2">
        <v>46297</v>
      </c>
      <c r="B8" s="23">
        <f t="shared" si="3"/>
        <v>7</v>
      </c>
      <c r="C8" s="3"/>
      <c r="D8" s="4">
        <f t="shared" si="0"/>
        <v>100</v>
      </c>
      <c r="E8" s="4">
        <f t="shared" si="1"/>
        <v>29.845139421014235</v>
      </c>
      <c r="F8" s="4">
        <f t="shared" si="5"/>
        <v>70.154860578985762</v>
      </c>
      <c r="G8" s="4">
        <f t="shared" si="4"/>
        <v>9513.4661154969581</v>
      </c>
      <c r="H8" s="4">
        <f t="shared" si="2"/>
        <v>486.53388450304192</v>
      </c>
      <c r="J8" s="5" t="s">
        <v>14</v>
      </c>
      <c r="K8" s="28">
        <f>RATE(K10,-K9,K7)</f>
        <v>3.1141819460012141E-3</v>
      </c>
    </row>
    <row r="9" spans="1:12" x14ac:dyDescent="0.3">
      <c r="A9" s="19">
        <v>46298</v>
      </c>
      <c r="B9" s="24">
        <f t="shared" si="3"/>
        <v>8</v>
      </c>
      <c r="C9" s="20"/>
      <c r="D9" s="21">
        <f t="shared" si="0"/>
        <v>100</v>
      </c>
      <c r="E9" s="21">
        <f t="shared" si="1"/>
        <v>29.626664420774929</v>
      </c>
      <c r="F9" s="21">
        <f t="shared" si="5"/>
        <v>70.373335579225071</v>
      </c>
      <c r="G9" s="21">
        <f t="shared" si="4"/>
        <v>9443.0927799177334</v>
      </c>
      <c r="H9" s="21">
        <f t="shared" si="2"/>
        <v>556.90722008226658</v>
      </c>
      <c r="J9" s="5" t="s">
        <v>8</v>
      </c>
      <c r="K9" s="29">
        <v>100</v>
      </c>
    </row>
    <row r="10" spans="1:12" x14ac:dyDescent="0.3">
      <c r="A10" s="2">
        <v>46299</v>
      </c>
      <c r="B10" s="23">
        <f t="shared" si="3"/>
        <v>9</v>
      </c>
      <c r="C10" s="3"/>
      <c r="D10" s="4">
        <f t="shared" si="0"/>
        <v>100</v>
      </c>
      <c r="E10" s="4">
        <f t="shared" si="1"/>
        <v>29.407509049634221</v>
      </c>
      <c r="F10" s="4">
        <f t="shared" si="5"/>
        <v>70.592490950365772</v>
      </c>
      <c r="G10" s="4">
        <f t="shared" si="4"/>
        <v>9372.5002889673669</v>
      </c>
      <c r="H10" s="4">
        <f t="shared" si="2"/>
        <v>627.49971103263306</v>
      </c>
      <c r="J10" s="5" t="s">
        <v>15</v>
      </c>
      <c r="K10" s="30">
        <v>120</v>
      </c>
    </row>
    <row r="11" spans="1:12" ht="17.25" thickBot="1" x14ac:dyDescent="0.35">
      <c r="A11" s="19">
        <v>46300</v>
      </c>
      <c r="B11" s="24">
        <f t="shared" si="3"/>
        <v>10</v>
      </c>
      <c r="C11" s="20"/>
      <c r="D11" s="21">
        <f t="shared" si="0"/>
        <v>100</v>
      </c>
      <c r="E11" s="21">
        <f t="shared" si="1"/>
        <v>29.187671188793338</v>
      </c>
      <c r="F11" s="21">
        <f t="shared" si="5"/>
        <v>70.812328811206669</v>
      </c>
      <c r="G11" s="21">
        <f t="shared" si="4"/>
        <v>9301.6879601561595</v>
      </c>
      <c r="H11" s="21">
        <f t="shared" si="2"/>
        <v>698.31203984384047</v>
      </c>
      <c r="J11" s="8"/>
      <c r="L11" s="22"/>
    </row>
    <row r="12" spans="1:12" x14ac:dyDescent="0.3">
      <c r="A12" s="2">
        <v>46301</v>
      </c>
      <c r="B12" s="23">
        <f t="shared" si="3"/>
        <v>11</v>
      </c>
      <c r="C12" s="3"/>
      <c r="D12" s="4">
        <f t="shared" si="0"/>
        <v>100</v>
      </c>
      <c r="E12" s="4">
        <f t="shared" si="1"/>
        <v>28.967148712855174</v>
      </c>
      <c r="F12" s="4">
        <f t="shared" si="5"/>
        <v>71.032851287144823</v>
      </c>
      <c r="G12" s="4">
        <f t="shared" si="4"/>
        <v>9230.6551088690139</v>
      </c>
      <c r="H12" s="4">
        <f t="shared" si="2"/>
        <v>769.34489113098607</v>
      </c>
      <c r="J12" s="9" t="s">
        <v>16</v>
      </c>
      <c r="K12" s="10">
        <f>IFERROR(MAX($B:$B),"")</f>
        <v>17</v>
      </c>
    </row>
    <row r="13" spans="1:12" x14ac:dyDescent="0.3">
      <c r="A13" s="19">
        <v>46302</v>
      </c>
      <c r="B13" s="24">
        <f t="shared" si="3"/>
        <v>12</v>
      </c>
      <c r="C13" s="20"/>
      <c r="D13" s="21">
        <f t="shared" si="0"/>
        <v>100</v>
      </c>
      <c r="E13" s="21">
        <f t="shared" si="1"/>
        <v>28.745939489803757</v>
      </c>
      <c r="F13" s="21">
        <f t="shared" si="5"/>
        <v>71.25406051019624</v>
      </c>
      <c r="G13" s="21">
        <f t="shared" si="4"/>
        <v>9159.4010483588172</v>
      </c>
      <c r="H13" s="21">
        <f t="shared" si="2"/>
        <v>840.59895164118279</v>
      </c>
      <c r="J13" s="25" t="s">
        <v>21</v>
      </c>
      <c r="K13" s="12">
        <f>(K10*K9)-K9*K12</f>
        <v>10300</v>
      </c>
    </row>
    <row r="14" spans="1:12" x14ac:dyDescent="0.3">
      <c r="A14" s="2">
        <v>46303</v>
      </c>
      <c r="B14" s="23">
        <f t="shared" si="3"/>
        <v>13</v>
      </c>
      <c r="C14" s="3"/>
      <c r="D14" s="4">
        <f t="shared" si="0"/>
        <v>100</v>
      </c>
      <c r="E14" s="4">
        <f t="shared" si="1"/>
        <v>28.524041380983622</v>
      </c>
      <c r="F14" s="4">
        <f t="shared" si="5"/>
        <v>71.475958619016382</v>
      </c>
      <c r="G14" s="4">
        <f t="shared" si="4"/>
        <v>9087.9250897398015</v>
      </c>
      <c r="H14" s="4">
        <f t="shared" si="2"/>
        <v>912.07491026019852</v>
      </c>
      <c r="J14" s="11" t="s">
        <v>22</v>
      </c>
      <c r="K14" s="12">
        <f>IF(A2="", K9*K10, IFERROR(INDEX($G:$G, MATCH($K$12, $B:$B, 0)), 0))</f>
        <v>8799.7884212336685</v>
      </c>
    </row>
    <row r="15" spans="1:12" ht="17.25" thickBot="1" x14ac:dyDescent="0.35">
      <c r="A15" s="19">
        <v>46304</v>
      </c>
      <c r="B15" s="24">
        <f t="shared" si="3"/>
        <v>14</v>
      </c>
      <c r="C15" s="20"/>
      <c r="D15" s="21">
        <f t="shared" si="0"/>
        <v>100</v>
      </c>
      <c r="E15" s="21">
        <f t="shared" si="1"/>
        <v>28.301452241079154</v>
      </c>
      <c r="F15" s="21">
        <f t="shared" si="5"/>
        <v>71.698547758920853</v>
      </c>
      <c r="G15" s="21">
        <f t="shared" si="4"/>
        <v>9016.2265419808809</v>
      </c>
      <c r="H15" s="21">
        <f t="shared" si="2"/>
        <v>983.77345801911906</v>
      </c>
      <c r="J15" s="13" t="s">
        <v>6</v>
      </c>
      <c r="K15" s="14">
        <f>IFERROR(INDEX($H:$H, MATCH($K$12, $B:$B, 0)), 0)</f>
        <v>1200.2115787663315</v>
      </c>
    </row>
    <row r="16" spans="1:12" x14ac:dyDescent="0.3">
      <c r="A16" s="2">
        <v>46305</v>
      </c>
      <c r="B16" s="23">
        <f t="shared" si="3"/>
        <v>15</v>
      </c>
      <c r="C16" s="3"/>
      <c r="D16" s="4">
        <f t="shared" si="0"/>
        <v>100</v>
      </c>
      <c r="E16" s="4">
        <f t="shared" si="1"/>
        <v>28.078169918093817</v>
      </c>
      <c r="F16" s="4">
        <f t="shared" si="5"/>
        <v>71.92183008190618</v>
      </c>
      <c r="G16" s="4">
        <f t="shared" si="4"/>
        <v>8944.3047118989743</v>
      </c>
      <c r="H16" s="4">
        <f t="shared" si="2"/>
        <v>1055.6952881010257</v>
      </c>
      <c r="J16" s="15" t="s">
        <v>18</v>
      </c>
      <c r="K16" s="16">
        <f>IF(A2,A2, "")</f>
        <v>46291</v>
      </c>
    </row>
    <row r="17" spans="1:11" x14ac:dyDescent="0.3">
      <c r="A17" s="19">
        <v>46306</v>
      </c>
      <c r="B17" s="24">
        <f t="shared" si="3"/>
        <v>16</v>
      </c>
      <c r="C17" s="20"/>
      <c r="D17" s="21">
        <f t="shared" si="0"/>
        <v>100</v>
      </c>
      <c r="E17" s="21">
        <f t="shared" si="1"/>
        <v>27.854192253329376</v>
      </c>
      <c r="F17" s="21">
        <f t="shared" si="5"/>
        <v>72.145807746670627</v>
      </c>
      <c r="G17" s="21">
        <f t="shared" si="4"/>
        <v>8872.1589041523039</v>
      </c>
      <c r="H17" s="21">
        <f t="shared" si="2"/>
        <v>1127.8410958476961</v>
      </c>
      <c r="J17" s="17" t="s">
        <v>19</v>
      </c>
      <c r="K17" s="18">
        <f xml:space="preserve"> IF(A2,(K16 + 120),"")</f>
        <v>46411</v>
      </c>
    </row>
    <row r="18" spans="1:11" x14ac:dyDescent="0.3">
      <c r="A18" s="2">
        <v>46307</v>
      </c>
      <c r="B18" s="23">
        <f t="shared" si="3"/>
        <v>17</v>
      </c>
      <c r="C18" s="3"/>
      <c r="D18" s="4">
        <f t="shared" si="0"/>
        <v>100</v>
      </c>
      <c r="E18" s="4">
        <f t="shared" si="1"/>
        <v>27.629517081365023</v>
      </c>
      <c r="F18" s="4">
        <f t="shared" si="5"/>
        <v>72.370482918634977</v>
      </c>
      <c r="G18" s="4">
        <f t="shared" si="4"/>
        <v>8799.7884212336685</v>
      </c>
      <c r="H18" s="4">
        <f t="shared" si="2"/>
        <v>1200.2115787663315</v>
      </c>
    </row>
    <row r="19" spans="1:11" x14ac:dyDescent="0.3">
      <c r="A19" s="19"/>
      <c r="B19" s="24" t="str">
        <f t="shared" si="3"/>
        <v/>
      </c>
      <c r="C19" s="20"/>
      <c r="D19" s="21" t="str">
        <f t="shared" si="0"/>
        <v/>
      </c>
      <c r="E19" s="21" t="str">
        <f t="shared" si="1"/>
        <v/>
      </c>
      <c r="F19" s="21" t="str">
        <f t="shared" si="5"/>
        <v/>
      </c>
      <c r="G19" s="21" t="str">
        <f t="shared" si="4"/>
        <v/>
      </c>
      <c r="H19" s="21" t="str">
        <f t="shared" si="2"/>
        <v/>
      </c>
    </row>
    <row r="20" spans="1:11" x14ac:dyDescent="0.3">
      <c r="A20" s="2"/>
      <c r="B20" s="23" t="str">
        <f t="shared" si="3"/>
        <v/>
      </c>
      <c r="C20" s="3"/>
      <c r="D20" s="4" t="str">
        <f t="shared" si="0"/>
        <v/>
      </c>
      <c r="E20" s="4" t="str">
        <f t="shared" si="1"/>
        <v/>
      </c>
      <c r="F20" s="4" t="str">
        <f t="shared" si="5"/>
        <v/>
      </c>
      <c r="G20" s="4" t="str">
        <f t="shared" si="4"/>
        <v/>
      </c>
      <c r="H20" s="4" t="str">
        <f t="shared" si="2"/>
        <v/>
      </c>
      <c r="J20" s="22"/>
      <c r="K20" s="22"/>
    </row>
    <row r="21" spans="1:11" x14ac:dyDescent="0.3">
      <c r="A21" s="19"/>
      <c r="B21" s="24" t="str">
        <f t="shared" si="3"/>
        <v/>
      </c>
      <c r="C21" s="20"/>
      <c r="D21" s="21" t="str">
        <f t="shared" si="0"/>
        <v/>
      </c>
      <c r="E21" s="21" t="str">
        <f t="shared" si="1"/>
        <v/>
      </c>
      <c r="F21" s="21" t="str">
        <f t="shared" si="5"/>
        <v/>
      </c>
      <c r="G21" s="21" t="str">
        <f t="shared" si="4"/>
        <v/>
      </c>
      <c r="H21" s="21" t="str">
        <f t="shared" si="2"/>
        <v/>
      </c>
    </row>
    <row r="22" spans="1:11" x14ac:dyDescent="0.3">
      <c r="A22" s="2"/>
      <c r="B22" s="23" t="str">
        <f t="shared" si="3"/>
        <v/>
      </c>
      <c r="C22" s="3"/>
      <c r="D22" s="4" t="str">
        <f t="shared" si="0"/>
        <v/>
      </c>
      <c r="E22" s="4" t="str">
        <f t="shared" si="1"/>
        <v/>
      </c>
      <c r="F22" s="4" t="str">
        <f t="shared" si="5"/>
        <v/>
      </c>
      <c r="G22" s="4" t="str">
        <f t="shared" si="4"/>
        <v/>
      </c>
      <c r="H22" s="4" t="str">
        <f t="shared" si="2"/>
        <v/>
      </c>
    </row>
    <row r="23" spans="1:11" x14ac:dyDescent="0.3">
      <c r="A23" s="19"/>
      <c r="B23" s="24" t="str">
        <f t="shared" si="3"/>
        <v/>
      </c>
      <c r="C23" s="20"/>
      <c r="D23" s="21" t="str">
        <f t="shared" si="0"/>
        <v/>
      </c>
      <c r="E23" s="21" t="str">
        <f t="shared" si="1"/>
        <v/>
      </c>
      <c r="F23" s="21" t="str">
        <f t="shared" si="5"/>
        <v/>
      </c>
      <c r="G23" s="21" t="str">
        <f t="shared" si="4"/>
        <v/>
      </c>
      <c r="H23" s="21" t="str">
        <f t="shared" si="2"/>
        <v/>
      </c>
    </row>
    <row r="24" spans="1:11" x14ac:dyDescent="0.3">
      <c r="A24" s="2"/>
      <c r="B24" s="23" t="str">
        <f t="shared" si="3"/>
        <v/>
      </c>
      <c r="C24" s="3"/>
      <c r="D24" s="4" t="str">
        <f t="shared" si="0"/>
        <v/>
      </c>
      <c r="E24" s="4" t="str">
        <f t="shared" si="1"/>
        <v/>
      </c>
      <c r="F24" s="4" t="str">
        <f t="shared" si="5"/>
        <v/>
      </c>
      <c r="G24" s="4" t="str">
        <f t="shared" si="4"/>
        <v/>
      </c>
      <c r="H24" s="4" t="str">
        <f t="shared" si="2"/>
        <v/>
      </c>
    </row>
    <row r="25" spans="1:11" x14ac:dyDescent="0.3">
      <c r="A25" s="19"/>
      <c r="B25" s="24" t="str">
        <f t="shared" si="3"/>
        <v/>
      </c>
      <c r="C25" s="20"/>
      <c r="D25" s="21" t="str">
        <f t="shared" si="0"/>
        <v/>
      </c>
      <c r="E25" s="21" t="str">
        <f t="shared" si="1"/>
        <v/>
      </c>
      <c r="F25" s="21" t="str">
        <f t="shared" si="5"/>
        <v/>
      </c>
      <c r="G25" s="21" t="str">
        <f t="shared" si="4"/>
        <v/>
      </c>
      <c r="H25" s="21" t="str">
        <f t="shared" si="2"/>
        <v/>
      </c>
    </row>
    <row r="26" spans="1:11" x14ac:dyDescent="0.3">
      <c r="A26" s="2"/>
      <c r="B26" s="23" t="str">
        <f t="shared" si="3"/>
        <v/>
      </c>
      <c r="C26" s="3"/>
      <c r="D26" s="4" t="str">
        <f t="shared" si="0"/>
        <v/>
      </c>
      <c r="E26" s="4" t="str">
        <f t="shared" si="1"/>
        <v/>
      </c>
      <c r="F26" s="4" t="str">
        <f t="shared" si="5"/>
        <v/>
      </c>
      <c r="G26" s="4" t="str">
        <f t="shared" si="4"/>
        <v/>
      </c>
      <c r="H26" s="4" t="str">
        <f t="shared" si="2"/>
        <v/>
      </c>
    </row>
    <row r="27" spans="1:11" x14ac:dyDescent="0.3">
      <c r="A27" s="19"/>
      <c r="B27" s="24" t="str">
        <f t="shared" si="3"/>
        <v/>
      </c>
      <c r="C27" s="20"/>
      <c r="D27" s="21" t="str">
        <f t="shared" si="0"/>
        <v/>
      </c>
      <c r="E27" s="21" t="str">
        <f t="shared" si="1"/>
        <v/>
      </c>
      <c r="F27" s="21" t="str">
        <f t="shared" si="5"/>
        <v/>
      </c>
      <c r="G27" s="21" t="str">
        <f t="shared" si="4"/>
        <v/>
      </c>
      <c r="H27" s="21" t="str">
        <f t="shared" si="2"/>
        <v/>
      </c>
    </row>
    <row r="28" spans="1:11" x14ac:dyDescent="0.3">
      <c r="A28" s="2"/>
      <c r="B28" s="23" t="str">
        <f t="shared" si="3"/>
        <v/>
      </c>
      <c r="C28" s="3"/>
      <c r="D28" s="4" t="str">
        <f t="shared" si="0"/>
        <v/>
      </c>
      <c r="E28" s="4" t="str">
        <f t="shared" si="1"/>
        <v/>
      </c>
      <c r="F28" s="4" t="str">
        <f t="shared" si="5"/>
        <v/>
      </c>
      <c r="G28" s="4" t="str">
        <f t="shared" si="4"/>
        <v/>
      </c>
      <c r="H28" s="4" t="str">
        <f t="shared" si="2"/>
        <v/>
      </c>
    </row>
    <row r="29" spans="1:11" x14ac:dyDescent="0.3">
      <c r="A29" s="19"/>
      <c r="B29" s="24" t="str">
        <f t="shared" si="3"/>
        <v/>
      </c>
      <c r="C29" s="20"/>
      <c r="D29" s="21" t="str">
        <f t="shared" si="0"/>
        <v/>
      </c>
      <c r="E29" s="21" t="str">
        <f t="shared" si="1"/>
        <v/>
      </c>
      <c r="F29" s="21" t="str">
        <f t="shared" si="5"/>
        <v/>
      </c>
      <c r="G29" s="21" t="str">
        <f t="shared" si="4"/>
        <v/>
      </c>
      <c r="H29" s="21" t="str">
        <f t="shared" si="2"/>
        <v/>
      </c>
    </row>
    <row r="30" spans="1:11" x14ac:dyDescent="0.3">
      <c r="A30" s="2"/>
      <c r="B30" s="23" t="str">
        <f t="shared" si="3"/>
        <v/>
      </c>
      <c r="C30" s="3"/>
      <c r="D30" s="4" t="str">
        <f t="shared" si="0"/>
        <v/>
      </c>
      <c r="E30" s="4" t="str">
        <f t="shared" si="1"/>
        <v/>
      </c>
      <c r="F30" s="4" t="str">
        <f t="shared" si="5"/>
        <v/>
      </c>
      <c r="G30" s="4" t="str">
        <f t="shared" si="4"/>
        <v/>
      </c>
      <c r="H30" s="4" t="str">
        <f t="shared" si="2"/>
        <v/>
      </c>
    </row>
    <row r="31" spans="1:11" x14ac:dyDescent="0.3">
      <c r="A31" s="19"/>
      <c r="B31" s="24" t="str">
        <f t="shared" si="3"/>
        <v/>
      </c>
      <c r="C31" s="20"/>
      <c r="D31" s="21" t="str">
        <f t="shared" si="0"/>
        <v/>
      </c>
      <c r="E31" s="21" t="str">
        <f t="shared" si="1"/>
        <v/>
      </c>
      <c r="F31" s="21" t="str">
        <f t="shared" si="5"/>
        <v/>
      </c>
      <c r="G31" s="21" t="str">
        <f t="shared" si="4"/>
        <v/>
      </c>
      <c r="H31" s="21" t="str">
        <f t="shared" si="2"/>
        <v/>
      </c>
    </row>
    <row r="32" spans="1:11" x14ac:dyDescent="0.3">
      <c r="A32" s="2"/>
      <c r="B32" s="23" t="str">
        <f t="shared" si="3"/>
        <v/>
      </c>
      <c r="C32" s="3"/>
      <c r="D32" s="4" t="str">
        <f t="shared" si="0"/>
        <v/>
      </c>
      <c r="E32" s="4" t="str">
        <f t="shared" si="1"/>
        <v/>
      </c>
      <c r="F32" s="4" t="str">
        <f t="shared" si="5"/>
        <v/>
      </c>
      <c r="G32" s="4" t="str">
        <f t="shared" si="4"/>
        <v/>
      </c>
      <c r="H32" s="4" t="str">
        <f t="shared" si="2"/>
        <v/>
      </c>
    </row>
    <row r="33" spans="1:8" x14ac:dyDescent="0.3">
      <c r="A33" s="19"/>
      <c r="B33" s="24" t="str">
        <f t="shared" si="3"/>
        <v/>
      </c>
      <c r="C33" s="20"/>
      <c r="D33" s="21" t="str">
        <f t="shared" si="0"/>
        <v/>
      </c>
      <c r="E33" s="21" t="str">
        <f t="shared" si="1"/>
        <v/>
      </c>
      <c r="F33" s="21" t="str">
        <f t="shared" si="5"/>
        <v/>
      </c>
      <c r="G33" s="21" t="str">
        <f t="shared" si="4"/>
        <v/>
      </c>
      <c r="H33" s="21" t="str">
        <f t="shared" si="2"/>
        <v/>
      </c>
    </row>
    <row r="34" spans="1:8" x14ac:dyDescent="0.3">
      <c r="A34" s="2"/>
      <c r="B34" s="23" t="str">
        <f t="shared" si="3"/>
        <v/>
      </c>
      <c r="C34" s="3"/>
      <c r="D34" s="4" t="str">
        <f t="shared" ref="D34:D65" si="6">IF(AND($A34&lt;&gt;"",$B34&lt;&gt;""),$K$9,"")</f>
        <v/>
      </c>
      <c r="E34" s="4" t="str">
        <f t="shared" si="1"/>
        <v/>
      </c>
      <c r="F34" s="4" t="str">
        <f t="shared" si="5"/>
        <v/>
      </c>
      <c r="G34" s="4" t="str">
        <f t="shared" si="4"/>
        <v/>
      </c>
      <c r="H34" s="4" t="str">
        <f t="shared" si="2"/>
        <v/>
      </c>
    </row>
    <row r="35" spans="1:8" x14ac:dyDescent="0.3">
      <c r="A35" s="19"/>
      <c r="B35" s="24" t="str">
        <f t="shared" si="3"/>
        <v/>
      </c>
      <c r="C35" s="20"/>
      <c r="D35" s="21" t="str">
        <f t="shared" si="6"/>
        <v/>
      </c>
      <c r="E35" s="21" t="str">
        <f t="shared" ref="E35:E66" si="7">IF(AND($A35&lt;&gt;"",$B35&lt;&gt;""),G34*$K$8,"")</f>
        <v/>
      </c>
      <c r="F35" s="21" t="str">
        <f t="shared" si="5"/>
        <v/>
      </c>
      <c r="G35" s="21" t="str">
        <f t="shared" si="4"/>
        <v/>
      </c>
      <c r="H35" s="21" t="str">
        <f t="shared" ref="H35:H66" si="8">IF(AND($A35&lt;&gt;"",$B35&lt;&gt;""),$K$7-G35,"")</f>
        <v/>
      </c>
    </row>
    <row r="36" spans="1:8" x14ac:dyDescent="0.3">
      <c r="A36" s="2"/>
      <c r="B36" s="23" t="str">
        <f t="shared" si="3"/>
        <v/>
      </c>
      <c r="C36" s="3"/>
      <c r="D36" s="4" t="str">
        <f t="shared" si="6"/>
        <v/>
      </c>
      <c r="E36" s="4" t="str">
        <f t="shared" si="7"/>
        <v/>
      </c>
      <c r="F36" s="4" t="str">
        <f t="shared" si="5"/>
        <v/>
      </c>
      <c r="G36" s="4" t="str">
        <f t="shared" si="4"/>
        <v/>
      </c>
      <c r="H36" s="4" t="str">
        <f t="shared" si="8"/>
        <v/>
      </c>
    </row>
    <row r="37" spans="1:8" x14ac:dyDescent="0.3">
      <c r="A37" s="19"/>
      <c r="B37" s="24" t="str">
        <f t="shared" si="3"/>
        <v/>
      </c>
      <c r="C37" s="20"/>
      <c r="D37" s="21" t="str">
        <f t="shared" si="6"/>
        <v/>
      </c>
      <c r="E37" s="21" t="str">
        <f t="shared" si="7"/>
        <v/>
      </c>
      <c r="F37" s="21" t="str">
        <f t="shared" si="5"/>
        <v/>
      </c>
      <c r="G37" s="21" t="str">
        <f t="shared" si="4"/>
        <v/>
      </c>
      <c r="H37" s="21" t="str">
        <f t="shared" si="8"/>
        <v/>
      </c>
    </row>
    <row r="38" spans="1:8" x14ac:dyDescent="0.3">
      <c r="A38" s="2"/>
      <c r="B38" s="23" t="str">
        <f t="shared" si="3"/>
        <v/>
      </c>
      <c r="C38" s="3"/>
      <c r="D38" s="4" t="str">
        <f t="shared" si="6"/>
        <v/>
      </c>
      <c r="E38" s="4" t="str">
        <f t="shared" si="7"/>
        <v/>
      </c>
      <c r="F38" s="4" t="str">
        <f t="shared" si="5"/>
        <v/>
      </c>
      <c r="G38" s="4" t="str">
        <f t="shared" si="4"/>
        <v/>
      </c>
      <c r="H38" s="4" t="str">
        <f t="shared" si="8"/>
        <v/>
      </c>
    </row>
    <row r="39" spans="1:8" x14ac:dyDescent="0.3">
      <c r="A39" s="19"/>
      <c r="B39" s="24" t="str">
        <f t="shared" si="3"/>
        <v/>
      </c>
      <c r="C39" s="20"/>
      <c r="D39" s="21" t="str">
        <f t="shared" si="6"/>
        <v/>
      </c>
      <c r="E39" s="21" t="str">
        <f t="shared" si="7"/>
        <v/>
      </c>
      <c r="F39" s="21" t="str">
        <f t="shared" si="5"/>
        <v/>
      </c>
      <c r="G39" s="21" t="str">
        <f t="shared" si="4"/>
        <v/>
      </c>
      <c r="H39" s="21" t="str">
        <f t="shared" si="8"/>
        <v/>
      </c>
    </row>
    <row r="40" spans="1:8" x14ac:dyDescent="0.3">
      <c r="A40" s="2"/>
      <c r="B40" s="23" t="str">
        <f t="shared" si="3"/>
        <v/>
      </c>
      <c r="C40" s="3"/>
      <c r="D40" s="4" t="str">
        <f t="shared" si="6"/>
        <v/>
      </c>
      <c r="E40" s="4" t="str">
        <f t="shared" si="7"/>
        <v/>
      </c>
      <c r="F40" s="4" t="str">
        <f t="shared" si="5"/>
        <v/>
      </c>
      <c r="G40" s="4" t="str">
        <f t="shared" si="4"/>
        <v/>
      </c>
      <c r="H40" s="4" t="str">
        <f t="shared" si="8"/>
        <v/>
      </c>
    </row>
    <row r="41" spans="1:8" x14ac:dyDescent="0.3">
      <c r="A41" s="19"/>
      <c r="B41" s="24" t="str">
        <f t="shared" si="3"/>
        <v/>
      </c>
      <c r="C41" s="20"/>
      <c r="D41" s="21" t="str">
        <f t="shared" si="6"/>
        <v/>
      </c>
      <c r="E41" s="21" t="str">
        <f t="shared" si="7"/>
        <v/>
      </c>
      <c r="F41" s="21" t="str">
        <f t="shared" si="5"/>
        <v/>
      </c>
      <c r="G41" s="21" t="str">
        <f t="shared" si="4"/>
        <v/>
      </c>
      <c r="H41" s="21" t="str">
        <f t="shared" si="8"/>
        <v/>
      </c>
    </row>
    <row r="42" spans="1:8" x14ac:dyDescent="0.3">
      <c r="A42" s="2"/>
      <c r="B42" s="23" t="str">
        <f t="shared" si="3"/>
        <v/>
      </c>
      <c r="C42" s="3"/>
      <c r="D42" s="4" t="str">
        <f t="shared" si="6"/>
        <v/>
      </c>
      <c r="E42" s="4" t="str">
        <f t="shared" si="7"/>
        <v/>
      </c>
      <c r="F42" s="4" t="str">
        <f t="shared" si="5"/>
        <v/>
      </c>
      <c r="G42" s="4" t="str">
        <f t="shared" si="4"/>
        <v/>
      </c>
      <c r="H42" s="4" t="str">
        <f t="shared" si="8"/>
        <v/>
      </c>
    </row>
    <row r="43" spans="1:8" x14ac:dyDescent="0.3">
      <c r="A43" s="19"/>
      <c r="B43" s="24" t="str">
        <f t="shared" si="3"/>
        <v/>
      </c>
      <c r="C43" s="20"/>
      <c r="D43" s="21" t="str">
        <f t="shared" si="6"/>
        <v/>
      </c>
      <c r="E43" s="21" t="str">
        <f t="shared" si="7"/>
        <v/>
      </c>
      <c r="F43" s="21" t="str">
        <f t="shared" si="5"/>
        <v/>
      </c>
      <c r="G43" s="21" t="str">
        <f t="shared" si="4"/>
        <v/>
      </c>
      <c r="H43" s="21" t="str">
        <f t="shared" si="8"/>
        <v/>
      </c>
    </row>
    <row r="44" spans="1:8" x14ac:dyDescent="0.3">
      <c r="A44" s="2"/>
      <c r="B44" s="23" t="str">
        <f t="shared" si="3"/>
        <v/>
      </c>
      <c r="C44" s="3"/>
      <c r="D44" s="4" t="str">
        <f t="shared" si="6"/>
        <v/>
      </c>
      <c r="E44" s="4" t="str">
        <f t="shared" si="7"/>
        <v/>
      </c>
      <c r="F44" s="4" t="str">
        <f t="shared" si="5"/>
        <v/>
      </c>
      <c r="G44" s="4" t="str">
        <f t="shared" si="4"/>
        <v/>
      </c>
      <c r="H44" s="4" t="str">
        <f t="shared" si="8"/>
        <v/>
      </c>
    </row>
    <row r="45" spans="1:8" x14ac:dyDescent="0.3">
      <c r="A45" s="19"/>
      <c r="B45" s="24" t="str">
        <f t="shared" si="3"/>
        <v/>
      </c>
      <c r="C45" s="20"/>
      <c r="D45" s="21" t="str">
        <f t="shared" si="6"/>
        <v/>
      </c>
      <c r="E45" s="21" t="str">
        <f t="shared" si="7"/>
        <v/>
      </c>
      <c r="F45" s="21" t="str">
        <f t="shared" si="5"/>
        <v/>
      </c>
      <c r="G45" s="21" t="str">
        <f t="shared" si="4"/>
        <v/>
      </c>
      <c r="H45" s="21" t="str">
        <f t="shared" si="8"/>
        <v/>
      </c>
    </row>
    <row r="46" spans="1:8" x14ac:dyDescent="0.3">
      <c r="A46" s="2"/>
      <c r="B46" s="23" t="str">
        <f t="shared" si="3"/>
        <v/>
      </c>
      <c r="C46" s="3"/>
      <c r="D46" s="4" t="str">
        <f t="shared" si="6"/>
        <v/>
      </c>
      <c r="E46" s="4" t="str">
        <f t="shared" si="7"/>
        <v/>
      </c>
      <c r="F46" s="4" t="str">
        <f t="shared" si="5"/>
        <v/>
      </c>
      <c r="G46" s="4" t="str">
        <f t="shared" si="4"/>
        <v/>
      </c>
      <c r="H46" s="4" t="str">
        <f t="shared" si="8"/>
        <v/>
      </c>
    </row>
    <row r="47" spans="1:8" x14ac:dyDescent="0.3">
      <c r="A47" s="19"/>
      <c r="B47" s="24" t="str">
        <f t="shared" si="3"/>
        <v/>
      </c>
      <c r="C47" s="20"/>
      <c r="D47" s="21" t="str">
        <f t="shared" si="6"/>
        <v/>
      </c>
      <c r="E47" s="21" t="str">
        <f t="shared" si="7"/>
        <v/>
      </c>
      <c r="F47" s="21" t="str">
        <f t="shared" si="5"/>
        <v/>
      </c>
      <c r="G47" s="21" t="str">
        <f t="shared" si="4"/>
        <v/>
      </c>
      <c r="H47" s="21" t="str">
        <f t="shared" si="8"/>
        <v/>
      </c>
    </row>
    <row r="48" spans="1:8" x14ac:dyDescent="0.3">
      <c r="A48" s="2"/>
      <c r="B48" s="23" t="str">
        <f t="shared" si="3"/>
        <v/>
      </c>
      <c r="C48" s="3"/>
      <c r="D48" s="4" t="str">
        <f t="shared" si="6"/>
        <v/>
      </c>
      <c r="E48" s="4" t="str">
        <f t="shared" si="7"/>
        <v/>
      </c>
      <c r="F48" s="4" t="str">
        <f t="shared" si="5"/>
        <v/>
      </c>
      <c r="G48" s="4" t="str">
        <f t="shared" si="4"/>
        <v/>
      </c>
      <c r="H48" s="4" t="str">
        <f t="shared" si="8"/>
        <v/>
      </c>
    </row>
    <row r="49" spans="1:8" x14ac:dyDescent="0.3">
      <c r="A49" s="19"/>
      <c r="B49" s="24" t="str">
        <f t="shared" si="3"/>
        <v/>
      </c>
      <c r="C49" s="20"/>
      <c r="D49" s="21" t="str">
        <f t="shared" si="6"/>
        <v/>
      </c>
      <c r="E49" s="21" t="str">
        <f t="shared" si="7"/>
        <v/>
      </c>
      <c r="F49" s="21" t="str">
        <f t="shared" si="5"/>
        <v/>
      </c>
      <c r="G49" s="21" t="str">
        <f t="shared" si="4"/>
        <v/>
      </c>
      <c r="H49" s="21" t="str">
        <f t="shared" si="8"/>
        <v/>
      </c>
    </row>
    <row r="50" spans="1:8" x14ac:dyDescent="0.3">
      <c r="A50" s="2"/>
      <c r="B50" s="23" t="str">
        <f t="shared" si="3"/>
        <v/>
      </c>
      <c r="C50" s="3"/>
      <c r="D50" s="4" t="str">
        <f t="shared" si="6"/>
        <v/>
      </c>
      <c r="E50" s="4" t="str">
        <f t="shared" si="7"/>
        <v/>
      </c>
      <c r="F50" s="4" t="str">
        <f t="shared" si="5"/>
        <v/>
      </c>
      <c r="G50" s="4" t="str">
        <f t="shared" si="4"/>
        <v/>
      </c>
      <c r="H50" s="4" t="str">
        <f t="shared" si="8"/>
        <v/>
      </c>
    </row>
    <row r="51" spans="1:8" x14ac:dyDescent="0.3">
      <c r="A51" s="19"/>
      <c r="B51" s="24" t="str">
        <f t="shared" si="3"/>
        <v/>
      </c>
      <c r="C51" s="20"/>
      <c r="D51" s="21" t="str">
        <f t="shared" si="6"/>
        <v/>
      </c>
      <c r="E51" s="21" t="str">
        <f t="shared" si="7"/>
        <v/>
      </c>
      <c r="F51" s="21" t="str">
        <f t="shared" si="5"/>
        <v/>
      </c>
      <c r="G51" s="21" t="str">
        <f t="shared" si="4"/>
        <v/>
      </c>
      <c r="H51" s="21" t="str">
        <f t="shared" si="8"/>
        <v/>
      </c>
    </row>
    <row r="52" spans="1:8" x14ac:dyDescent="0.3">
      <c r="A52" s="2"/>
      <c r="B52" s="23" t="str">
        <f t="shared" si="3"/>
        <v/>
      </c>
      <c r="C52" s="3"/>
      <c r="D52" s="4" t="str">
        <f t="shared" si="6"/>
        <v/>
      </c>
      <c r="E52" s="4" t="str">
        <f t="shared" si="7"/>
        <v/>
      </c>
      <c r="F52" s="4" t="str">
        <f t="shared" si="5"/>
        <v/>
      </c>
      <c r="G52" s="4" t="str">
        <f t="shared" si="4"/>
        <v/>
      </c>
      <c r="H52" s="4" t="str">
        <f t="shared" si="8"/>
        <v/>
      </c>
    </row>
    <row r="53" spans="1:8" x14ac:dyDescent="0.3">
      <c r="A53" s="19"/>
      <c r="B53" s="24" t="str">
        <f t="shared" si="3"/>
        <v/>
      </c>
      <c r="C53" s="20"/>
      <c r="D53" s="21" t="str">
        <f t="shared" si="6"/>
        <v/>
      </c>
      <c r="E53" s="21" t="str">
        <f t="shared" si="7"/>
        <v/>
      </c>
      <c r="F53" s="21" t="str">
        <f t="shared" si="5"/>
        <v/>
      </c>
      <c r="G53" s="21" t="str">
        <f t="shared" si="4"/>
        <v/>
      </c>
      <c r="H53" s="21" t="str">
        <f t="shared" si="8"/>
        <v/>
      </c>
    </row>
    <row r="54" spans="1:8" x14ac:dyDescent="0.3">
      <c r="A54" s="2"/>
      <c r="B54" s="23" t="str">
        <f t="shared" si="3"/>
        <v/>
      </c>
      <c r="C54" s="3"/>
      <c r="D54" s="4" t="str">
        <f t="shared" si="6"/>
        <v/>
      </c>
      <c r="E54" s="4" t="str">
        <f t="shared" si="7"/>
        <v/>
      </c>
      <c r="F54" s="4" t="str">
        <f t="shared" si="5"/>
        <v/>
      </c>
      <c r="G54" s="4" t="str">
        <f t="shared" si="4"/>
        <v/>
      </c>
      <c r="H54" s="4" t="str">
        <f t="shared" si="8"/>
        <v/>
      </c>
    </row>
    <row r="55" spans="1:8" x14ac:dyDescent="0.3">
      <c r="A55" s="19"/>
      <c r="B55" s="24" t="str">
        <f t="shared" si="3"/>
        <v/>
      </c>
      <c r="C55" s="20"/>
      <c r="D55" s="21" t="str">
        <f t="shared" si="6"/>
        <v/>
      </c>
      <c r="E55" s="21" t="str">
        <f t="shared" si="7"/>
        <v/>
      </c>
      <c r="F55" s="21" t="str">
        <f t="shared" si="5"/>
        <v/>
      </c>
      <c r="G55" s="21" t="str">
        <f t="shared" si="4"/>
        <v/>
      </c>
      <c r="H55" s="21" t="str">
        <f t="shared" si="8"/>
        <v/>
      </c>
    </row>
    <row r="56" spans="1:8" x14ac:dyDescent="0.3">
      <c r="A56" s="2"/>
      <c r="B56" s="23" t="str">
        <f t="shared" si="3"/>
        <v/>
      </c>
      <c r="C56" s="3"/>
      <c r="D56" s="4" t="str">
        <f t="shared" si="6"/>
        <v/>
      </c>
      <c r="E56" s="4" t="str">
        <f t="shared" si="7"/>
        <v/>
      </c>
      <c r="F56" s="4" t="str">
        <f t="shared" si="5"/>
        <v/>
      </c>
      <c r="G56" s="4" t="str">
        <f t="shared" si="4"/>
        <v/>
      </c>
      <c r="H56" s="4" t="str">
        <f t="shared" si="8"/>
        <v/>
      </c>
    </row>
    <row r="57" spans="1:8" x14ac:dyDescent="0.3">
      <c r="A57" s="19"/>
      <c r="B57" s="24" t="str">
        <f t="shared" si="3"/>
        <v/>
      </c>
      <c r="C57" s="20"/>
      <c r="D57" s="21" t="str">
        <f t="shared" si="6"/>
        <v/>
      </c>
      <c r="E57" s="21" t="str">
        <f t="shared" si="7"/>
        <v/>
      </c>
      <c r="F57" s="21" t="str">
        <f t="shared" si="5"/>
        <v/>
      </c>
      <c r="G57" s="21" t="str">
        <f t="shared" si="4"/>
        <v/>
      </c>
      <c r="H57" s="21" t="str">
        <f t="shared" si="8"/>
        <v/>
      </c>
    </row>
    <row r="58" spans="1:8" x14ac:dyDescent="0.3">
      <c r="A58" s="2"/>
      <c r="B58" s="23" t="str">
        <f t="shared" si="3"/>
        <v/>
      </c>
      <c r="C58" s="3"/>
      <c r="D58" s="4" t="str">
        <f t="shared" si="6"/>
        <v/>
      </c>
      <c r="E58" s="4" t="str">
        <f t="shared" si="7"/>
        <v/>
      </c>
      <c r="F58" s="4" t="str">
        <f t="shared" si="5"/>
        <v/>
      </c>
      <c r="G58" s="4" t="str">
        <f t="shared" si="4"/>
        <v/>
      </c>
      <c r="H58" s="4" t="str">
        <f t="shared" si="8"/>
        <v/>
      </c>
    </row>
    <row r="59" spans="1:8" x14ac:dyDescent="0.3">
      <c r="A59" s="19"/>
      <c r="B59" s="24" t="str">
        <f t="shared" si="3"/>
        <v/>
      </c>
      <c r="C59" s="20"/>
      <c r="D59" s="21" t="str">
        <f t="shared" si="6"/>
        <v/>
      </c>
      <c r="E59" s="21" t="str">
        <f t="shared" si="7"/>
        <v/>
      </c>
      <c r="F59" s="21" t="str">
        <f t="shared" si="5"/>
        <v/>
      </c>
      <c r="G59" s="21" t="str">
        <f t="shared" si="4"/>
        <v/>
      </c>
      <c r="H59" s="21" t="str">
        <f t="shared" si="8"/>
        <v/>
      </c>
    </row>
    <row r="60" spans="1:8" x14ac:dyDescent="0.3">
      <c r="A60" s="2"/>
      <c r="B60" s="23" t="str">
        <f t="shared" si="3"/>
        <v/>
      </c>
      <c r="C60" s="3"/>
      <c r="D60" s="4" t="str">
        <f t="shared" si="6"/>
        <v/>
      </c>
      <c r="E60" s="4" t="str">
        <f t="shared" si="7"/>
        <v/>
      </c>
      <c r="F60" s="4" t="str">
        <f t="shared" si="5"/>
        <v/>
      </c>
      <c r="G60" s="4" t="str">
        <f t="shared" si="4"/>
        <v/>
      </c>
      <c r="H60" s="4" t="str">
        <f t="shared" si="8"/>
        <v/>
      </c>
    </row>
    <row r="61" spans="1:8" x14ac:dyDescent="0.3">
      <c r="A61" s="19"/>
      <c r="B61" s="24" t="str">
        <f t="shared" si="3"/>
        <v/>
      </c>
      <c r="C61" s="20"/>
      <c r="D61" s="21" t="str">
        <f t="shared" si="6"/>
        <v/>
      </c>
      <c r="E61" s="21" t="str">
        <f t="shared" si="7"/>
        <v/>
      </c>
      <c r="F61" s="21" t="str">
        <f t="shared" si="5"/>
        <v/>
      </c>
      <c r="G61" s="21" t="str">
        <f t="shared" si="4"/>
        <v/>
      </c>
      <c r="H61" s="21" t="str">
        <f t="shared" si="8"/>
        <v/>
      </c>
    </row>
    <row r="62" spans="1:8" x14ac:dyDescent="0.3">
      <c r="A62" s="2"/>
      <c r="B62" s="23" t="str">
        <f t="shared" si="3"/>
        <v/>
      </c>
      <c r="C62" s="3"/>
      <c r="D62" s="4" t="str">
        <f t="shared" si="6"/>
        <v/>
      </c>
      <c r="E62" s="4" t="str">
        <f t="shared" si="7"/>
        <v/>
      </c>
      <c r="F62" s="4" t="str">
        <f t="shared" si="5"/>
        <v/>
      </c>
      <c r="G62" s="4" t="str">
        <f t="shared" si="4"/>
        <v/>
      </c>
      <c r="H62" s="4" t="str">
        <f t="shared" si="8"/>
        <v/>
      </c>
    </row>
    <row r="63" spans="1:8" x14ac:dyDescent="0.3">
      <c r="A63" s="19"/>
      <c r="B63" s="24" t="str">
        <f t="shared" si="3"/>
        <v/>
      </c>
      <c r="C63" s="20"/>
      <c r="D63" s="21" t="str">
        <f t="shared" si="6"/>
        <v/>
      </c>
      <c r="E63" s="21" t="str">
        <f t="shared" si="7"/>
        <v/>
      </c>
      <c r="F63" s="21" t="str">
        <f t="shared" si="5"/>
        <v/>
      </c>
      <c r="G63" s="21" t="str">
        <f t="shared" si="4"/>
        <v/>
      </c>
      <c r="H63" s="21" t="str">
        <f t="shared" si="8"/>
        <v/>
      </c>
    </row>
    <row r="64" spans="1:8" x14ac:dyDescent="0.3">
      <c r="A64" s="2"/>
      <c r="B64" s="23" t="str">
        <f t="shared" si="3"/>
        <v/>
      </c>
      <c r="C64" s="3"/>
      <c r="D64" s="4" t="str">
        <f t="shared" si="6"/>
        <v/>
      </c>
      <c r="E64" s="4" t="str">
        <f t="shared" si="7"/>
        <v/>
      </c>
      <c r="F64" s="4" t="str">
        <f t="shared" si="5"/>
        <v/>
      </c>
      <c r="G64" s="4" t="str">
        <f t="shared" si="4"/>
        <v/>
      </c>
      <c r="H64" s="4" t="str">
        <f t="shared" si="8"/>
        <v/>
      </c>
    </row>
    <row r="65" spans="1:8" x14ac:dyDescent="0.3">
      <c r="A65" s="19"/>
      <c r="B65" s="24" t="str">
        <f t="shared" si="3"/>
        <v/>
      </c>
      <c r="C65" s="20"/>
      <c r="D65" s="21" t="str">
        <f t="shared" si="6"/>
        <v/>
      </c>
      <c r="E65" s="21" t="str">
        <f t="shared" si="7"/>
        <v/>
      </c>
      <c r="F65" s="21" t="str">
        <f t="shared" si="5"/>
        <v/>
      </c>
      <c r="G65" s="21" t="str">
        <f t="shared" si="4"/>
        <v/>
      </c>
      <c r="H65" s="21" t="str">
        <f t="shared" si="8"/>
        <v/>
      </c>
    </row>
    <row r="66" spans="1:8" x14ac:dyDescent="0.3">
      <c r="A66" s="2"/>
      <c r="B66" s="23" t="str">
        <f t="shared" si="3"/>
        <v/>
      </c>
      <c r="C66" s="3"/>
      <c r="D66" s="4" t="str">
        <f t="shared" ref="D66:D97" si="9">IF(AND($A66&lt;&gt;"",$B66&lt;&gt;""),$K$9,"")</f>
        <v/>
      </c>
      <c r="E66" s="4" t="str">
        <f t="shared" si="7"/>
        <v/>
      </c>
      <c r="F66" s="4" t="str">
        <f t="shared" si="5"/>
        <v/>
      </c>
      <c r="G66" s="4" t="str">
        <f t="shared" si="4"/>
        <v/>
      </c>
      <c r="H66" s="4" t="str">
        <f t="shared" si="8"/>
        <v/>
      </c>
    </row>
    <row r="67" spans="1:8" x14ac:dyDescent="0.3">
      <c r="A67" s="19"/>
      <c r="B67" s="24" t="str">
        <f t="shared" si="3"/>
        <v/>
      </c>
      <c r="C67" s="20"/>
      <c r="D67" s="21" t="str">
        <f t="shared" si="9"/>
        <v/>
      </c>
      <c r="E67" s="21" t="str">
        <f t="shared" ref="E67:E98" si="10">IF(AND($A67&lt;&gt;"",$B67&lt;&gt;""),G66*$K$8,"")</f>
        <v/>
      </c>
      <c r="F67" s="21" t="str">
        <f t="shared" si="5"/>
        <v/>
      </c>
      <c r="G67" s="21" t="str">
        <f t="shared" si="4"/>
        <v/>
      </c>
      <c r="H67" s="21" t="str">
        <f t="shared" ref="H67:H98" si="11">IF(AND($A67&lt;&gt;"",$B67&lt;&gt;""),$K$7-G67,"")</f>
        <v/>
      </c>
    </row>
    <row r="68" spans="1:8" x14ac:dyDescent="0.3">
      <c r="A68" s="2"/>
      <c r="B68" s="23" t="str">
        <f t="shared" ref="B68:B121" si="12">IF(A68&lt;&gt;"",B67+1,"")</f>
        <v/>
      </c>
      <c r="C68" s="3"/>
      <c r="D68" s="4" t="str">
        <f t="shared" si="9"/>
        <v/>
      </c>
      <c r="E68" s="4" t="str">
        <f t="shared" si="10"/>
        <v/>
      </c>
      <c r="F68" s="4" t="str">
        <f t="shared" si="5"/>
        <v/>
      </c>
      <c r="G68" s="4" t="str">
        <f t="shared" si="4"/>
        <v/>
      </c>
      <c r="H68" s="4" t="str">
        <f t="shared" si="11"/>
        <v/>
      </c>
    </row>
    <row r="69" spans="1:8" x14ac:dyDescent="0.3">
      <c r="A69" s="19"/>
      <c r="B69" s="24" t="str">
        <f t="shared" si="12"/>
        <v/>
      </c>
      <c r="C69" s="20"/>
      <c r="D69" s="21" t="str">
        <f t="shared" si="9"/>
        <v/>
      </c>
      <c r="E69" s="21" t="str">
        <f t="shared" si="10"/>
        <v/>
      </c>
      <c r="F69" s="21" t="str">
        <f t="shared" si="5"/>
        <v/>
      </c>
      <c r="G69" s="21" t="str">
        <f t="shared" si="4"/>
        <v/>
      </c>
      <c r="H69" s="21" t="str">
        <f t="shared" si="11"/>
        <v/>
      </c>
    </row>
    <row r="70" spans="1:8" x14ac:dyDescent="0.3">
      <c r="A70" s="2"/>
      <c r="B70" s="23" t="str">
        <f t="shared" si="12"/>
        <v/>
      </c>
      <c r="C70" s="3"/>
      <c r="D70" s="4" t="str">
        <f t="shared" si="9"/>
        <v/>
      </c>
      <c r="E70" s="4" t="str">
        <f t="shared" si="10"/>
        <v/>
      </c>
      <c r="F70" s="4" t="str">
        <f t="shared" si="5"/>
        <v/>
      </c>
      <c r="G70" s="4" t="str">
        <f t="shared" ref="G70:G121" si="13">IF(AND($A70&lt;&gt;"",$B70&lt;&gt;""),G69-F70,"")</f>
        <v/>
      </c>
      <c r="H70" s="4" t="str">
        <f t="shared" si="11"/>
        <v/>
      </c>
    </row>
    <row r="71" spans="1:8" x14ac:dyDescent="0.3">
      <c r="A71" s="19"/>
      <c r="B71" s="24" t="str">
        <f t="shared" si="12"/>
        <v/>
      </c>
      <c r="C71" s="20"/>
      <c r="D71" s="21" t="str">
        <f t="shared" si="9"/>
        <v/>
      </c>
      <c r="E71" s="21" t="str">
        <f t="shared" si="10"/>
        <v/>
      </c>
      <c r="F71" s="21" t="str">
        <f t="shared" ref="F71:F121" si="14">IF(AND($A71&lt;&gt;"",$B71&lt;&gt;""),D71-E71,"")</f>
        <v/>
      </c>
      <c r="G71" s="21" t="str">
        <f t="shared" si="13"/>
        <v/>
      </c>
      <c r="H71" s="21" t="str">
        <f t="shared" si="11"/>
        <v/>
      </c>
    </row>
    <row r="72" spans="1:8" x14ac:dyDescent="0.3">
      <c r="A72" s="2"/>
      <c r="B72" s="23" t="str">
        <f t="shared" si="12"/>
        <v/>
      </c>
      <c r="C72" s="3"/>
      <c r="D72" s="4" t="str">
        <f t="shared" si="9"/>
        <v/>
      </c>
      <c r="E72" s="4" t="str">
        <f t="shared" si="10"/>
        <v/>
      </c>
      <c r="F72" s="4" t="str">
        <f t="shared" si="14"/>
        <v/>
      </c>
      <c r="G72" s="4" t="str">
        <f t="shared" si="13"/>
        <v/>
      </c>
      <c r="H72" s="4" t="str">
        <f t="shared" si="11"/>
        <v/>
      </c>
    </row>
    <row r="73" spans="1:8" x14ac:dyDescent="0.3">
      <c r="A73" s="19"/>
      <c r="B73" s="24" t="str">
        <f t="shared" si="12"/>
        <v/>
      </c>
      <c r="C73" s="20"/>
      <c r="D73" s="21" t="str">
        <f t="shared" si="9"/>
        <v/>
      </c>
      <c r="E73" s="21" t="str">
        <f t="shared" si="10"/>
        <v/>
      </c>
      <c r="F73" s="21" t="str">
        <f t="shared" si="14"/>
        <v/>
      </c>
      <c r="G73" s="21" t="str">
        <f t="shared" si="13"/>
        <v/>
      </c>
      <c r="H73" s="21" t="str">
        <f t="shared" si="11"/>
        <v/>
      </c>
    </row>
    <row r="74" spans="1:8" x14ac:dyDescent="0.3">
      <c r="A74" s="2"/>
      <c r="B74" s="23" t="str">
        <f t="shared" si="12"/>
        <v/>
      </c>
      <c r="C74" s="3"/>
      <c r="D74" s="4" t="str">
        <f t="shared" si="9"/>
        <v/>
      </c>
      <c r="E74" s="4" t="str">
        <f t="shared" si="10"/>
        <v/>
      </c>
      <c r="F74" s="4" t="str">
        <f t="shared" si="14"/>
        <v/>
      </c>
      <c r="G74" s="4" t="str">
        <f t="shared" si="13"/>
        <v/>
      </c>
      <c r="H74" s="4" t="str">
        <f t="shared" si="11"/>
        <v/>
      </c>
    </row>
    <row r="75" spans="1:8" x14ac:dyDescent="0.3">
      <c r="A75" s="19"/>
      <c r="B75" s="24" t="str">
        <f t="shared" si="12"/>
        <v/>
      </c>
      <c r="C75" s="20"/>
      <c r="D75" s="21" t="str">
        <f t="shared" si="9"/>
        <v/>
      </c>
      <c r="E75" s="21" t="str">
        <f t="shared" si="10"/>
        <v/>
      </c>
      <c r="F75" s="21" t="str">
        <f t="shared" si="14"/>
        <v/>
      </c>
      <c r="G75" s="21" t="str">
        <f t="shared" si="13"/>
        <v/>
      </c>
      <c r="H75" s="21" t="str">
        <f t="shared" si="11"/>
        <v/>
      </c>
    </row>
    <row r="76" spans="1:8" x14ac:dyDescent="0.3">
      <c r="A76" s="2"/>
      <c r="B76" s="23" t="str">
        <f t="shared" si="12"/>
        <v/>
      </c>
      <c r="C76" s="3"/>
      <c r="D76" s="4" t="str">
        <f t="shared" si="9"/>
        <v/>
      </c>
      <c r="E76" s="4" t="str">
        <f t="shared" si="10"/>
        <v/>
      </c>
      <c r="F76" s="4" t="str">
        <f t="shared" si="14"/>
        <v/>
      </c>
      <c r="G76" s="4" t="str">
        <f t="shared" si="13"/>
        <v/>
      </c>
      <c r="H76" s="4" t="str">
        <f t="shared" si="11"/>
        <v/>
      </c>
    </row>
    <row r="77" spans="1:8" x14ac:dyDescent="0.3">
      <c r="A77" s="19"/>
      <c r="B77" s="24" t="str">
        <f t="shared" si="12"/>
        <v/>
      </c>
      <c r="C77" s="20"/>
      <c r="D77" s="21" t="str">
        <f t="shared" si="9"/>
        <v/>
      </c>
      <c r="E77" s="21" t="str">
        <f t="shared" si="10"/>
        <v/>
      </c>
      <c r="F77" s="21" t="str">
        <f t="shared" si="14"/>
        <v/>
      </c>
      <c r="G77" s="21" t="str">
        <f t="shared" si="13"/>
        <v/>
      </c>
      <c r="H77" s="21" t="str">
        <f t="shared" si="11"/>
        <v/>
      </c>
    </row>
    <row r="78" spans="1:8" x14ac:dyDescent="0.3">
      <c r="A78" s="2"/>
      <c r="B78" s="23" t="str">
        <f t="shared" si="12"/>
        <v/>
      </c>
      <c r="C78" s="3"/>
      <c r="D78" s="4" t="str">
        <f t="shared" si="9"/>
        <v/>
      </c>
      <c r="E78" s="4" t="str">
        <f t="shared" si="10"/>
        <v/>
      </c>
      <c r="F78" s="4" t="str">
        <f t="shared" si="14"/>
        <v/>
      </c>
      <c r="G78" s="4" t="str">
        <f t="shared" si="13"/>
        <v/>
      </c>
      <c r="H78" s="4" t="str">
        <f t="shared" si="11"/>
        <v/>
      </c>
    </row>
    <row r="79" spans="1:8" x14ac:dyDescent="0.3">
      <c r="A79" s="19"/>
      <c r="B79" s="24" t="str">
        <f t="shared" si="12"/>
        <v/>
      </c>
      <c r="C79" s="20"/>
      <c r="D79" s="21" t="str">
        <f t="shared" si="9"/>
        <v/>
      </c>
      <c r="E79" s="21" t="str">
        <f t="shared" si="10"/>
        <v/>
      </c>
      <c r="F79" s="21" t="str">
        <f t="shared" si="14"/>
        <v/>
      </c>
      <c r="G79" s="21" t="str">
        <f t="shared" si="13"/>
        <v/>
      </c>
      <c r="H79" s="21" t="str">
        <f t="shared" si="11"/>
        <v/>
      </c>
    </row>
    <row r="80" spans="1:8" x14ac:dyDescent="0.3">
      <c r="A80" s="2"/>
      <c r="B80" s="23" t="str">
        <f t="shared" si="12"/>
        <v/>
      </c>
      <c r="C80" s="3"/>
      <c r="D80" s="4" t="str">
        <f t="shared" si="9"/>
        <v/>
      </c>
      <c r="E80" s="4" t="str">
        <f t="shared" si="10"/>
        <v/>
      </c>
      <c r="F80" s="4" t="str">
        <f t="shared" si="14"/>
        <v/>
      </c>
      <c r="G80" s="4" t="str">
        <f t="shared" si="13"/>
        <v/>
      </c>
      <c r="H80" s="4" t="str">
        <f t="shared" si="11"/>
        <v/>
      </c>
    </row>
    <row r="81" spans="1:8" x14ac:dyDescent="0.3">
      <c r="A81" s="19"/>
      <c r="B81" s="24" t="str">
        <f t="shared" si="12"/>
        <v/>
      </c>
      <c r="C81" s="20"/>
      <c r="D81" s="21" t="str">
        <f t="shared" si="9"/>
        <v/>
      </c>
      <c r="E81" s="21" t="str">
        <f t="shared" si="10"/>
        <v/>
      </c>
      <c r="F81" s="21" t="str">
        <f t="shared" si="14"/>
        <v/>
      </c>
      <c r="G81" s="21" t="str">
        <f t="shared" si="13"/>
        <v/>
      </c>
      <c r="H81" s="21" t="str">
        <f t="shared" si="11"/>
        <v/>
      </c>
    </row>
    <row r="82" spans="1:8" x14ac:dyDescent="0.3">
      <c r="A82" s="2"/>
      <c r="B82" s="23" t="str">
        <f t="shared" si="12"/>
        <v/>
      </c>
      <c r="C82" s="3"/>
      <c r="D82" s="4" t="str">
        <f t="shared" si="9"/>
        <v/>
      </c>
      <c r="E82" s="4" t="str">
        <f t="shared" si="10"/>
        <v/>
      </c>
      <c r="F82" s="4" t="str">
        <f t="shared" si="14"/>
        <v/>
      </c>
      <c r="G82" s="4" t="str">
        <f t="shared" si="13"/>
        <v/>
      </c>
      <c r="H82" s="4" t="str">
        <f t="shared" si="11"/>
        <v/>
      </c>
    </row>
    <row r="83" spans="1:8" x14ac:dyDescent="0.3">
      <c r="A83" s="19"/>
      <c r="B83" s="24" t="str">
        <f t="shared" si="12"/>
        <v/>
      </c>
      <c r="C83" s="20"/>
      <c r="D83" s="21" t="str">
        <f t="shared" si="9"/>
        <v/>
      </c>
      <c r="E83" s="21" t="str">
        <f t="shared" si="10"/>
        <v/>
      </c>
      <c r="F83" s="21" t="str">
        <f t="shared" si="14"/>
        <v/>
      </c>
      <c r="G83" s="21" t="str">
        <f t="shared" si="13"/>
        <v/>
      </c>
      <c r="H83" s="21" t="str">
        <f t="shared" si="11"/>
        <v/>
      </c>
    </row>
    <row r="84" spans="1:8" x14ac:dyDescent="0.3">
      <c r="A84" s="2"/>
      <c r="B84" s="23" t="str">
        <f t="shared" si="12"/>
        <v/>
      </c>
      <c r="C84" s="3"/>
      <c r="D84" s="4" t="str">
        <f t="shared" si="9"/>
        <v/>
      </c>
      <c r="E84" s="4" t="str">
        <f t="shared" si="10"/>
        <v/>
      </c>
      <c r="F84" s="4" t="str">
        <f t="shared" si="14"/>
        <v/>
      </c>
      <c r="G84" s="4" t="str">
        <f t="shared" si="13"/>
        <v/>
      </c>
      <c r="H84" s="4" t="str">
        <f t="shared" si="11"/>
        <v/>
      </c>
    </row>
    <row r="85" spans="1:8" x14ac:dyDescent="0.3">
      <c r="A85" s="19"/>
      <c r="B85" s="24" t="str">
        <f t="shared" si="12"/>
        <v/>
      </c>
      <c r="C85" s="20"/>
      <c r="D85" s="21" t="str">
        <f t="shared" si="9"/>
        <v/>
      </c>
      <c r="E85" s="21" t="str">
        <f t="shared" si="10"/>
        <v/>
      </c>
      <c r="F85" s="21" t="str">
        <f t="shared" si="14"/>
        <v/>
      </c>
      <c r="G85" s="21" t="str">
        <f t="shared" si="13"/>
        <v/>
      </c>
      <c r="H85" s="21" t="str">
        <f t="shared" si="11"/>
        <v/>
      </c>
    </row>
    <row r="86" spans="1:8" x14ac:dyDescent="0.3">
      <c r="A86" s="2"/>
      <c r="B86" s="23" t="str">
        <f t="shared" si="12"/>
        <v/>
      </c>
      <c r="C86" s="3"/>
      <c r="D86" s="4" t="str">
        <f t="shared" si="9"/>
        <v/>
      </c>
      <c r="E86" s="4" t="str">
        <f t="shared" si="10"/>
        <v/>
      </c>
      <c r="F86" s="4" t="str">
        <f t="shared" si="14"/>
        <v/>
      </c>
      <c r="G86" s="4" t="str">
        <f t="shared" si="13"/>
        <v/>
      </c>
      <c r="H86" s="4" t="str">
        <f t="shared" si="11"/>
        <v/>
      </c>
    </row>
    <row r="87" spans="1:8" x14ac:dyDescent="0.3">
      <c r="A87" s="19"/>
      <c r="B87" s="24" t="str">
        <f t="shared" si="12"/>
        <v/>
      </c>
      <c r="C87" s="20"/>
      <c r="D87" s="21" t="str">
        <f t="shared" si="9"/>
        <v/>
      </c>
      <c r="E87" s="21" t="str">
        <f t="shared" si="10"/>
        <v/>
      </c>
      <c r="F87" s="21" t="str">
        <f t="shared" si="14"/>
        <v/>
      </c>
      <c r="G87" s="21" t="str">
        <f t="shared" si="13"/>
        <v/>
      </c>
      <c r="H87" s="21" t="str">
        <f t="shared" si="11"/>
        <v/>
      </c>
    </row>
    <row r="88" spans="1:8" x14ac:dyDescent="0.3">
      <c r="A88" s="2"/>
      <c r="B88" s="23" t="str">
        <f t="shared" si="12"/>
        <v/>
      </c>
      <c r="C88" s="3"/>
      <c r="D88" s="4" t="str">
        <f t="shared" si="9"/>
        <v/>
      </c>
      <c r="E88" s="4" t="str">
        <f t="shared" si="10"/>
        <v/>
      </c>
      <c r="F88" s="4" t="str">
        <f t="shared" si="14"/>
        <v/>
      </c>
      <c r="G88" s="4" t="str">
        <f t="shared" si="13"/>
        <v/>
      </c>
      <c r="H88" s="4" t="str">
        <f t="shared" si="11"/>
        <v/>
      </c>
    </row>
    <row r="89" spans="1:8" x14ac:dyDescent="0.3">
      <c r="A89" s="19"/>
      <c r="B89" s="24" t="str">
        <f t="shared" si="12"/>
        <v/>
      </c>
      <c r="C89" s="20"/>
      <c r="D89" s="21" t="str">
        <f t="shared" si="9"/>
        <v/>
      </c>
      <c r="E89" s="21" t="str">
        <f t="shared" si="10"/>
        <v/>
      </c>
      <c r="F89" s="21" t="str">
        <f t="shared" si="14"/>
        <v/>
      </c>
      <c r="G89" s="21" t="str">
        <f t="shared" si="13"/>
        <v/>
      </c>
      <c r="H89" s="21" t="str">
        <f t="shared" si="11"/>
        <v/>
      </c>
    </row>
    <row r="90" spans="1:8" x14ac:dyDescent="0.3">
      <c r="A90" s="2"/>
      <c r="B90" s="23" t="str">
        <f t="shared" si="12"/>
        <v/>
      </c>
      <c r="C90" s="3"/>
      <c r="D90" s="4" t="str">
        <f t="shared" si="9"/>
        <v/>
      </c>
      <c r="E90" s="4" t="str">
        <f t="shared" si="10"/>
        <v/>
      </c>
      <c r="F90" s="4" t="str">
        <f t="shared" si="14"/>
        <v/>
      </c>
      <c r="G90" s="4" t="str">
        <f t="shared" si="13"/>
        <v/>
      </c>
      <c r="H90" s="4" t="str">
        <f t="shared" si="11"/>
        <v/>
      </c>
    </row>
    <row r="91" spans="1:8" x14ac:dyDescent="0.3">
      <c r="A91" s="19"/>
      <c r="B91" s="24" t="str">
        <f t="shared" si="12"/>
        <v/>
      </c>
      <c r="C91" s="20"/>
      <c r="D91" s="21" t="str">
        <f t="shared" si="9"/>
        <v/>
      </c>
      <c r="E91" s="21" t="str">
        <f t="shared" si="10"/>
        <v/>
      </c>
      <c r="F91" s="21" t="str">
        <f t="shared" si="14"/>
        <v/>
      </c>
      <c r="G91" s="21" t="str">
        <f t="shared" si="13"/>
        <v/>
      </c>
      <c r="H91" s="21" t="str">
        <f t="shared" si="11"/>
        <v/>
      </c>
    </row>
    <row r="92" spans="1:8" x14ac:dyDescent="0.3">
      <c r="A92" s="2"/>
      <c r="B92" s="23" t="str">
        <f t="shared" si="12"/>
        <v/>
      </c>
      <c r="C92" s="3"/>
      <c r="D92" s="4" t="str">
        <f t="shared" si="9"/>
        <v/>
      </c>
      <c r="E92" s="4" t="str">
        <f t="shared" si="10"/>
        <v/>
      </c>
      <c r="F92" s="4" t="str">
        <f t="shared" si="14"/>
        <v/>
      </c>
      <c r="G92" s="4" t="str">
        <f t="shared" si="13"/>
        <v/>
      </c>
      <c r="H92" s="4" t="str">
        <f t="shared" si="11"/>
        <v/>
      </c>
    </row>
    <row r="93" spans="1:8" x14ac:dyDescent="0.3">
      <c r="A93" s="19"/>
      <c r="B93" s="24" t="str">
        <f t="shared" si="12"/>
        <v/>
      </c>
      <c r="C93" s="20"/>
      <c r="D93" s="21" t="str">
        <f t="shared" si="9"/>
        <v/>
      </c>
      <c r="E93" s="21" t="str">
        <f t="shared" si="10"/>
        <v/>
      </c>
      <c r="F93" s="21" t="str">
        <f t="shared" si="14"/>
        <v/>
      </c>
      <c r="G93" s="21" t="str">
        <f t="shared" si="13"/>
        <v/>
      </c>
      <c r="H93" s="21" t="str">
        <f t="shared" si="11"/>
        <v/>
      </c>
    </row>
    <row r="94" spans="1:8" x14ac:dyDescent="0.3">
      <c r="A94" s="2"/>
      <c r="B94" s="23" t="str">
        <f t="shared" si="12"/>
        <v/>
      </c>
      <c r="C94" s="3"/>
      <c r="D94" s="4" t="str">
        <f t="shared" si="9"/>
        <v/>
      </c>
      <c r="E94" s="4" t="str">
        <f t="shared" si="10"/>
        <v/>
      </c>
      <c r="F94" s="4" t="str">
        <f t="shared" si="14"/>
        <v/>
      </c>
      <c r="G94" s="4" t="str">
        <f t="shared" si="13"/>
        <v/>
      </c>
      <c r="H94" s="4" t="str">
        <f t="shared" si="11"/>
        <v/>
      </c>
    </row>
    <row r="95" spans="1:8" x14ac:dyDescent="0.3">
      <c r="A95" s="19"/>
      <c r="B95" s="24" t="str">
        <f t="shared" si="12"/>
        <v/>
      </c>
      <c r="C95" s="20"/>
      <c r="D95" s="21" t="str">
        <f t="shared" si="9"/>
        <v/>
      </c>
      <c r="E95" s="21" t="str">
        <f t="shared" si="10"/>
        <v/>
      </c>
      <c r="F95" s="21" t="str">
        <f t="shared" si="14"/>
        <v/>
      </c>
      <c r="G95" s="21" t="str">
        <f t="shared" si="13"/>
        <v/>
      </c>
      <c r="H95" s="21" t="str">
        <f t="shared" si="11"/>
        <v/>
      </c>
    </row>
    <row r="96" spans="1:8" x14ac:dyDescent="0.3">
      <c r="A96" s="2"/>
      <c r="B96" s="23" t="str">
        <f t="shared" si="12"/>
        <v/>
      </c>
      <c r="C96" s="3"/>
      <c r="D96" s="4" t="str">
        <f t="shared" si="9"/>
        <v/>
      </c>
      <c r="E96" s="4" t="str">
        <f t="shared" si="10"/>
        <v/>
      </c>
      <c r="F96" s="4" t="str">
        <f t="shared" si="14"/>
        <v/>
      </c>
      <c r="G96" s="4" t="str">
        <f t="shared" si="13"/>
        <v/>
      </c>
      <c r="H96" s="4" t="str">
        <f t="shared" si="11"/>
        <v/>
      </c>
    </row>
    <row r="97" spans="1:8" x14ac:dyDescent="0.3">
      <c r="A97" s="19"/>
      <c r="B97" s="24" t="str">
        <f t="shared" si="12"/>
        <v/>
      </c>
      <c r="C97" s="20"/>
      <c r="D97" s="21" t="str">
        <f t="shared" si="9"/>
        <v/>
      </c>
      <c r="E97" s="21" t="str">
        <f t="shared" si="10"/>
        <v/>
      </c>
      <c r="F97" s="21" t="str">
        <f t="shared" si="14"/>
        <v/>
      </c>
      <c r="G97" s="21" t="str">
        <f t="shared" si="13"/>
        <v/>
      </c>
      <c r="H97" s="21" t="str">
        <f t="shared" si="11"/>
        <v/>
      </c>
    </row>
    <row r="98" spans="1:8" x14ac:dyDescent="0.3">
      <c r="A98" s="2"/>
      <c r="B98" s="23" t="str">
        <f t="shared" si="12"/>
        <v/>
      </c>
      <c r="C98" s="3"/>
      <c r="D98" s="4" t="str">
        <f t="shared" ref="D98:D121" si="15">IF(AND($A98&lt;&gt;"",$B98&lt;&gt;""),$K$9,"")</f>
        <v/>
      </c>
      <c r="E98" s="4" t="str">
        <f t="shared" si="10"/>
        <v/>
      </c>
      <c r="F98" s="4" t="str">
        <f t="shared" si="14"/>
        <v/>
      </c>
      <c r="G98" s="4" t="str">
        <f t="shared" si="13"/>
        <v/>
      </c>
      <c r="H98" s="4" t="str">
        <f t="shared" si="11"/>
        <v/>
      </c>
    </row>
    <row r="99" spans="1:8" x14ac:dyDescent="0.3">
      <c r="A99" s="19"/>
      <c r="B99" s="24" t="str">
        <f t="shared" si="12"/>
        <v/>
      </c>
      <c r="C99" s="20"/>
      <c r="D99" s="21" t="str">
        <f t="shared" si="15"/>
        <v/>
      </c>
      <c r="E99" s="21" t="str">
        <f t="shared" ref="E99:E121" si="16">IF(AND($A99&lt;&gt;"",$B99&lt;&gt;""),G98*$K$8,"")</f>
        <v/>
      </c>
      <c r="F99" s="21" t="str">
        <f t="shared" si="14"/>
        <v/>
      </c>
      <c r="G99" s="21" t="str">
        <f t="shared" si="13"/>
        <v/>
      </c>
      <c r="H99" s="21" t="str">
        <f t="shared" ref="H99:H121" si="17">IF(AND($A99&lt;&gt;"",$B99&lt;&gt;""),$K$7-G99,"")</f>
        <v/>
      </c>
    </row>
    <row r="100" spans="1:8" x14ac:dyDescent="0.3">
      <c r="A100" s="2"/>
      <c r="B100" s="23" t="str">
        <f t="shared" si="12"/>
        <v/>
      </c>
      <c r="C100" s="3"/>
      <c r="D100" s="4" t="str">
        <f t="shared" si="15"/>
        <v/>
      </c>
      <c r="E100" s="4" t="str">
        <f t="shared" si="16"/>
        <v/>
      </c>
      <c r="F100" s="4" t="str">
        <f t="shared" si="14"/>
        <v/>
      </c>
      <c r="G100" s="4" t="str">
        <f t="shared" si="13"/>
        <v/>
      </c>
      <c r="H100" s="4" t="str">
        <f t="shared" si="17"/>
        <v/>
      </c>
    </row>
    <row r="101" spans="1:8" x14ac:dyDescent="0.3">
      <c r="A101" s="19"/>
      <c r="B101" s="24" t="str">
        <f t="shared" si="12"/>
        <v/>
      </c>
      <c r="C101" s="20"/>
      <c r="D101" s="21" t="str">
        <f t="shared" si="15"/>
        <v/>
      </c>
      <c r="E101" s="21" t="str">
        <f t="shared" si="16"/>
        <v/>
      </c>
      <c r="F101" s="21" t="str">
        <f t="shared" si="14"/>
        <v/>
      </c>
      <c r="G101" s="21" t="str">
        <f t="shared" si="13"/>
        <v/>
      </c>
      <c r="H101" s="21" t="str">
        <f t="shared" si="17"/>
        <v/>
      </c>
    </row>
    <row r="102" spans="1:8" x14ac:dyDescent="0.3">
      <c r="A102" s="2"/>
      <c r="B102" s="23" t="str">
        <f t="shared" si="12"/>
        <v/>
      </c>
      <c r="C102" s="3"/>
      <c r="D102" s="4" t="str">
        <f t="shared" si="15"/>
        <v/>
      </c>
      <c r="E102" s="4" t="str">
        <f t="shared" si="16"/>
        <v/>
      </c>
      <c r="F102" s="4" t="str">
        <f t="shared" si="14"/>
        <v/>
      </c>
      <c r="G102" s="4" t="str">
        <f t="shared" si="13"/>
        <v/>
      </c>
      <c r="H102" s="4" t="str">
        <f t="shared" si="17"/>
        <v/>
      </c>
    </row>
    <row r="103" spans="1:8" x14ac:dyDescent="0.3">
      <c r="A103" s="19"/>
      <c r="B103" s="24" t="str">
        <f t="shared" si="12"/>
        <v/>
      </c>
      <c r="C103" s="20"/>
      <c r="D103" s="21" t="str">
        <f t="shared" si="15"/>
        <v/>
      </c>
      <c r="E103" s="21" t="str">
        <f t="shared" si="16"/>
        <v/>
      </c>
      <c r="F103" s="21" t="str">
        <f t="shared" si="14"/>
        <v/>
      </c>
      <c r="G103" s="21" t="str">
        <f t="shared" si="13"/>
        <v/>
      </c>
      <c r="H103" s="21" t="str">
        <f t="shared" si="17"/>
        <v/>
      </c>
    </row>
    <row r="104" spans="1:8" x14ac:dyDescent="0.3">
      <c r="A104" s="2"/>
      <c r="B104" s="23" t="str">
        <f t="shared" si="12"/>
        <v/>
      </c>
      <c r="C104" s="3"/>
      <c r="D104" s="4" t="str">
        <f t="shared" si="15"/>
        <v/>
      </c>
      <c r="E104" s="4" t="str">
        <f t="shared" si="16"/>
        <v/>
      </c>
      <c r="F104" s="4" t="str">
        <f t="shared" si="14"/>
        <v/>
      </c>
      <c r="G104" s="4" t="str">
        <f t="shared" si="13"/>
        <v/>
      </c>
      <c r="H104" s="4" t="str">
        <f t="shared" si="17"/>
        <v/>
      </c>
    </row>
    <row r="105" spans="1:8" x14ac:dyDescent="0.3">
      <c r="A105" s="19"/>
      <c r="B105" s="24" t="str">
        <f t="shared" si="12"/>
        <v/>
      </c>
      <c r="C105" s="20"/>
      <c r="D105" s="21" t="str">
        <f t="shared" si="15"/>
        <v/>
      </c>
      <c r="E105" s="21" t="str">
        <f t="shared" si="16"/>
        <v/>
      </c>
      <c r="F105" s="21" t="str">
        <f t="shared" si="14"/>
        <v/>
      </c>
      <c r="G105" s="21" t="str">
        <f t="shared" si="13"/>
        <v/>
      </c>
      <c r="H105" s="21" t="str">
        <f t="shared" si="17"/>
        <v/>
      </c>
    </row>
    <row r="106" spans="1:8" x14ac:dyDescent="0.3">
      <c r="A106" s="2"/>
      <c r="B106" s="23" t="str">
        <f t="shared" si="12"/>
        <v/>
      </c>
      <c r="C106" s="3"/>
      <c r="D106" s="4" t="str">
        <f t="shared" si="15"/>
        <v/>
      </c>
      <c r="E106" s="4" t="str">
        <f t="shared" si="16"/>
        <v/>
      </c>
      <c r="F106" s="4" t="str">
        <f t="shared" si="14"/>
        <v/>
      </c>
      <c r="G106" s="4" t="str">
        <f t="shared" si="13"/>
        <v/>
      </c>
      <c r="H106" s="4" t="str">
        <f t="shared" si="17"/>
        <v/>
      </c>
    </row>
    <row r="107" spans="1:8" x14ac:dyDescent="0.3">
      <c r="A107" s="19"/>
      <c r="B107" s="24" t="str">
        <f t="shared" si="12"/>
        <v/>
      </c>
      <c r="C107" s="20"/>
      <c r="D107" s="21" t="str">
        <f t="shared" si="15"/>
        <v/>
      </c>
      <c r="E107" s="21" t="str">
        <f t="shared" si="16"/>
        <v/>
      </c>
      <c r="F107" s="21" t="str">
        <f t="shared" si="14"/>
        <v/>
      </c>
      <c r="G107" s="21" t="str">
        <f t="shared" si="13"/>
        <v/>
      </c>
      <c r="H107" s="21" t="str">
        <f t="shared" si="17"/>
        <v/>
      </c>
    </row>
    <row r="108" spans="1:8" x14ac:dyDescent="0.3">
      <c r="A108" s="2"/>
      <c r="B108" s="23" t="str">
        <f t="shared" si="12"/>
        <v/>
      </c>
      <c r="C108" s="3"/>
      <c r="D108" s="4" t="str">
        <f t="shared" si="15"/>
        <v/>
      </c>
      <c r="E108" s="4" t="str">
        <f t="shared" si="16"/>
        <v/>
      </c>
      <c r="F108" s="4" t="str">
        <f t="shared" si="14"/>
        <v/>
      </c>
      <c r="G108" s="4" t="str">
        <f t="shared" si="13"/>
        <v/>
      </c>
      <c r="H108" s="4" t="str">
        <f t="shared" si="17"/>
        <v/>
      </c>
    </row>
    <row r="109" spans="1:8" x14ac:dyDescent="0.3">
      <c r="A109" s="19"/>
      <c r="B109" s="24" t="str">
        <f t="shared" si="12"/>
        <v/>
      </c>
      <c r="C109" s="20"/>
      <c r="D109" s="21" t="str">
        <f t="shared" si="15"/>
        <v/>
      </c>
      <c r="E109" s="21" t="str">
        <f t="shared" si="16"/>
        <v/>
      </c>
      <c r="F109" s="21" t="str">
        <f t="shared" si="14"/>
        <v/>
      </c>
      <c r="G109" s="21" t="str">
        <f t="shared" si="13"/>
        <v/>
      </c>
      <c r="H109" s="21" t="str">
        <f t="shared" si="17"/>
        <v/>
      </c>
    </row>
    <row r="110" spans="1:8" x14ac:dyDescent="0.3">
      <c r="A110" s="2"/>
      <c r="B110" s="23" t="str">
        <f t="shared" si="12"/>
        <v/>
      </c>
      <c r="C110" s="3"/>
      <c r="D110" s="4" t="str">
        <f t="shared" si="15"/>
        <v/>
      </c>
      <c r="E110" s="4" t="str">
        <f t="shared" si="16"/>
        <v/>
      </c>
      <c r="F110" s="4" t="str">
        <f t="shared" si="14"/>
        <v/>
      </c>
      <c r="G110" s="4" t="str">
        <f t="shared" si="13"/>
        <v/>
      </c>
      <c r="H110" s="4" t="str">
        <f t="shared" si="17"/>
        <v/>
      </c>
    </row>
    <row r="111" spans="1:8" x14ac:dyDescent="0.3">
      <c r="A111" s="19"/>
      <c r="B111" s="24" t="str">
        <f t="shared" si="12"/>
        <v/>
      </c>
      <c r="C111" s="20"/>
      <c r="D111" s="21" t="str">
        <f t="shared" si="15"/>
        <v/>
      </c>
      <c r="E111" s="21" t="str">
        <f t="shared" si="16"/>
        <v/>
      </c>
      <c r="F111" s="21" t="str">
        <f t="shared" si="14"/>
        <v/>
      </c>
      <c r="G111" s="21" t="str">
        <f t="shared" si="13"/>
        <v/>
      </c>
      <c r="H111" s="21" t="str">
        <f t="shared" si="17"/>
        <v/>
      </c>
    </row>
    <row r="112" spans="1:8" x14ac:dyDescent="0.3">
      <c r="A112" s="2"/>
      <c r="B112" s="23" t="str">
        <f t="shared" si="12"/>
        <v/>
      </c>
      <c r="C112" s="3"/>
      <c r="D112" s="4" t="str">
        <f t="shared" si="15"/>
        <v/>
      </c>
      <c r="E112" s="4" t="str">
        <f t="shared" si="16"/>
        <v/>
      </c>
      <c r="F112" s="4" t="str">
        <f t="shared" si="14"/>
        <v/>
      </c>
      <c r="G112" s="4" t="str">
        <f t="shared" si="13"/>
        <v/>
      </c>
      <c r="H112" s="4" t="str">
        <f t="shared" si="17"/>
        <v/>
      </c>
    </row>
    <row r="113" spans="1:8" x14ac:dyDescent="0.3">
      <c r="A113" s="19"/>
      <c r="B113" s="24" t="str">
        <f t="shared" si="12"/>
        <v/>
      </c>
      <c r="C113" s="20"/>
      <c r="D113" s="21" t="str">
        <f t="shared" si="15"/>
        <v/>
      </c>
      <c r="E113" s="21" t="str">
        <f t="shared" si="16"/>
        <v/>
      </c>
      <c r="F113" s="21" t="str">
        <f t="shared" si="14"/>
        <v/>
      </c>
      <c r="G113" s="21" t="str">
        <f t="shared" si="13"/>
        <v/>
      </c>
      <c r="H113" s="21" t="str">
        <f t="shared" si="17"/>
        <v/>
      </c>
    </row>
    <row r="114" spans="1:8" x14ac:dyDescent="0.3">
      <c r="A114" s="2"/>
      <c r="B114" s="23" t="str">
        <f t="shared" si="12"/>
        <v/>
      </c>
      <c r="C114" s="3"/>
      <c r="D114" s="4" t="str">
        <f t="shared" si="15"/>
        <v/>
      </c>
      <c r="E114" s="4" t="str">
        <f t="shared" si="16"/>
        <v/>
      </c>
      <c r="F114" s="4" t="str">
        <f t="shared" si="14"/>
        <v/>
      </c>
      <c r="G114" s="4" t="str">
        <f t="shared" si="13"/>
        <v/>
      </c>
      <c r="H114" s="4" t="str">
        <f t="shared" si="17"/>
        <v/>
      </c>
    </row>
    <row r="115" spans="1:8" x14ac:dyDescent="0.3">
      <c r="A115" s="19"/>
      <c r="B115" s="24" t="str">
        <f t="shared" si="12"/>
        <v/>
      </c>
      <c r="C115" s="20"/>
      <c r="D115" s="21" t="str">
        <f t="shared" si="15"/>
        <v/>
      </c>
      <c r="E115" s="21" t="str">
        <f t="shared" si="16"/>
        <v/>
      </c>
      <c r="F115" s="21" t="str">
        <f t="shared" si="14"/>
        <v/>
      </c>
      <c r="G115" s="21" t="str">
        <f t="shared" si="13"/>
        <v/>
      </c>
      <c r="H115" s="21" t="str">
        <f t="shared" si="17"/>
        <v/>
      </c>
    </row>
    <row r="116" spans="1:8" x14ac:dyDescent="0.3">
      <c r="A116" s="2"/>
      <c r="B116" s="23" t="str">
        <f t="shared" si="12"/>
        <v/>
      </c>
      <c r="C116" s="3"/>
      <c r="D116" s="4" t="str">
        <f t="shared" si="15"/>
        <v/>
      </c>
      <c r="E116" s="4" t="str">
        <f t="shared" si="16"/>
        <v/>
      </c>
      <c r="F116" s="4" t="str">
        <f t="shared" si="14"/>
        <v/>
      </c>
      <c r="G116" s="4" t="str">
        <f t="shared" si="13"/>
        <v/>
      </c>
      <c r="H116" s="4" t="str">
        <f t="shared" si="17"/>
        <v/>
      </c>
    </row>
    <row r="117" spans="1:8" x14ac:dyDescent="0.3">
      <c r="A117" s="19"/>
      <c r="B117" s="24" t="str">
        <f t="shared" si="12"/>
        <v/>
      </c>
      <c r="C117" s="20"/>
      <c r="D117" s="21" t="str">
        <f t="shared" si="15"/>
        <v/>
      </c>
      <c r="E117" s="21" t="str">
        <f t="shared" si="16"/>
        <v/>
      </c>
      <c r="F117" s="21" t="str">
        <f t="shared" si="14"/>
        <v/>
      </c>
      <c r="G117" s="21" t="str">
        <f t="shared" si="13"/>
        <v/>
      </c>
      <c r="H117" s="21" t="str">
        <f t="shared" si="17"/>
        <v/>
      </c>
    </row>
    <row r="118" spans="1:8" x14ac:dyDescent="0.3">
      <c r="A118" s="2"/>
      <c r="B118" s="23" t="str">
        <f t="shared" si="12"/>
        <v/>
      </c>
      <c r="C118" s="3"/>
      <c r="D118" s="4" t="str">
        <f t="shared" si="15"/>
        <v/>
      </c>
      <c r="E118" s="4" t="str">
        <f t="shared" si="16"/>
        <v/>
      </c>
      <c r="F118" s="4" t="str">
        <f t="shared" si="14"/>
        <v/>
      </c>
      <c r="G118" s="4" t="str">
        <f t="shared" si="13"/>
        <v/>
      </c>
      <c r="H118" s="4" t="str">
        <f t="shared" si="17"/>
        <v/>
      </c>
    </row>
    <row r="119" spans="1:8" x14ac:dyDescent="0.3">
      <c r="A119" s="19"/>
      <c r="B119" s="24" t="str">
        <f t="shared" si="12"/>
        <v/>
      </c>
      <c r="C119" s="20"/>
      <c r="D119" s="21" t="str">
        <f t="shared" si="15"/>
        <v/>
      </c>
      <c r="E119" s="21" t="str">
        <f t="shared" si="16"/>
        <v/>
      </c>
      <c r="F119" s="21" t="str">
        <f t="shared" si="14"/>
        <v/>
      </c>
      <c r="G119" s="21" t="str">
        <f t="shared" si="13"/>
        <v/>
      </c>
      <c r="H119" s="21" t="str">
        <f t="shared" si="17"/>
        <v/>
      </c>
    </row>
    <row r="120" spans="1:8" x14ac:dyDescent="0.3">
      <c r="A120" s="2"/>
      <c r="B120" s="23" t="str">
        <f t="shared" si="12"/>
        <v/>
      </c>
      <c r="C120" s="3"/>
      <c r="D120" s="4" t="str">
        <f t="shared" si="15"/>
        <v/>
      </c>
      <c r="E120" s="4" t="str">
        <f t="shared" si="16"/>
        <v/>
      </c>
      <c r="F120" s="4" t="str">
        <f t="shared" si="14"/>
        <v/>
      </c>
      <c r="G120" s="4" t="str">
        <f t="shared" si="13"/>
        <v/>
      </c>
      <c r="H120" s="4" t="str">
        <f t="shared" si="17"/>
        <v/>
      </c>
    </row>
    <row r="121" spans="1:8" x14ac:dyDescent="0.3">
      <c r="A121" s="19"/>
      <c r="B121" s="24" t="str">
        <f t="shared" si="12"/>
        <v/>
      </c>
      <c r="C121" s="20"/>
      <c r="D121" s="21" t="str">
        <f t="shared" si="15"/>
        <v/>
      </c>
      <c r="E121" s="21" t="str">
        <f t="shared" si="16"/>
        <v/>
      </c>
      <c r="F121" s="21" t="str">
        <f t="shared" si="14"/>
        <v/>
      </c>
      <c r="G121" s="21" t="str">
        <f t="shared" si="13"/>
        <v/>
      </c>
      <c r="H121" s="21" t="str">
        <f t="shared" si="17"/>
        <v/>
      </c>
    </row>
  </sheetData>
  <sheetProtection algorithmName="SHA-512" hashValue="empV8GDjInAWoi56apvKRtXMhuz9nJhBVMtBm6/VzRAVfk3N0ohZouamh1ziAjcIHaID/dVNDZsBtJu+cevheQ==" saltValue="FGEBc0OR+ga6T9gWiY+mEg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227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2026-10-13T06:52:28Z</dcterms:modified>
</cp:coreProperties>
</file>