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92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<sst xmlns="http://schemas.openxmlformats.org/spreadsheetml/2006/main" count="25" uniqueCount="24">
  <si>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</si>
  <si>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</si>
  <si>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</si>
  <si>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</si>
  <si>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</si>
  <si>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</si>
  <si>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</si>
  <si>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</si>
  <si>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</si>
  <si>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</si>
  <si>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</si>
  <si>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</si>
  <si>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</si>
  <si>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</si>
  <si>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</si>
  <si>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</si>
  <si>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</si>
  <si>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</si>
  <si>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</si>
  <si>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</si>
  <si>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</si>
  <si>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</si>
  <si>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</si>
  <si>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Th_Memcha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</si>
</sst>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17" sqref="A17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46206</v>
      </c>
      <c r="B2" s="22">
        <f>IF(A2&lt;&gt;"",1,"")</f>
        <v>1</v>
      </c>
      <c r="C2" s="3"/>
      <c r="D2" s="1">
        <f t="shared" ref="D2:D18" si="0">IF(AND($A2&lt;&gt;"",$B2&lt;&gt;""),$K$9,"")</f>
        <v>700</v>
      </c>
      <c r="E2" s="1">
        <f>IF(AND($A2&lt;&gt;"",$B2&lt;&gt;""),$K$7*$K$8,"")</f>
        <v>200.51562079446532</v>
      </c>
      <c r="F2" s="1">
        <f>IF(AND($A2&lt;&gt;"",$B2&lt;&gt;""),D2-E2,"")</f>
        <v>499.48437920553465</v>
      </c>
      <c r="G2" s="1">
        <f>IF(AND($A2&lt;&gt;"",$B2&lt;&gt;""),$K$7-F2,"")</f>
        <v>9500.5156207944656</v>
      </c>
      <c r="H2" s="1">
        <f>IF(AND($A2&lt;&gt;"",$B2&lt;&gt;""),$K$7-G2,"")</f>
        <v>499.48437920553442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L10000W17-Th_Memcha-N192</v>
      </c>
    </row>
    <row r="3" spans="1:11" x14ac:dyDescent="0.3">
      <c r="A3" s="19">
        <v>46213</v>
      </c>
      <c r="B3" s="23">
        <f>IF(A3&lt;&gt;"",B2+1,"")</f>
        <v>2</v>
      </c>
      <c r="C3" s="20"/>
      <c r="D3" s="21">
        <f t="shared" si="0"/>
        <v>700</v>
      </c>
      <c r="E3" s="21">
        <f t="shared" ref="E3:E18" si="1">IF(AND($A3&lt;&gt;"",$B3&lt;&gt;""),G2*$K$8,"")</f>
        <v>190.50017875711171</v>
      </c>
      <c r="F3" s="21">
        <f>IF(AND($A3&lt;&gt;"",$B3&lt;&gt;""),D3-E3,"")</f>
        <v>509.49982124288829</v>
      </c>
      <c r="G3" s="21">
        <f>IF(AND($A3&lt;&gt;"",$B3&lt;&gt;""),G2-F3,"")</f>
        <v>8991.0157995515765</v>
      </c>
      <c r="H3" s="21">
        <f t="shared" ref="H3:H18" si="2">IF(AND($A3&lt;&gt;"",$B3&lt;&gt;""),$K$7-G3,"")</f>
        <v>1008.9842004484235</v>
      </c>
      <c r="J3" s="4" t="s">
        <v>10</v>
      </c>
      <c r="K3" s="26" t="s">
        <v>23</v>
      </c>
    </row>
    <row r="4" spans="1:11" x14ac:dyDescent="0.3">
      <c r="A4" s="2">
        <v>46220</v>
      </c>
      <c r="B4" s="22">
        <f t="shared" ref="B4:B18" si="3">IF(A4&lt;&gt;"",B3+1,"")</f>
        <v>3</v>
      </c>
      <c r="C4" s="3"/>
      <c r="D4" s="1">
        <f t="shared" si="0"/>
        <v>700</v>
      </c>
      <c r="E4" s="1">
        <f t="shared" si="1"/>
        <v>180.28391146199303</v>
      </c>
      <c r="F4" s="1">
        <f t="shared" ref="F4:F18" si="4">IF(AND($A4&lt;&gt;"",$B4&lt;&gt;""),D4-E4,"")</f>
        <v>519.71608853800694</v>
      </c>
      <c r="G4" s="1">
        <f t="shared" ref="G4:G18" si="5">IF(AND($A4&lt;&gt;"",$B4&lt;&gt;""),G3-F4,"")</f>
        <v>8471.2997110135693</v>
      </c>
      <c r="H4" s="1">
        <f t="shared" si="2"/>
        <v>1528.7002889864307</v>
      </c>
      <c r="J4" s="4" t="s">
        <v>11</v>
      </c>
      <c r="K4" s="26"/>
    </row>
    <row r="5" spans="1:11" x14ac:dyDescent="0.3">
      <c r="A5" s="19">
        <v>46228</v>
      </c>
      <c r="B5" s="23">
        <f t="shared" si="3"/>
        <v>4</v>
      </c>
      <c r="C5" s="20"/>
      <c r="D5" s="21">
        <f t="shared" si="0"/>
        <v>700</v>
      </c>
      <c r="E5" s="21">
        <f t="shared" si="1"/>
        <v>169.86279204898605</v>
      </c>
      <c r="F5" s="21">
        <f t="shared" si="4"/>
        <v>530.13720795101392</v>
      </c>
      <c r="G5" s="21">
        <f t="shared" si="5"/>
        <v>7941.1625030625555</v>
      </c>
      <c r="H5" s="21">
        <f t="shared" si="2"/>
        <v>2058.8374969374445</v>
      </c>
      <c r="J5" s="4" t="s">
        <v>12</v>
      </c>
      <c r="K5" s="26"/>
    </row>
    <row r="6" spans="1:11" x14ac:dyDescent="0.3">
      <c r="A6" s="2">
        <v>46234</v>
      </c>
      <c r="B6" s="22">
        <f t="shared" si="3"/>
        <v>5</v>
      </c>
      <c r="C6" s="3"/>
      <c r="D6" s="1">
        <f t="shared" si="0"/>
        <v>700</v>
      </c>
      <c r="E6" s="1">
        <f t="shared" si="1"/>
        <v>159.23271291313185</v>
      </c>
      <c r="F6" s="1">
        <f t="shared" si="4"/>
        <v>540.76728708686812</v>
      </c>
      <c r="G6" s="1">
        <f t="shared" si="5"/>
        <v>7400.3952159756873</v>
      </c>
      <c r="H6" s="1">
        <f t="shared" si="2"/>
        <v>2599.6047840243127</v>
      </c>
      <c r="J6" s="4" t="s">
        <v>13</v>
      </c>
      <c r="K6" s="26"/>
    </row>
    <row r="7" spans="1:11" x14ac:dyDescent="0.3">
      <c r="A7" s="19">
        <v>46241</v>
      </c>
      <c r="B7" s="23">
        <f t="shared" si="3"/>
        <v>6</v>
      </c>
      <c r="C7" s="20"/>
      <c r="D7" s="21">
        <f t="shared" si="0"/>
        <v>700</v>
      </c>
      <c r="E7" s="21">
        <f t="shared" si="1"/>
        <v>148.38948408557562</v>
      </c>
      <c r="F7" s="21">
        <f t="shared" si="4"/>
        <v>551.61051591442435</v>
      </c>
      <c r="G7" s="21">
        <f t="shared" si="5"/>
        <v>6848.7847000612628</v>
      </c>
      <c r="H7" s="21">
        <f t="shared" si="2"/>
        <v>3151.2152999387372</v>
      </c>
      <c r="J7" s="4" t="s">
        <v>6</v>
      </c>
      <c r="K7" s="27">
        <v>10000</v>
      </c>
    </row>
    <row r="8" spans="1:11" x14ac:dyDescent="0.3">
      <c r="A8" s="2">
        <v>46248</v>
      </c>
      <c r="B8" s="22">
        <f t="shared" si="3"/>
        <v>7</v>
      </c>
      <c r="C8" s="3"/>
      <c r="D8" s="1">
        <f t="shared" si="0"/>
        <v>700</v>
      </c>
      <c r="E8" s="1">
        <f t="shared" si="1"/>
        <v>137.328831582042</v>
      </c>
      <c r="F8" s="1">
        <f t="shared" si="4"/>
        <v>562.67116841795803</v>
      </c>
      <c r="G8" s="1">
        <f t="shared" si="5"/>
        <v>6286.1135316433047</v>
      </c>
      <c r="H8" s="1">
        <f t="shared" si="2"/>
        <v>3713.8864683566953</v>
      </c>
      <c r="J8" s="4" t="s">
        <v>14</v>
      </c>
      <c r="K8" s="6">
        <f>RATE(K10,-K9,K7)</f>
        <v>2.0051562079446531E-2</v>
      </c>
    </row>
    <row r="9" spans="1:11" x14ac:dyDescent="0.3">
      <c r="A9" s="19">
        <v>46258</v>
      </c>
      <c r="B9" s="23">
        <f t="shared" si="3"/>
        <v>8</v>
      </c>
      <c r="C9" s="20"/>
      <c r="D9" s="21">
        <f t="shared" si="0"/>
        <v>700</v>
      </c>
      <c r="E9" s="21">
        <f t="shared" si="1"/>
        <v>126.0463957181946</v>
      </c>
      <c r="F9" s="21">
        <f t="shared" si="4"/>
        <v>573.95360428180538</v>
      </c>
      <c r="G9" s="21">
        <f t="shared" si="5"/>
        <v>5712.1599273614993</v>
      </c>
      <c r="H9" s="21">
        <f t="shared" si="2"/>
        <v>4287.8400726385007</v>
      </c>
      <c r="J9" s="4" t="s">
        <v>7</v>
      </c>
      <c r="K9" s="28">
        <v>700</v>
      </c>
    </row>
    <row r="10" spans="1:11" x14ac:dyDescent="0.3">
      <c r="A10" s="2">
        <v>46262</v>
      </c>
      <c r="B10" s="22">
        <f t="shared" si="3"/>
        <v>9</v>
      </c>
      <c r="C10" s="3"/>
      <c r="D10" s="1">
        <f t="shared" si="0"/>
        <v>700</v>
      </c>
      <c r="E10" s="1">
        <f t="shared" si="1"/>
        <v>114.53772939121589</v>
      </c>
      <c r="F10" s="1">
        <f t="shared" si="4"/>
        <v>585.46227060878414</v>
      </c>
      <c r="G10" s="1">
        <f t="shared" si="5"/>
        <v>5126.6976567527154</v>
      </c>
      <c r="H10" s="1">
        <f t="shared" si="2"/>
        <v>4873.3023432472846</v>
      </c>
      <c r="J10" s="4" t="s">
        <v>8</v>
      </c>
      <c r="K10" s="29">
        <v>17</v>
      </c>
    </row>
    <row r="11" spans="1:11" ht="17.25" thickBot="1" x14ac:dyDescent="0.35">
      <c r="A11" s="19">
        <v>46269</v>
      </c>
      <c r="B11" s="23">
        <f t="shared" si="3"/>
        <v>10</v>
      </c>
      <c r="C11" s="20"/>
      <c r="D11" s="21">
        <f t="shared" si="0"/>
        <v>700</v>
      </c>
      <c r="E11" s="21">
        <f t="shared" si="1"/>
        <v>102.79829632693014</v>
      </c>
      <c r="F11" s="21">
        <f t="shared" si="4"/>
        <v>597.20170367306991</v>
      </c>
      <c r="G11" s="21">
        <f t="shared" si="5"/>
        <v>4529.4959530796459</v>
      </c>
      <c r="H11" s="21">
        <f t="shared" si="2"/>
        <v>5470.5040469203541</v>
      </c>
      <c r="J11" s="14"/>
    </row>
    <row r="12" spans="1:11" x14ac:dyDescent="0.3">
      <c r="A12" s="2">
        <v>46276</v>
      </c>
      <c r="B12" s="22">
        <f t="shared" si="3"/>
        <v>11</v>
      </c>
      <c r="C12" s="3"/>
      <c r="D12" s="1">
        <f t="shared" si="0"/>
        <v>700</v>
      </c>
      <c r="E12" s="1">
        <f t="shared" si="1"/>
        <v>90.823469291778352</v>
      </c>
      <c r="F12" s="1">
        <f t="shared" si="4"/>
        <v>609.17653070822166</v>
      </c>
      <c r="G12" s="1">
        <f t="shared" si="5"/>
        <v>3920.3194223714245</v>
      </c>
      <c r="H12" s="1">
        <f t="shared" si="2"/>
        <v>6079.6805776285755</v>
      </c>
      <c r="J12" s="8" t="s">
        <v>16</v>
      </c>
      <c r="K12" s="9">
        <f>IFERROR(MAX($B:$B),"")</f>
        <v>15</v>
      </c>
    </row>
    <row r="13" spans="1:11" x14ac:dyDescent="0.3">
      <c r="A13" s="19">
        <v>46286</v>
      </c>
      <c r="B13" s="23">
        <f t="shared" si="3"/>
        <v>12</v>
      </c>
      <c r="C13" s="20"/>
      <c r="D13" s="21">
        <f t="shared" si="0"/>
        <v>700</v>
      </c>
      <c r="E13" s="21">
        <f t="shared" si="1"/>
        <v>78.608528268940589</v>
      </c>
      <c r="F13" s="21">
        <f t="shared" si="4"/>
        <v>621.39147173105937</v>
      </c>
      <c r="G13" s="21">
        <f t="shared" si="5"/>
        <v>3298.927950640365</v>
      </c>
      <c r="H13" s="21">
        <f t="shared" si="2"/>
        <v>6701.0720493596345</v>
      </c>
      <c r="J13" s="24" t="s">
        <v>21</v>
      </c>
      <c r="K13" s="11">
        <f>(K10*K9)-K9*K12</f>
        <v>1400</v>
      </c>
    </row>
    <row r="14" spans="1:11" x14ac:dyDescent="0.3">
      <c r="A14" s="2">
        <v>46290</v>
      </c>
      <c r="B14" s="22">
        <f t="shared" si="3"/>
        <v>13</v>
      </c>
      <c r="C14" s="3"/>
      <c r="D14" s="1">
        <f t="shared" si="0"/>
        <v>700</v>
      </c>
      <c r="E14" s="1">
        <f t="shared" si="1"/>
        <v>66.148658597886595</v>
      </c>
      <c r="F14" s="1">
        <f t="shared" si="4"/>
        <v>633.85134140211335</v>
      </c>
      <c r="G14" s="1">
        <f t="shared" si="5"/>
        <v>2665.0766092382519</v>
      </c>
      <c r="H14" s="1">
        <f t="shared" si="2"/>
        <v>7334.9233907617481</v>
      </c>
      <c r="J14" s="10" t="s">
        <v>22</v>
      </c>
      <c r="K14" s="11">
        <f>IF(A2="", K9*K10, IFERROR(INDEX($G:$G, MATCH($K$12, $B:$B, 0)), 0))</f>
        <v>1358.9899483407528</v>
      </c>
    </row>
    <row r="15" spans="1:11" ht="17.25" thickBot="1" x14ac:dyDescent="0.35">
      <c r="A15" s="19">
        <v>46305</v>
      </c>
      <c r="B15" s="23">
        <f t="shared" si="3"/>
        <v>14</v>
      </c>
      <c r="C15" s="20"/>
      <c r="D15" s="21">
        <f t="shared" si="0"/>
        <v>700</v>
      </c>
      <c r="E15" s="21">
        <f t="shared" si="1"/>
        <v>53.438949076621675</v>
      </c>
      <c r="F15" s="21">
        <f t="shared" si="4"/>
        <v>646.56105092337828</v>
      </c>
      <c r="G15" s="21">
        <f t="shared" si="5"/>
        <v>2018.5155583148735</v>
      </c>
      <c r="H15" s="21">
        <f t="shared" si="2"/>
        <v>7981.4844416851265</v>
      </c>
      <c r="J15" s="12" t="s">
        <v>5</v>
      </c>
      <c r="K15" s="13">
        <f>IFERROR(INDEX($H:$H, MATCH($K$12, $B:$B, 0)), 0)</f>
        <v>8641.0100516592465</v>
      </c>
    </row>
    <row r="16" spans="1:11" x14ac:dyDescent="0.3">
      <c r="A16" s="2">
        <v>46305</v>
      </c>
      <c r="B16" s="22">
        <f t="shared" si="3"/>
        <v>15</v>
      </c>
      <c r="C16" s="3"/>
      <c r="D16" s="1">
        <f t="shared" si="0"/>
        <v>700</v>
      </c>
      <c r="E16" s="1">
        <f t="shared" si="1"/>
        <v>40.474390025879359</v>
      </c>
      <c r="F16" s="1">
        <f t="shared" si="4"/>
        <v>659.5256099741207</v>
      </c>
      <c r="G16" s="1">
        <f t="shared" si="5"/>
        <v>1358.9899483407528</v>
      </c>
      <c r="H16" s="1">
        <f t="shared" si="2"/>
        <v>8641.0100516592465</v>
      </c>
      <c r="J16" s="15" t="s">
        <v>18</v>
      </c>
      <c r="K16" s="16">
        <f>IF(A2,A2, "")</f>
        <v>46206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46325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2026-10-13T06:44:35Z</dcterms:modified>
</cp:coreProperties>
</file>