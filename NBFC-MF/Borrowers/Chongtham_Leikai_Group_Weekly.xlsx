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223" sheetId="5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5" l="1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2" i="5"/>
  <c r="K16" i="5" l="1"/>
  <c r="K2" i="5"/>
  <c r="K17" i="5" l="1"/>
  <c r="K1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2" i="5"/>
  <c r="K13" i="5" l="1"/>
  <c r="K8" i="5" l="1"/>
  <c r="E2" i="5" s="1"/>
  <c r="F2" i="5" s="1"/>
  <c r="G2" i="5" s="1"/>
  <c r="H2" i="5" s="1"/>
  <c r="E3" i="5" l="1"/>
  <c r="F3" i="5" s="1"/>
  <c r="G3" i="5" s="1"/>
  <c r="E4" i="5" s="1"/>
  <c r="F4" i="5" s="1"/>
  <c r="G4" i="5" s="1"/>
  <c r="H4" i="5" s="1"/>
  <c r="H3" i="5" l="1"/>
  <c r="E5" i="5"/>
  <c r="F5" i="5" s="1"/>
  <c r="G5" i="5" s="1"/>
  <c r="H5" i="5" l="1"/>
  <c r="E6" i="5"/>
  <c r="F6" i="5" s="1"/>
  <c r="G6" i="5" s="1"/>
  <c r="H6" i="5" s="1"/>
  <c r="E7" i="5" l="1"/>
  <c r="F7" i="5" s="1"/>
  <c r="G7" i="5" s="1"/>
  <c r="H7" i="5" s="1"/>
  <c r="E8" i="5" l="1"/>
  <c r="F8" i="5" s="1"/>
  <c r="G8" i="5" s="1"/>
  <c r="H8" i="5" s="1"/>
  <c r="E9" i="5" l="1"/>
  <c r="F9" i="5" s="1"/>
  <c r="G9" i="5" s="1"/>
  <c r="H9" i="5" s="1"/>
  <c r="E10" i="5" l="1"/>
  <c r="F10" i="5" s="1"/>
  <c r="G10" i="5" s="1"/>
  <c r="H10" i="5" s="1"/>
  <c r="E11" i="5" l="1"/>
  <c r="F11" i="5" s="1"/>
  <c r="G11" i="5" s="1"/>
  <c r="H11" i="5" s="1"/>
  <c r="E12" i="5" l="1"/>
  <c r="F12" i="5" s="1"/>
  <c r="G12" i="5" s="1"/>
  <c r="H12" i="5" s="1"/>
  <c r="E13" i="5" l="1"/>
  <c r="F13" i="5" s="1"/>
  <c r="G13" i="5" s="1"/>
  <c r="H13" i="5" s="1"/>
  <c r="E14" i="5" l="1"/>
  <c r="F14" i="5" s="1"/>
  <c r="G14" i="5" s="1"/>
  <c r="H14" i="5" s="1"/>
  <c r="E15" i="5" l="1"/>
  <c r="F15" i="5" s="1"/>
  <c r="G15" i="5" s="1"/>
  <c r="H15" i="5" s="1"/>
  <c r="E16" i="5" l="1"/>
  <c r="F16" i="5" s="1"/>
  <c r="G16" i="5" s="1"/>
  <c r="H16" i="5" s="1"/>
  <c r="E17" i="5" l="1"/>
  <c r="F17" i="5" s="1"/>
  <c r="G17" i="5" s="1"/>
  <c r="H17" i="5" l="1"/>
  <c r="E18" i="5"/>
  <c r="F18" i="5" s="1"/>
  <c r="G18" i="5" s="1"/>
  <c r="H18" i="5" l="1"/>
  <c r="K14" i="5"/>
  <c r="K15" i="5"/>
</calcChain>
</file>

<file path=xl/sharedStrings.xml><?xml version="1.0" encoding="utf-8"?>
<sst xmlns="http://schemas.openxmlformats.org/spreadsheetml/2006/main" count="25" uniqueCount="24">
  <si>
    <t>Date</t>
  </si>
  <si>
    <t>EMI Paid (₹)</t>
  </si>
  <si>
    <t>Interest Portion (₹)</t>
  </si>
  <si>
    <t>Principal Portion (₹)</t>
  </si>
  <si>
    <t>Outstanding Principal (₹)</t>
  </si>
  <si>
    <t>Repaid Principal</t>
  </si>
  <si>
    <t>Loan Principal</t>
  </si>
  <si>
    <t>EMI</t>
  </si>
  <si>
    <t>Weeks</t>
  </si>
  <si>
    <t>Profile Details</t>
  </si>
  <si>
    <t>Name:</t>
  </si>
  <si>
    <t>Aadhar:</t>
  </si>
  <si>
    <t>Address:</t>
  </si>
  <si>
    <t>Mobile:</t>
  </si>
  <si>
    <t>Weekly Rate</t>
  </si>
  <si>
    <t>Week</t>
  </si>
  <si>
    <t>LatestWeek</t>
  </si>
  <si>
    <t>Code</t>
  </si>
  <si>
    <t>Start Date</t>
  </si>
  <si>
    <t>End Date</t>
  </si>
  <si>
    <t>Reference Id</t>
  </si>
  <si>
    <t>Out(Int + Principal)</t>
  </si>
  <si>
    <t>Principal Outstanding</t>
  </si>
  <si>
    <t>Chongtham_LeikaiGr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</si>
</sst>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0">
    <xf numFmtId="0" fontId="0" fillId="0" borderId="0" xfId="0"/>
    <xf numFmtId="165" fontId="2" fillId="3" borderId="1" xfId="0" applyNumberFormat="1" applyFont="1" applyFill="1" applyBorder="1" applyAlignment="1" applyProtection="1">
      <alignment horizontal="center" vertical="center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3" fillId="4" borderId="0" xfId="0" applyFont="1" applyFill="1" applyProtection="1"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center" vertical="center" wrapText="1"/>
    </xf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0" xfId="0" applyFont="1" applyFill="1" applyProtection="1"/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tabSelected="1" zoomScaleNormal="100" workbookViewId="0">
      <pane ySplit="1" topLeftCell="A2" activePane="bottomLeft" state="frozen"/>
      <selection pane="bottomLeft" activeCell="A4" sqref="A4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3.570312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46281</v>
      </c>
      <c r="B2" s="22">
        <f>IF(A2&lt;&gt;"",1,"")</f>
        <v>1</v>
      </c>
      <c r="C2" s="3"/>
      <c r="D2" s="1">
        <f t="shared" ref="D2:D18" si="0">IF(AND($A2&lt;&gt;"",$B2&lt;&gt;""),$K$9,"")</f>
        <v>4200</v>
      </c>
      <c r="E2" s="1">
        <f>IF(AND($A2&lt;&gt;"",$B2&lt;&gt;""),$K$7*$K$8,"")</f>
        <v>1203.0937247667748</v>
      </c>
      <c r="F2" s="1">
        <f>IF(AND($A2&lt;&gt;"",$B2&lt;&gt;""),D2-E2,"")</f>
        <v>2996.9062752332252</v>
      </c>
      <c r="G2" s="1">
        <f>IF(AND($A2&lt;&gt;"",$B2&lt;&gt;""),$K$7-F2,"")</f>
        <v>57003.093724766775</v>
      </c>
      <c r="H2" s="1">
        <f>IF(AND($A2&lt;&gt;"",$B2&lt;&gt;""),$K$7-G2,"")</f>
        <v>2996.9062752332247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L60000W17-Chongtham_LeikaiGr-N223</v>
      </c>
    </row>
    <row r="3" spans="1:11" x14ac:dyDescent="0.3">
      <c r="A3" s="19">
        <v>46288</v>
      </c>
      <c r="B3" s="23">
        <f>IF(A3&lt;&gt;"",B2+1,"")</f>
        <v>2</v>
      </c>
      <c r="C3" s="20"/>
      <c r="D3" s="21">
        <f t="shared" si="0"/>
        <v>4200</v>
      </c>
      <c r="E3" s="21">
        <f t="shared" ref="E3:E18" si="1">IF(AND($A3&lt;&gt;"",$B3&lt;&gt;""),G2*$K$8,"")</f>
        <v>1143.0010725426537</v>
      </c>
      <c r="F3" s="21">
        <f>IF(AND($A3&lt;&gt;"",$B3&lt;&gt;""),D3-E3,"")</f>
        <v>3056.9989274573463</v>
      </c>
      <c r="G3" s="21">
        <f>IF(AND($A3&lt;&gt;"",$B3&lt;&gt;""),G2-F3,"")</f>
        <v>53946.09479730943</v>
      </c>
      <c r="H3" s="21">
        <f t="shared" ref="H3:H18" si="2">IF(AND($A3&lt;&gt;"",$B3&lt;&gt;""),$K$7-G3,"")</f>
        <v>6053.9052026905701</v>
      </c>
      <c r="J3" s="4" t="s">
        <v>10</v>
      </c>
      <c r="K3" s="26" t="s">
        <v>23</v>
      </c>
    </row>
    <row r="4" spans="1:11" x14ac:dyDescent="0.3">
      <c r="A4" s="2"/>
      <c r="B4" s="22" t="str">
        <f t="shared" ref="B4:B18" si="3">IF(A4&lt;&gt;"",B3+1,"")</f>
        <v/>
      </c>
      <c r="C4" s="3"/>
      <c r="D4" s="1" t="str">
        <f t="shared" si="0"/>
        <v/>
      </c>
      <c r="E4" s="1" t="str">
        <f t="shared" si="1"/>
        <v/>
      </c>
      <c r="F4" s="1" t="str">
        <f t="shared" ref="F4:F18" si="4">IF(AND($A4&lt;&gt;"",$B4&lt;&gt;""),D4-E4,"")</f>
        <v/>
      </c>
      <c r="G4" s="1" t="str">
        <f t="shared" ref="G4:G18" si="5">IF(AND($A4&lt;&gt;"",$B4&lt;&gt;""),G3-F4,"")</f>
        <v/>
      </c>
      <c r="H4" s="1" t="str">
        <f t="shared" si="2"/>
        <v/>
      </c>
      <c r="J4" s="4" t="s">
        <v>11</v>
      </c>
      <c r="K4" s="26"/>
    </row>
    <row r="5" spans="1:11" x14ac:dyDescent="0.3">
      <c r="A5" s="19"/>
      <c r="B5" s="23" t="str">
        <f t="shared" si="3"/>
        <v/>
      </c>
      <c r="C5" s="20"/>
      <c r="D5" s="21" t="str">
        <f t="shared" si="0"/>
        <v/>
      </c>
      <c r="E5" s="21" t="str">
        <f t="shared" si="1"/>
        <v/>
      </c>
      <c r="F5" s="21" t="str">
        <f t="shared" si="4"/>
        <v/>
      </c>
      <c r="G5" s="21" t="str">
        <f t="shared" si="5"/>
        <v/>
      </c>
      <c r="H5" s="21" t="str">
        <f t="shared" si="2"/>
        <v/>
      </c>
      <c r="J5" s="4" t="s">
        <v>12</v>
      </c>
      <c r="K5" s="26"/>
    </row>
    <row r="6" spans="1:11" x14ac:dyDescent="0.3">
      <c r="A6" s="2"/>
      <c r="B6" s="22" t="str">
        <f t="shared" si="3"/>
        <v/>
      </c>
      <c r="C6" s="3"/>
      <c r="D6" s="1" t="str">
        <f t="shared" si="0"/>
        <v/>
      </c>
      <c r="E6" s="1" t="str">
        <f t="shared" si="1"/>
        <v/>
      </c>
      <c r="F6" s="1" t="str">
        <f t="shared" si="4"/>
        <v/>
      </c>
      <c r="G6" s="1" t="str">
        <f t="shared" si="5"/>
        <v/>
      </c>
      <c r="H6" s="1" t="str">
        <f t="shared" si="2"/>
        <v/>
      </c>
      <c r="J6" s="4" t="s">
        <v>13</v>
      </c>
      <c r="K6" s="26"/>
    </row>
    <row r="7" spans="1:11" x14ac:dyDescent="0.3">
      <c r="A7" s="19"/>
      <c r="B7" s="23" t="str">
        <f t="shared" si="3"/>
        <v/>
      </c>
      <c r="C7" s="20"/>
      <c r="D7" s="21" t="str">
        <f t="shared" si="0"/>
        <v/>
      </c>
      <c r="E7" s="21" t="str">
        <f t="shared" si="1"/>
        <v/>
      </c>
      <c r="F7" s="21" t="str">
        <f t="shared" si="4"/>
        <v/>
      </c>
      <c r="G7" s="21" t="str">
        <f t="shared" si="5"/>
        <v/>
      </c>
      <c r="H7" s="21" t="str">
        <f t="shared" si="2"/>
        <v/>
      </c>
      <c r="J7" s="4" t="s">
        <v>6</v>
      </c>
      <c r="K7" s="27">
        <v>60000</v>
      </c>
    </row>
    <row r="8" spans="1:11" x14ac:dyDescent="0.3">
      <c r="A8" s="2"/>
      <c r="B8" s="22" t="str">
        <f t="shared" si="3"/>
        <v/>
      </c>
      <c r="C8" s="3"/>
      <c r="D8" s="1" t="str">
        <f t="shared" si="0"/>
        <v/>
      </c>
      <c r="E8" s="1" t="str">
        <f t="shared" si="1"/>
        <v/>
      </c>
      <c r="F8" s="1" t="str">
        <f t="shared" si="4"/>
        <v/>
      </c>
      <c r="G8" s="1" t="str">
        <f t="shared" si="5"/>
        <v/>
      </c>
      <c r="H8" s="1" t="str">
        <f t="shared" si="2"/>
        <v/>
      </c>
      <c r="J8" s="4" t="s">
        <v>14</v>
      </c>
      <c r="K8" s="6">
        <f>RATE(K10,-K9,K7)</f>
        <v>2.0051562079446247E-2</v>
      </c>
    </row>
    <row r="9" spans="1:11" x14ac:dyDescent="0.3">
      <c r="A9" s="19"/>
      <c r="B9" s="23" t="str">
        <f t="shared" si="3"/>
        <v/>
      </c>
      <c r="C9" s="20"/>
      <c r="D9" s="21" t="str">
        <f t="shared" si="0"/>
        <v/>
      </c>
      <c r="E9" s="21" t="str">
        <f t="shared" si="1"/>
        <v/>
      </c>
      <c r="F9" s="21" t="str">
        <f t="shared" si="4"/>
        <v/>
      </c>
      <c r="G9" s="21" t="str">
        <f t="shared" si="5"/>
        <v/>
      </c>
      <c r="H9" s="21" t="str">
        <f t="shared" si="2"/>
        <v/>
      </c>
      <c r="J9" s="4" t="s">
        <v>7</v>
      </c>
      <c r="K9" s="28">
        <v>4200</v>
      </c>
    </row>
    <row r="10" spans="1:11" x14ac:dyDescent="0.3">
      <c r="A10" s="2"/>
      <c r="B10" s="22" t="str">
        <f t="shared" si="3"/>
        <v/>
      </c>
      <c r="C10" s="3"/>
      <c r="D10" s="1" t="str">
        <f t="shared" si="0"/>
        <v/>
      </c>
      <c r="E10" s="1" t="str">
        <f t="shared" si="1"/>
        <v/>
      </c>
      <c r="F10" s="1" t="str">
        <f t="shared" si="4"/>
        <v/>
      </c>
      <c r="G10" s="1" t="str">
        <f t="shared" si="5"/>
        <v/>
      </c>
      <c r="H10" s="1" t="str">
        <f t="shared" si="2"/>
        <v/>
      </c>
      <c r="J10" s="4" t="s">
        <v>8</v>
      </c>
      <c r="K10" s="29">
        <v>17</v>
      </c>
    </row>
    <row r="11" spans="1:11" ht="17.25" thickBot="1" x14ac:dyDescent="0.35">
      <c r="A11" s="19"/>
      <c r="B11" s="23" t="str">
        <f t="shared" si="3"/>
        <v/>
      </c>
      <c r="C11" s="20"/>
      <c r="D11" s="21" t="str">
        <f t="shared" si="0"/>
        <v/>
      </c>
      <c r="E11" s="21" t="str">
        <f t="shared" si="1"/>
        <v/>
      </c>
      <c r="F11" s="21" t="str">
        <f t="shared" si="4"/>
        <v/>
      </c>
      <c r="G11" s="21" t="str">
        <f t="shared" si="5"/>
        <v/>
      </c>
      <c r="H11" s="21" t="str">
        <f t="shared" si="2"/>
        <v/>
      </c>
      <c r="J11" s="14"/>
    </row>
    <row r="12" spans="1:11" x14ac:dyDescent="0.3">
      <c r="A12" s="2"/>
      <c r="B12" s="22" t="str">
        <f t="shared" si="3"/>
        <v/>
      </c>
      <c r="C12" s="3"/>
      <c r="D12" s="1" t="str">
        <f t="shared" si="0"/>
        <v/>
      </c>
      <c r="E12" s="1" t="str">
        <f t="shared" si="1"/>
        <v/>
      </c>
      <c r="F12" s="1" t="str">
        <f t="shared" si="4"/>
        <v/>
      </c>
      <c r="G12" s="1" t="str">
        <f t="shared" si="5"/>
        <v/>
      </c>
      <c r="H12" s="1" t="str">
        <f t="shared" si="2"/>
        <v/>
      </c>
      <c r="J12" s="8" t="s">
        <v>16</v>
      </c>
      <c r="K12" s="9">
        <f>IFERROR(MAX($B:$B),"")</f>
        <v>2</v>
      </c>
    </row>
    <row r="13" spans="1:11" x14ac:dyDescent="0.3">
      <c r="A13" s="19"/>
      <c r="B13" s="23" t="str">
        <f t="shared" si="3"/>
        <v/>
      </c>
      <c r="C13" s="20"/>
      <c r="D13" s="21" t="str">
        <f t="shared" si="0"/>
        <v/>
      </c>
      <c r="E13" s="21" t="str">
        <f t="shared" si="1"/>
        <v/>
      </c>
      <c r="F13" s="21" t="str">
        <f t="shared" si="4"/>
        <v/>
      </c>
      <c r="G13" s="21" t="str">
        <f t="shared" si="5"/>
        <v/>
      </c>
      <c r="H13" s="21" t="str">
        <f t="shared" si="2"/>
        <v/>
      </c>
      <c r="J13" s="24" t="s">
        <v>21</v>
      </c>
      <c r="K13" s="11">
        <f>(K10*K9)-K9*K12</f>
        <v>63000</v>
      </c>
    </row>
    <row r="14" spans="1:11" x14ac:dyDescent="0.3">
      <c r="A14" s="2"/>
      <c r="B14" s="22" t="str">
        <f t="shared" si="3"/>
        <v/>
      </c>
      <c r="C14" s="3"/>
      <c r="D14" s="1" t="str">
        <f t="shared" si="0"/>
        <v/>
      </c>
      <c r="E14" s="1" t="str">
        <f t="shared" si="1"/>
        <v/>
      </c>
      <c r="F14" s="1" t="str">
        <f t="shared" si="4"/>
        <v/>
      </c>
      <c r="G14" s="1" t="str">
        <f t="shared" si="5"/>
        <v/>
      </c>
      <c r="H14" s="1" t="str">
        <f t="shared" si="2"/>
        <v/>
      </c>
      <c r="J14" s="10" t="s">
        <v>22</v>
      </c>
      <c r="K14" s="11">
        <f>IF(A2="", K9*K10, IFERROR(INDEX($G:$G, MATCH($K$12, $B:$B, 0)), 0))</f>
        <v>53946.09479730943</v>
      </c>
    </row>
    <row r="15" spans="1:11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6053.9052026905701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>
        <f>IF(A2,A2, "")</f>
        <v>46281</v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46400</v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sheetProtection algorithmName="SHA-512" hashValue="7yI+izlIteEFB5AAwDvg1y34kMaRdn2zkdICuBVpUy+l8hBGD2XadCAmNwRvlqpKFFdwkO6lgwHbJqgs4Mqxsg==" saltValue="k1ngp1D5U8OI70ytiKa8RQ==" spinCount="100000" sheet="1" objects="1" scenarios="1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223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2026-09-30T06:31:37Z</dcterms:modified>
</cp:coreProperties>
</file>