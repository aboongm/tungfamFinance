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3600" windowWidth="15360" windowHeight="4410" activeTab="1"/>
  </bookViews>
  <sheets>
    <sheet name="Portfolio" sheetId="7" r:id="rId1"/>
    <sheet name="Tracker" sheetId="8" r:id="rId2"/>
    <sheet name="LoaneeList" sheetId="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xlnm._FilterDatabase" localSheetId="0" hidden="1">Portfolio!$A$4:$O$472</definedName>
  </definedNames>
  <calcPr calcId="162913"/>
</workbook>
</file>

<file path=xl/calcChain.xml><?xml version="1.0" encoding="utf-8"?>
<calcChain xmlns="http://schemas.openxmlformats.org/spreadsheetml/2006/main">
  <c r="O73" i="7" l="1"/>
  <c r="N73" i="7"/>
  <c r="M73" i="7"/>
  <c r="L73" i="7"/>
  <c r="K73" i="7"/>
  <c r="J73" i="7"/>
  <c r="I73" i="7"/>
  <c r="H73" i="7"/>
  <c r="F73" i="7"/>
  <c r="E73" i="7"/>
  <c r="B73" i="7"/>
  <c r="D73" i="7"/>
  <c r="O72" i="7" l="1"/>
  <c r="N72" i="7"/>
  <c r="M72" i="7"/>
  <c r="L72" i="7"/>
  <c r="K72" i="7"/>
  <c r="J72" i="7"/>
  <c r="I72" i="7"/>
  <c r="H72" i="7"/>
  <c r="F72" i="7"/>
  <c r="E72" i="7"/>
  <c r="B72" i="7"/>
  <c r="D72" i="7"/>
  <c r="O71" i="7" l="1"/>
  <c r="N71" i="7"/>
  <c r="M71" i="7"/>
  <c r="L71" i="7"/>
  <c r="K71" i="7"/>
  <c r="J71" i="7"/>
  <c r="I71" i="7"/>
  <c r="H71" i="7"/>
  <c r="F71" i="7"/>
  <c r="E71" i="7"/>
  <c r="B71" i="7"/>
  <c r="D71" i="7" l="1"/>
  <c r="O70" i="7" l="1"/>
  <c r="N70" i="7"/>
  <c r="L70" i="7"/>
  <c r="K70" i="7"/>
  <c r="J70" i="7"/>
  <c r="I70" i="7"/>
  <c r="H70" i="7"/>
  <c r="F70" i="7"/>
  <c r="E70" i="7"/>
  <c r="D70" i="7"/>
  <c r="B70" i="7"/>
  <c r="O69" i="7" l="1"/>
  <c r="N69" i="7"/>
  <c r="L69" i="7"/>
  <c r="K69" i="7"/>
  <c r="J69" i="7"/>
  <c r="I69" i="7"/>
  <c r="H69" i="7"/>
  <c r="F69" i="7"/>
  <c r="E69" i="7"/>
  <c r="D69" i="7"/>
  <c r="B69" i="7"/>
  <c r="J68" i="7"/>
  <c r="O68" i="7" l="1"/>
  <c r="N68" i="7"/>
  <c r="L68" i="7"/>
  <c r="K68" i="7"/>
  <c r="I68" i="7"/>
  <c r="H68" i="7"/>
  <c r="F68" i="7"/>
  <c r="E68" i="7"/>
  <c r="B68" i="7"/>
  <c r="D68" i="7" l="1"/>
  <c r="O67" i="7" l="1"/>
  <c r="N67" i="7"/>
  <c r="L67" i="7"/>
  <c r="K67" i="7"/>
  <c r="J67" i="7"/>
  <c r="I67" i="7"/>
  <c r="H67" i="7"/>
  <c r="F67" i="7"/>
  <c r="E67" i="7"/>
  <c r="B67" i="7"/>
  <c r="D67" i="7"/>
  <c r="O66" i="7" l="1"/>
  <c r="N66" i="7"/>
  <c r="L66" i="7"/>
  <c r="K66" i="7"/>
  <c r="J66" i="7"/>
  <c r="I66" i="7"/>
  <c r="H66" i="7"/>
  <c r="F66" i="7"/>
  <c r="E66" i="7"/>
  <c r="B66" i="7"/>
  <c r="D66" i="7"/>
  <c r="O65" i="7" l="1"/>
  <c r="N65" i="7"/>
  <c r="L65" i="7"/>
  <c r="K65" i="7"/>
  <c r="J65" i="7"/>
  <c r="I65" i="7"/>
  <c r="H65" i="7"/>
  <c r="F65" i="7"/>
  <c r="E65" i="7"/>
  <c r="B65" i="7"/>
  <c r="D65" i="7"/>
  <c r="E100" i="8"/>
  <c r="D100" i="8"/>
  <c r="C100" i="8"/>
  <c r="E99" i="8"/>
  <c r="D99" i="8"/>
  <c r="C99" i="8"/>
  <c r="E98" i="8"/>
  <c r="D98" i="8"/>
  <c r="C98" i="8"/>
  <c r="E97" i="8"/>
  <c r="D97" i="8"/>
  <c r="C97" i="8"/>
  <c r="E96" i="8"/>
  <c r="D96" i="8"/>
  <c r="C96" i="8"/>
  <c r="E95" i="8"/>
  <c r="D95" i="8"/>
  <c r="C95" i="8"/>
  <c r="E94" i="8"/>
  <c r="D94" i="8"/>
  <c r="C94" i="8"/>
  <c r="E93" i="8"/>
  <c r="D93" i="8"/>
  <c r="C93" i="8"/>
  <c r="E92" i="8"/>
  <c r="D92" i="8"/>
  <c r="C92" i="8"/>
  <c r="E91" i="8"/>
  <c r="D91" i="8"/>
  <c r="C91" i="8"/>
  <c r="E90" i="8"/>
  <c r="D90" i="8"/>
  <c r="C90" i="8"/>
  <c r="E89" i="8"/>
  <c r="D89" i="8"/>
  <c r="C89" i="8"/>
  <c r="E88" i="8"/>
  <c r="D88" i="8"/>
  <c r="C88" i="8"/>
  <c r="E87" i="8"/>
  <c r="D87" i="8"/>
  <c r="C87" i="8"/>
  <c r="E86" i="8"/>
  <c r="D86" i="8"/>
  <c r="C86" i="8"/>
  <c r="E85" i="8"/>
  <c r="D85" i="8"/>
  <c r="C85" i="8"/>
  <c r="E84" i="8"/>
  <c r="D84" i="8"/>
  <c r="C84" i="8"/>
  <c r="E83" i="8"/>
  <c r="D83" i="8"/>
  <c r="C83" i="8"/>
  <c r="E82" i="8"/>
  <c r="D82" i="8"/>
  <c r="C82" i="8"/>
  <c r="E81" i="8"/>
  <c r="D81" i="8"/>
  <c r="C81" i="8"/>
  <c r="E80" i="8"/>
  <c r="D80" i="8"/>
  <c r="C80" i="8"/>
  <c r="E79" i="8"/>
  <c r="D79" i="8"/>
  <c r="C79" i="8"/>
  <c r="E78" i="8"/>
  <c r="D78" i="8"/>
  <c r="C78" i="8"/>
  <c r="E77" i="8"/>
  <c r="D77" i="8"/>
  <c r="C77" i="8"/>
  <c r="E76" i="8"/>
  <c r="D76" i="8"/>
  <c r="C76" i="8"/>
  <c r="E75" i="8"/>
  <c r="D75" i="8"/>
  <c r="C75" i="8"/>
  <c r="E74" i="8"/>
  <c r="D74" i="8"/>
  <c r="C74" i="8"/>
  <c r="E73" i="8" l="1"/>
  <c r="D73" i="8"/>
  <c r="C73" i="8"/>
  <c r="E72" i="8" l="1"/>
  <c r="D72" i="8"/>
  <c r="C72" i="8"/>
  <c r="O64" i="7"/>
  <c r="N64" i="7"/>
  <c r="L64" i="7"/>
  <c r="K64" i="7"/>
  <c r="J64" i="7"/>
  <c r="I64" i="7"/>
  <c r="H64" i="7"/>
  <c r="F64" i="7"/>
  <c r="E64" i="7"/>
  <c r="B64" i="7"/>
  <c r="D64" i="7" l="1"/>
  <c r="E71" i="8" l="1"/>
  <c r="D71" i="8"/>
  <c r="C71" i="8"/>
  <c r="O63" i="7" l="1"/>
  <c r="N63" i="7"/>
  <c r="L63" i="7"/>
  <c r="K63" i="7"/>
  <c r="J63" i="7"/>
  <c r="I63" i="7"/>
  <c r="H63" i="7"/>
  <c r="F63" i="7"/>
  <c r="E63" i="7"/>
  <c r="B63" i="7"/>
  <c r="D63" i="7" l="1"/>
  <c r="O62" i="7" l="1"/>
  <c r="N62" i="7"/>
  <c r="L62" i="7"/>
  <c r="K62" i="7"/>
  <c r="J62" i="7"/>
  <c r="I62" i="7"/>
  <c r="H62" i="7"/>
  <c r="F62" i="7"/>
  <c r="E62" i="7"/>
  <c r="B62" i="7"/>
  <c r="D62" i="7"/>
  <c r="E70" i="8" l="1"/>
  <c r="D70" i="8"/>
  <c r="C70" i="8"/>
  <c r="E69" i="8"/>
  <c r="D69" i="8"/>
  <c r="C69" i="8"/>
  <c r="E68" i="8" l="1"/>
  <c r="D68" i="8"/>
  <c r="C68" i="8"/>
  <c r="O61" i="7"/>
  <c r="N61" i="7"/>
  <c r="L61" i="7"/>
  <c r="K61" i="7"/>
  <c r="J61" i="7"/>
  <c r="I61" i="7"/>
  <c r="H61" i="7"/>
  <c r="F61" i="7"/>
  <c r="E61" i="7"/>
  <c r="B61" i="7"/>
  <c r="D61" i="7" l="1"/>
  <c r="O60" i="7" l="1"/>
  <c r="N60" i="7"/>
  <c r="L60" i="7"/>
  <c r="K60" i="7"/>
  <c r="J60" i="7"/>
  <c r="I60" i="7"/>
  <c r="H60" i="7"/>
  <c r="F60" i="7"/>
  <c r="E60" i="7"/>
  <c r="B60" i="7"/>
  <c r="O43" i="7" l="1"/>
  <c r="I43" i="7" l="1"/>
  <c r="B28" i="7" l="1"/>
  <c r="O59" i="7" l="1"/>
  <c r="N59" i="7"/>
  <c r="L59" i="7"/>
  <c r="K59" i="7"/>
  <c r="J59" i="7"/>
  <c r="I59" i="7"/>
  <c r="H59" i="7"/>
  <c r="F59" i="7"/>
  <c r="E59" i="7"/>
  <c r="B59" i="7"/>
  <c r="D59" i="7"/>
  <c r="E63" i="8" l="1"/>
  <c r="O58" i="7"/>
  <c r="N58" i="7"/>
  <c r="L58" i="7"/>
  <c r="K58" i="7"/>
  <c r="J58" i="7"/>
  <c r="I58" i="7"/>
  <c r="H58" i="7"/>
  <c r="F58" i="7"/>
  <c r="E58" i="7"/>
  <c r="B58" i="7"/>
  <c r="D58" i="7" l="1"/>
  <c r="K57" i="7" l="1"/>
  <c r="J57" i="7"/>
  <c r="K56" i="7" l="1"/>
  <c r="J56" i="7"/>
  <c r="K55" i="7" l="1"/>
  <c r="J55" i="7"/>
  <c r="K54" i="7" l="1"/>
  <c r="J54" i="7"/>
  <c r="K53" i="7" l="1"/>
  <c r="J53" i="7"/>
  <c r="K52" i="7" l="1"/>
  <c r="J52" i="7"/>
  <c r="K51" i="7" l="1"/>
  <c r="J51" i="7"/>
  <c r="B54" i="8" l="1"/>
  <c r="K50" i="7" l="1"/>
  <c r="J50" i="7"/>
  <c r="K49" i="7" l="1"/>
  <c r="J49" i="7"/>
  <c r="K48" i="7" l="1"/>
  <c r="J48" i="7"/>
  <c r="C50" i="8" l="1"/>
  <c r="D50" i="8"/>
  <c r="J47" i="7" l="1"/>
  <c r="K47" i="7"/>
  <c r="K46" i="7" l="1"/>
  <c r="J46" i="7"/>
  <c r="E44" i="8" l="1"/>
  <c r="D44" i="8"/>
  <c r="C44" i="8"/>
  <c r="O57" i="7" l="1"/>
  <c r="N57" i="7"/>
  <c r="L57" i="7"/>
  <c r="I57" i="7"/>
  <c r="H57" i="7"/>
  <c r="F57" i="7"/>
  <c r="E57" i="7"/>
  <c r="B57" i="7"/>
  <c r="D57" i="7"/>
  <c r="O56" i="7" l="1"/>
  <c r="N56" i="7"/>
  <c r="L56" i="7"/>
  <c r="I56" i="7"/>
  <c r="H56" i="7"/>
  <c r="F56" i="7"/>
  <c r="E56" i="7"/>
  <c r="B56" i="7"/>
  <c r="D56" i="7" l="1"/>
  <c r="O55" i="7" l="1"/>
  <c r="N55" i="7"/>
  <c r="L55" i="7"/>
  <c r="I55" i="7"/>
  <c r="H55" i="7"/>
  <c r="F55" i="7"/>
  <c r="E55" i="7"/>
  <c r="B55" i="7"/>
  <c r="O54" i="7" l="1"/>
  <c r="N54" i="7"/>
  <c r="L54" i="7"/>
  <c r="I54" i="7"/>
  <c r="H54" i="7"/>
  <c r="F54" i="7"/>
  <c r="E54" i="7"/>
  <c r="B54" i="7"/>
  <c r="O53" i="7" l="1"/>
  <c r="N53" i="7"/>
  <c r="L53" i="7"/>
  <c r="I53" i="7"/>
  <c r="H53" i="7"/>
  <c r="F53" i="7"/>
  <c r="E53" i="7"/>
  <c r="B53" i="7"/>
  <c r="D53" i="7" l="1"/>
  <c r="O52" i="7" l="1"/>
  <c r="N52" i="7"/>
  <c r="L52" i="7"/>
  <c r="I52" i="7"/>
  <c r="H52" i="7"/>
  <c r="F52" i="7"/>
  <c r="E52" i="7"/>
  <c r="B52" i="7"/>
  <c r="D52" i="7" l="1"/>
  <c r="O51" i="7" l="1"/>
  <c r="N51" i="7"/>
  <c r="L51" i="7"/>
  <c r="I51" i="7"/>
  <c r="H51" i="7"/>
  <c r="F51" i="7"/>
  <c r="E51" i="7"/>
  <c r="B51" i="7"/>
  <c r="D51" i="7"/>
  <c r="O50" i="7" l="1"/>
  <c r="N50" i="7"/>
  <c r="L50" i="7"/>
  <c r="I50" i="7"/>
  <c r="H50" i="7"/>
  <c r="F50" i="7"/>
  <c r="E50" i="7"/>
  <c r="B50" i="7"/>
  <c r="D50" i="7"/>
  <c r="O49" i="7" l="1"/>
  <c r="N49" i="7"/>
  <c r="L49" i="7"/>
  <c r="I49" i="7"/>
  <c r="H49" i="7"/>
  <c r="F49" i="7"/>
  <c r="E49" i="7"/>
  <c r="B49" i="7"/>
  <c r="D49" i="7" l="1"/>
  <c r="O48" i="7" l="1"/>
  <c r="N48" i="7"/>
  <c r="L48" i="7"/>
  <c r="I48" i="7"/>
  <c r="H48" i="7"/>
  <c r="F48" i="7"/>
  <c r="E48" i="7"/>
  <c r="B48" i="7"/>
  <c r="D48" i="7" l="1"/>
  <c r="B49" i="8" l="1"/>
  <c r="B50" i="8"/>
  <c r="B51" i="8"/>
  <c r="B52" i="8"/>
  <c r="B53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C102" i="8"/>
  <c r="D102" i="8"/>
  <c r="E102" i="8"/>
  <c r="B103" i="8"/>
  <c r="C103" i="8"/>
  <c r="D103" i="8"/>
  <c r="E103" i="8"/>
  <c r="B104" i="8"/>
  <c r="C104" i="8"/>
  <c r="D104" i="8"/>
  <c r="E104" i="8"/>
  <c r="B105" i="8"/>
  <c r="C105" i="8"/>
  <c r="D105" i="8"/>
  <c r="E105" i="8"/>
  <c r="B106" i="8"/>
  <c r="C106" i="8"/>
  <c r="D106" i="8"/>
  <c r="E106" i="8"/>
  <c r="B107" i="8"/>
  <c r="C107" i="8"/>
  <c r="D107" i="8"/>
  <c r="E107" i="8"/>
  <c r="B108" i="8"/>
  <c r="C108" i="8"/>
  <c r="D108" i="8"/>
  <c r="E108" i="8"/>
  <c r="B109" i="8"/>
  <c r="C109" i="8"/>
  <c r="D109" i="8"/>
  <c r="E109" i="8"/>
  <c r="B110" i="8"/>
  <c r="C110" i="8"/>
  <c r="D110" i="8"/>
  <c r="E110" i="8"/>
  <c r="B111" i="8"/>
  <c r="C111" i="8"/>
  <c r="D111" i="8"/>
  <c r="E111" i="8"/>
  <c r="B48" i="8"/>
  <c r="B47" i="8"/>
  <c r="O47" i="7"/>
  <c r="N47" i="7"/>
  <c r="L47" i="7"/>
  <c r="I47" i="7"/>
  <c r="H47" i="7"/>
  <c r="F47" i="7"/>
  <c r="E47" i="7"/>
  <c r="B47" i="7"/>
  <c r="D47" i="7"/>
  <c r="O46" i="7" l="1"/>
  <c r="N46" i="7"/>
  <c r="L46" i="7"/>
  <c r="I46" i="7"/>
  <c r="H46" i="7"/>
  <c r="F46" i="7"/>
  <c r="E46" i="7"/>
  <c r="B46" i="7"/>
  <c r="D46" i="7" l="1"/>
  <c r="C42" i="8" l="1"/>
  <c r="C41" i="8" l="1"/>
  <c r="O45" i="7"/>
  <c r="N45" i="7"/>
  <c r="L45" i="7"/>
  <c r="K45" i="7"/>
  <c r="J45" i="7"/>
  <c r="I45" i="7"/>
  <c r="H45" i="7"/>
  <c r="F45" i="7"/>
  <c r="E45" i="7"/>
  <c r="B45" i="7"/>
  <c r="D45" i="7"/>
  <c r="O44" i="7" l="1"/>
  <c r="N44" i="7"/>
  <c r="L44" i="7"/>
  <c r="K44" i="7"/>
  <c r="J44" i="7"/>
  <c r="I44" i="7"/>
  <c r="H44" i="7"/>
  <c r="F44" i="7"/>
  <c r="E44" i="7"/>
  <c r="B44" i="7"/>
  <c r="D44" i="7" l="1"/>
  <c r="N43" i="7" l="1"/>
  <c r="L43" i="7"/>
  <c r="K43" i="7"/>
  <c r="J43" i="7"/>
  <c r="H43" i="7"/>
  <c r="F43" i="7"/>
  <c r="E43" i="7"/>
  <c r="B43" i="7"/>
  <c r="D43" i="7" l="1"/>
  <c r="E33" i="8" l="1"/>
  <c r="E34" i="8"/>
  <c r="E35" i="8"/>
  <c r="E36" i="8"/>
  <c r="E40" i="8"/>
  <c r="E41" i="8"/>
  <c r="E42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O42" i="7" l="1"/>
  <c r="N42" i="7"/>
  <c r="L42" i="7"/>
  <c r="K42" i="7"/>
  <c r="J42" i="7"/>
  <c r="I42" i="7"/>
  <c r="H42" i="7"/>
  <c r="F42" i="7"/>
  <c r="E42" i="7"/>
  <c r="B42" i="7"/>
  <c r="G42" i="7" l="1"/>
  <c r="D42" i="7"/>
  <c r="O41" i="7" l="1"/>
  <c r="N41" i="7"/>
  <c r="L41" i="7"/>
  <c r="K41" i="7"/>
  <c r="J41" i="7"/>
  <c r="I41" i="7"/>
  <c r="H41" i="7"/>
  <c r="F41" i="7"/>
  <c r="E41" i="7"/>
  <c r="B41" i="7"/>
  <c r="G41" i="7" l="1"/>
  <c r="D41" i="7"/>
  <c r="O40" i="7" l="1"/>
  <c r="N40" i="7"/>
  <c r="L40" i="7"/>
  <c r="K40" i="7"/>
  <c r="J40" i="7"/>
  <c r="I40" i="7"/>
  <c r="H40" i="7"/>
  <c r="F40" i="7"/>
  <c r="E40" i="7"/>
  <c r="B40" i="7"/>
  <c r="G40" i="7" l="1"/>
  <c r="D40" i="7"/>
  <c r="O39" i="7" l="1"/>
  <c r="N39" i="7"/>
  <c r="L39" i="7"/>
  <c r="K39" i="7"/>
  <c r="J39" i="7"/>
  <c r="I39" i="7"/>
  <c r="H39" i="7"/>
  <c r="F39" i="7"/>
  <c r="E39" i="7"/>
  <c r="B39" i="7"/>
  <c r="G39" i="7" l="1"/>
  <c r="D39" i="7"/>
  <c r="O38" i="7" l="1"/>
  <c r="N38" i="7"/>
  <c r="L38" i="7"/>
  <c r="K38" i="7"/>
  <c r="J38" i="7"/>
  <c r="I38" i="7"/>
  <c r="H38" i="7"/>
  <c r="F38" i="7"/>
  <c r="E38" i="7"/>
  <c r="B38" i="7"/>
  <c r="G38" i="7" l="1"/>
  <c r="D38" i="7"/>
  <c r="O37" i="7" l="1"/>
  <c r="N37" i="7"/>
  <c r="L37" i="7"/>
  <c r="K37" i="7"/>
  <c r="J37" i="7"/>
  <c r="I37" i="7"/>
  <c r="H37" i="7"/>
  <c r="G37" i="7" s="1"/>
  <c r="F37" i="7"/>
  <c r="E37" i="7"/>
  <c r="B37" i="7"/>
  <c r="D37" i="7" l="1"/>
  <c r="O36" i="7" l="1"/>
  <c r="N36" i="7"/>
  <c r="L36" i="7"/>
  <c r="K36" i="7"/>
  <c r="J36" i="7"/>
  <c r="I36" i="7"/>
  <c r="H36" i="7"/>
  <c r="F36" i="7"/>
  <c r="E36" i="7"/>
  <c r="B36" i="7"/>
  <c r="G36" i="7" l="1"/>
  <c r="D36" i="7"/>
  <c r="O35" i="7" l="1"/>
  <c r="N35" i="7"/>
  <c r="L35" i="7"/>
  <c r="K35" i="7"/>
  <c r="J35" i="7"/>
  <c r="I35" i="7"/>
  <c r="H35" i="7"/>
  <c r="F35" i="7"/>
  <c r="E35" i="7"/>
  <c r="B35" i="7"/>
  <c r="G35" i="7" l="1"/>
  <c r="D35" i="7"/>
  <c r="O34" i="7" l="1"/>
  <c r="N34" i="7"/>
  <c r="L34" i="7"/>
  <c r="K34" i="7"/>
  <c r="J34" i="7"/>
  <c r="I34" i="7"/>
  <c r="H34" i="7"/>
  <c r="F34" i="7"/>
  <c r="E34" i="7"/>
  <c r="B34" i="7"/>
  <c r="G34" i="7" l="1"/>
  <c r="D34" i="7"/>
  <c r="O33" i="7" l="1"/>
  <c r="N33" i="7"/>
  <c r="L33" i="7"/>
  <c r="K33" i="7"/>
  <c r="J33" i="7"/>
  <c r="I33" i="7"/>
  <c r="H33" i="7"/>
  <c r="F33" i="7"/>
  <c r="E33" i="7"/>
  <c r="B33" i="7"/>
  <c r="G33" i="7" l="1"/>
  <c r="D33" i="7"/>
  <c r="O32" i="7" l="1"/>
  <c r="N32" i="7"/>
  <c r="L32" i="7"/>
  <c r="K32" i="7"/>
  <c r="J32" i="7"/>
  <c r="I32" i="7"/>
  <c r="H32" i="7"/>
  <c r="F32" i="7"/>
  <c r="E32" i="7"/>
  <c r="B32" i="7"/>
  <c r="G32" i="7" l="1"/>
  <c r="D32" i="7"/>
  <c r="O31" i="7" l="1"/>
  <c r="N31" i="7"/>
  <c r="L31" i="7"/>
  <c r="K31" i="7"/>
  <c r="J31" i="7"/>
  <c r="I31" i="7"/>
  <c r="H31" i="7"/>
  <c r="F31" i="7"/>
  <c r="E31" i="7"/>
  <c r="B31" i="7"/>
  <c r="G31" i="7" l="1"/>
  <c r="D31" i="7"/>
  <c r="O30" i="7" l="1"/>
  <c r="N30" i="7"/>
  <c r="L30" i="7"/>
  <c r="K30" i="7"/>
  <c r="J30" i="7"/>
  <c r="I30" i="7"/>
  <c r="H30" i="7"/>
  <c r="F30" i="7"/>
  <c r="E30" i="7"/>
  <c r="B30" i="7"/>
  <c r="G30" i="7" l="1"/>
  <c r="D30" i="7"/>
  <c r="O29" i="7" l="1"/>
  <c r="N29" i="7"/>
  <c r="L29" i="7"/>
  <c r="K29" i="7"/>
  <c r="J29" i="7"/>
  <c r="I29" i="7"/>
  <c r="H29" i="7"/>
  <c r="F29" i="7"/>
  <c r="E29" i="7"/>
  <c r="B29" i="7"/>
  <c r="G29" i="7" l="1"/>
  <c r="D29" i="7"/>
  <c r="O28" i="7" l="1"/>
  <c r="N28" i="7"/>
  <c r="L28" i="7"/>
  <c r="K28" i="7"/>
  <c r="J28" i="7"/>
  <c r="I28" i="7"/>
  <c r="H28" i="7"/>
  <c r="F28" i="7"/>
  <c r="E28" i="7"/>
  <c r="G28" i="7" l="1"/>
  <c r="D28" i="7"/>
  <c r="D5" i="9" l="1"/>
  <c r="B46" i="8" l="1"/>
  <c r="B45" i="8"/>
  <c r="B44" i="8"/>
  <c r="B43" i="8"/>
  <c r="D42" i="8"/>
  <c r="B42" i="8"/>
  <c r="D41" i="8"/>
  <c r="B41" i="8"/>
  <c r="D40" i="8"/>
  <c r="B40" i="8"/>
  <c r="D39" i="8"/>
  <c r="B39" i="8"/>
  <c r="D38" i="8"/>
  <c r="B38" i="8"/>
  <c r="D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B31" i="8"/>
  <c r="D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S4" i="7" l="1"/>
  <c r="Q1" i="7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" i="8"/>
  <c r="C18" i="8"/>
  <c r="C19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" i="8"/>
  <c r="J27" i="7" l="1"/>
  <c r="J26" i="7" l="1"/>
  <c r="J25" i="7" l="1"/>
  <c r="K18" i="7"/>
  <c r="J18" i="7"/>
  <c r="J24" i="7"/>
  <c r="J23" i="7" l="1"/>
  <c r="J22" i="7" l="1"/>
  <c r="J21" i="7" l="1"/>
  <c r="J20" i="7" l="1"/>
  <c r="J19" i="7" l="1"/>
  <c r="J17" i="7" l="1"/>
  <c r="J16" i="7" l="1"/>
  <c r="J15" i="7" l="1"/>
  <c r="J14" i="7" l="1"/>
  <c r="J13" i="7" l="1"/>
  <c r="J12" i="7" l="1"/>
  <c r="J11" i="7" l="1"/>
  <c r="J10" i="7" l="1"/>
  <c r="J9" i="7" l="1"/>
  <c r="J8" i="7" l="1"/>
  <c r="J6" i="7" l="1"/>
  <c r="J7" i="7" l="1"/>
  <c r="J5" i="7"/>
  <c r="K1" i="7" l="1"/>
  <c r="O27" i="7" l="1"/>
  <c r="N27" i="7"/>
  <c r="L27" i="7"/>
  <c r="K27" i="7"/>
  <c r="I27" i="7"/>
  <c r="H27" i="7"/>
  <c r="F27" i="7"/>
  <c r="E27" i="7"/>
  <c r="B27" i="7"/>
  <c r="D27" i="7" l="1"/>
  <c r="O26" i="7" l="1"/>
  <c r="N26" i="7"/>
  <c r="L26" i="7"/>
  <c r="K26" i="7"/>
  <c r="I26" i="7"/>
  <c r="H26" i="7"/>
  <c r="F26" i="7"/>
  <c r="E26" i="7"/>
  <c r="B26" i="7"/>
  <c r="D26" i="7" l="1"/>
  <c r="O25" i="7" l="1"/>
  <c r="N25" i="7"/>
  <c r="L25" i="7"/>
  <c r="K25" i="7"/>
  <c r="I25" i="7"/>
  <c r="H25" i="7"/>
  <c r="F25" i="7"/>
  <c r="E25" i="7"/>
  <c r="B25" i="7"/>
  <c r="D25" i="7"/>
  <c r="O24" i="7" l="1"/>
  <c r="N24" i="7"/>
  <c r="L24" i="7"/>
  <c r="K24" i="7"/>
  <c r="I24" i="7"/>
  <c r="H24" i="7"/>
  <c r="F24" i="7"/>
  <c r="E24" i="7"/>
  <c r="B24" i="7"/>
  <c r="D24" i="7" l="1"/>
  <c r="O23" i="7" l="1"/>
  <c r="N23" i="7"/>
  <c r="L23" i="7"/>
  <c r="K23" i="7"/>
  <c r="I23" i="7"/>
  <c r="H23" i="7"/>
  <c r="F23" i="7"/>
  <c r="E23" i="7"/>
  <c r="B23" i="7"/>
  <c r="D23" i="7" l="1"/>
  <c r="O22" i="7" l="1"/>
  <c r="N22" i="7"/>
  <c r="L22" i="7"/>
  <c r="K22" i="7"/>
  <c r="I22" i="7"/>
  <c r="H22" i="7"/>
  <c r="F22" i="7"/>
  <c r="E22" i="7"/>
  <c r="B22" i="7"/>
  <c r="D22" i="7" l="1"/>
  <c r="O21" i="7" l="1"/>
  <c r="N21" i="7"/>
  <c r="L21" i="7"/>
  <c r="K21" i="7"/>
  <c r="I21" i="7"/>
  <c r="H21" i="7"/>
  <c r="F21" i="7"/>
  <c r="E21" i="7"/>
  <c r="B21" i="7"/>
  <c r="O20" i="7" l="1"/>
  <c r="N20" i="7"/>
  <c r="L20" i="7"/>
  <c r="K20" i="7"/>
  <c r="I20" i="7"/>
  <c r="H20" i="7"/>
  <c r="F20" i="7"/>
  <c r="E20" i="7"/>
  <c r="B20" i="7"/>
  <c r="D20" i="7" l="1"/>
  <c r="O19" i="7" l="1"/>
  <c r="N19" i="7"/>
  <c r="L19" i="7"/>
  <c r="K19" i="7"/>
  <c r="I19" i="7"/>
  <c r="H19" i="7"/>
  <c r="F19" i="7"/>
  <c r="E19" i="7"/>
  <c r="B19" i="7"/>
  <c r="D19" i="7" l="1"/>
  <c r="O18" i="7" l="1"/>
  <c r="N18" i="7"/>
  <c r="L18" i="7"/>
  <c r="I18" i="7"/>
  <c r="H18" i="7"/>
  <c r="F18" i="7"/>
  <c r="E18" i="7"/>
  <c r="B18" i="7"/>
  <c r="D18" i="7" l="1"/>
  <c r="O17" i="7" l="1"/>
  <c r="N17" i="7"/>
  <c r="L17" i="7"/>
  <c r="K17" i="7"/>
  <c r="I17" i="7"/>
  <c r="H17" i="7"/>
  <c r="F17" i="7"/>
  <c r="E17" i="7"/>
  <c r="B17" i="7"/>
  <c r="D17" i="7" l="1"/>
  <c r="O16" i="7" l="1"/>
  <c r="N16" i="7"/>
  <c r="L16" i="7"/>
  <c r="K16" i="7"/>
  <c r="I16" i="7"/>
  <c r="H16" i="7"/>
  <c r="F16" i="7"/>
  <c r="E16" i="7"/>
  <c r="B16" i="7"/>
  <c r="D16" i="7" l="1"/>
  <c r="O15" i="7" l="1"/>
  <c r="N15" i="7"/>
  <c r="L15" i="7"/>
  <c r="K15" i="7"/>
  <c r="I15" i="7"/>
  <c r="H15" i="7"/>
  <c r="F15" i="7"/>
  <c r="E15" i="7"/>
  <c r="B15" i="7"/>
  <c r="D15" i="7" l="1"/>
  <c r="O14" i="7" l="1"/>
  <c r="N14" i="7"/>
  <c r="L14" i="7"/>
  <c r="K14" i="7"/>
  <c r="I14" i="7"/>
  <c r="H14" i="7"/>
  <c r="F14" i="7"/>
  <c r="E14" i="7"/>
  <c r="B14" i="7"/>
  <c r="D14" i="7" l="1"/>
  <c r="O13" i="7" l="1"/>
  <c r="N13" i="7"/>
  <c r="L13" i="7"/>
  <c r="K13" i="7"/>
  <c r="I13" i="7"/>
  <c r="H13" i="7"/>
  <c r="F13" i="7"/>
  <c r="E13" i="7"/>
  <c r="B13" i="7"/>
  <c r="D13" i="7" l="1"/>
  <c r="O12" i="7" l="1"/>
  <c r="N12" i="7"/>
  <c r="L12" i="7"/>
  <c r="K12" i="7"/>
  <c r="I12" i="7"/>
  <c r="H12" i="7"/>
  <c r="F12" i="7"/>
  <c r="E12" i="7"/>
  <c r="B12" i="7"/>
  <c r="D12" i="7" l="1"/>
  <c r="O11" i="7" l="1"/>
  <c r="N11" i="7"/>
  <c r="L11" i="7"/>
  <c r="K11" i="7"/>
  <c r="I11" i="7"/>
  <c r="H11" i="7"/>
  <c r="F11" i="7"/>
  <c r="E11" i="7"/>
  <c r="B11" i="7"/>
  <c r="D11" i="7" l="1"/>
  <c r="O10" i="7" l="1"/>
  <c r="N10" i="7"/>
  <c r="L10" i="7"/>
  <c r="K10" i="7"/>
  <c r="F10" i="7"/>
  <c r="I10" i="7"/>
  <c r="H10" i="7"/>
  <c r="E10" i="7"/>
  <c r="B10" i="7"/>
  <c r="D10" i="7" l="1"/>
  <c r="O9" i="7" l="1"/>
  <c r="L9" i="7"/>
  <c r="K9" i="7"/>
  <c r="N9" i="7"/>
  <c r="F9" i="7"/>
  <c r="I9" i="7"/>
  <c r="H9" i="7"/>
  <c r="E9" i="7"/>
  <c r="B9" i="7"/>
  <c r="D9" i="7" l="1"/>
  <c r="O8" i="7" l="1"/>
  <c r="L8" i="7"/>
  <c r="K8" i="7"/>
  <c r="N8" i="7"/>
  <c r="F8" i="7"/>
  <c r="I8" i="7"/>
  <c r="H8" i="7"/>
  <c r="E8" i="7"/>
  <c r="B8" i="7"/>
  <c r="D8" i="7" l="1"/>
  <c r="L7" i="7" l="1"/>
  <c r="K7" i="7"/>
  <c r="O7" i="7"/>
  <c r="N7" i="7"/>
  <c r="F7" i="7"/>
  <c r="I7" i="7"/>
  <c r="H7" i="7"/>
  <c r="E7" i="7"/>
  <c r="B7" i="7"/>
  <c r="D7" i="7" l="1"/>
  <c r="O6" i="7" l="1"/>
  <c r="N6" i="7"/>
  <c r="F6" i="7"/>
  <c r="H6" i="7"/>
  <c r="E6" i="7"/>
  <c r="B6" i="7"/>
  <c r="D6" i="7" l="1"/>
  <c r="I6" i="7" l="1"/>
  <c r="K6" i="7" l="1"/>
  <c r="L6" i="7"/>
  <c r="F5" i="7" l="1"/>
  <c r="I5" i="7"/>
  <c r="H5" i="7"/>
  <c r="E5" i="7"/>
  <c r="B5" i="7"/>
  <c r="N5" i="7" l="1"/>
  <c r="D5" i="7"/>
  <c r="O5" i="7" l="1"/>
  <c r="K5" i="7" l="1"/>
  <c r="K2" i="7" s="1"/>
  <c r="L5" i="7"/>
  <c r="A7" i="7" l="1"/>
  <c r="A8" i="7" s="1"/>
  <c r="A9" i="7" s="1"/>
  <c r="A10" i="7" s="1"/>
  <c r="A13" i="7" s="1"/>
  <c r="A15" i="7" s="1"/>
  <c r="A16" i="7" s="1"/>
  <c r="A17" i="7" s="1"/>
  <c r="A18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G24" i="7" l="1"/>
  <c r="G25" i="7"/>
  <c r="G26" i="7"/>
  <c r="G27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23" i="7"/>
  <c r="G22" i="7"/>
  <c r="G21" i="7"/>
  <c r="G20" i="7"/>
  <c r="G19" i="7"/>
  <c r="G18" i="7"/>
  <c r="G7" i="7"/>
  <c r="G8" i="7"/>
  <c r="G9" i="7"/>
  <c r="G10" i="7"/>
  <c r="G11" i="7"/>
  <c r="G12" i="7"/>
  <c r="G13" i="7"/>
  <c r="G14" i="7"/>
  <c r="G15" i="7"/>
  <c r="G16" i="7"/>
  <c r="G17" i="7"/>
  <c r="G6" i="7"/>
  <c r="G5" i="7" l="1"/>
  <c r="D55" i="7" l="1"/>
  <c r="D60" i="7" l="1"/>
  <c r="D54" i="7" l="1"/>
  <c r="D21" i="7" l="1"/>
</calcChain>
</file>

<file path=xl/sharedStrings.xml><?xml version="1.0" encoding="utf-8"?>
<sst xmlns="http://schemas.openxmlformats.org/spreadsheetml/2006/main" count="334" uniqueCount="144">
  <si>
    <t>Code</t>
  </si>
  <si>
    <t>Loanee</t>
  </si>
  <si>
    <t>Status</t>
  </si>
  <si>
    <t>S No</t>
  </si>
  <si>
    <t>Start Date</t>
  </si>
  <si>
    <t>LOAN BOOK</t>
  </si>
  <si>
    <t>Active</t>
  </si>
  <si>
    <t>Loan Principal</t>
  </si>
  <si>
    <t>EMI</t>
  </si>
  <si>
    <t>End Date</t>
  </si>
  <si>
    <t>Out(Int + Principal)</t>
  </si>
  <si>
    <t>Principal Outstanding</t>
  </si>
  <si>
    <t>Repaid Principal</t>
  </si>
  <si>
    <t>PRINCIPAL OUTSTANDING:</t>
  </si>
  <si>
    <t>OUTSTANDING (Int+Principal)</t>
  </si>
  <si>
    <t>Total (Wks /Days)</t>
  </si>
  <si>
    <t>Outs (Wks /Days)</t>
  </si>
  <si>
    <t>Paid (Wks /Days)</t>
  </si>
  <si>
    <t>DATE</t>
  </si>
  <si>
    <t>BORROWING (DEPOSIT)</t>
  </si>
  <si>
    <t>FIRM VALUE</t>
  </si>
  <si>
    <t>CASH BALANCE</t>
  </si>
  <si>
    <t>Notes</t>
  </si>
  <si>
    <t>INVESTMENT (LOAN ADVANCE)</t>
  </si>
  <si>
    <t>Weekly Collection</t>
  </si>
  <si>
    <t>CAPITAL CONTRIBUTION</t>
  </si>
  <si>
    <t>Loan:  Kamala-188 40000; Minarani-189 10000</t>
  </si>
  <si>
    <t>Loan: Bidyarani-190 10000</t>
  </si>
  <si>
    <t>Loan: A_Ranita 30000 (Chaoba+Aboong: 30000+8000)</t>
  </si>
  <si>
    <t>Maroop Expense - 17500</t>
  </si>
  <si>
    <t>Loan: Th_Memcha 10000; Y_Seema 20000 (10000 to be adjusted from Monday collection)</t>
  </si>
  <si>
    <t>Loan: Salam_Echan 20000</t>
  </si>
  <si>
    <t>UPI</t>
  </si>
  <si>
    <t>`</t>
  </si>
  <si>
    <t>loan sanarei 180000, lanchenbi ranibala 10000</t>
  </si>
  <si>
    <t>Name</t>
  </si>
  <si>
    <t>Angom Bijenti</t>
  </si>
  <si>
    <t>Bidyabati</t>
  </si>
  <si>
    <t>Bidyarani</t>
  </si>
  <si>
    <t>Kamala</t>
  </si>
  <si>
    <t>L Gomti</t>
  </si>
  <si>
    <t>Lanchenbi Ibeyaima</t>
  </si>
  <si>
    <t>Lanchenbi Ranibala</t>
  </si>
  <si>
    <t>Lanchenbi Samila</t>
  </si>
  <si>
    <t>Miranrani</t>
  </si>
  <si>
    <t>Mutum Sandhyarani</t>
  </si>
  <si>
    <t>Pratima</t>
  </si>
  <si>
    <t>Reena</t>
  </si>
  <si>
    <t>Renita</t>
  </si>
  <si>
    <t>Romila</t>
  </si>
  <si>
    <t>Ronel</t>
  </si>
  <si>
    <t>Salam Bidyalaxmi</t>
  </si>
  <si>
    <t>Salam Echan</t>
  </si>
  <si>
    <t>Sanarei Group</t>
  </si>
  <si>
    <t>Sanasam Sonia</t>
  </si>
  <si>
    <t>Sudhana</t>
  </si>
  <si>
    <t>The Memcha</t>
  </si>
  <si>
    <t>Thasana</t>
  </si>
  <si>
    <t>Thnogam Bala</t>
  </si>
  <si>
    <t>Y Seema</t>
  </si>
  <si>
    <t>Collection Day</t>
  </si>
  <si>
    <t>loan minarani 199 30000</t>
  </si>
  <si>
    <t>A Ranita</t>
  </si>
  <si>
    <t>Sunday</t>
  </si>
  <si>
    <t>amount</t>
  </si>
  <si>
    <t>mode</t>
  </si>
  <si>
    <t>weekly</t>
  </si>
  <si>
    <t>daily</t>
  </si>
  <si>
    <t>Friday</t>
  </si>
  <si>
    <t>friday</t>
  </si>
  <si>
    <t>purana rajbari</t>
  </si>
  <si>
    <t>angom leikai</t>
  </si>
  <si>
    <t>soibam leikai</t>
  </si>
  <si>
    <t>ayangpalli</t>
  </si>
  <si>
    <t>kongba</t>
  </si>
  <si>
    <t>keithel ashangbi</t>
  </si>
  <si>
    <t>Thursday</t>
  </si>
  <si>
    <t>Daily</t>
  </si>
  <si>
    <t>Wednesday</t>
  </si>
  <si>
    <t>Monday</t>
  </si>
  <si>
    <t xml:space="preserve">checkon </t>
  </si>
  <si>
    <t>karong</t>
  </si>
  <si>
    <t>soibam leikai bidyabati group</t>
  </si>
  <si>
    <t>khurai ahongai group</t>
  </si>
  <si>
    <t>kakwa</t>
  </si>
  <si>
    <t>bomcha marup 16500</t>
  </si>
  <si>
    <t>expense grocery 3360</t>
  </si>
  <si>
    <t>previous value carried from trend analysis</t>
  </si>
  <si>
    <t>csh borrowing 38000 from chaoba and abung</t>
  </si>
  <si>
    <t>expense 600 fish</t>
  </si>
  <si>
    <t>borrowing bechau 160000</t>
  </si>
  <si>
    <t>loan samila-197 20000, sandhyarani 20000</t>
  </si>
  <si>
    <t>expense veg 520</t>
  </si>
  <si>
    <t>loan ronel 200 30000</t>
  </si>
  <si>
    <t xml:space="preserve"> bechau borrowing 92500</t>
  </si>
  <si>
    <t>issued loan 100000 khurai ahongai  201</t>
  </si>
  <si>
    <t>expense fish +veg+cream=3850</t>
  </si>
  <si>
    <t>withdrawal ochaoba 30000</t>
  </si>
  <si>
    <t>paid to abung 14650/ anand izra advance adjustment</t>
  </si>
  <si>
    <t>Borrowing aboong 89800 adjusted as 1lakh</t>
  </si>
  <si>
    <t>Kakwa lamdaibung loan 202 60000</t>
  </si>
  <si>
    <t>cement + chicken to be adjusted</t>
  </si>
  <si>
    <t>loan203 muktasana 20000</t>
  </si>
  <si>
    <t>Aboong deposit 20000</t>
  </si>
  <si>
    <t>loan 204 kamala 20000</t>
  </si>
  <si>
    <t>Aboong deposit 3000</t>
  </si>
  <si>
    <t>INVESTMENT (PUNFAM UNITS + IZRA ADVANCE)</t>
  </si>
  <si>
    <t>14000 to Punfam Foods</t>
  </si>
  <si>
    <t>redmi tablet emi june jul 8774</t>
  </si>
  <si>
    <t>loan 205 sunita group 1lakh</t>
  </si>
  <si>
    <t>loan 206 Salam bidyalaxmi 10000</t>
  </si>
  <si>
    <t>loan 207Shantibala 20000 ;loan208 Thoibisana 20000</t>
  </si>
  <si>
    <t>grocery expense 2800</t>
  </si>
  <si>
    <t>pratima 209 issued loan 5000</t>
  </si>
  <si>
    <t>interest expense 3500</t>
  </si>
  <si>
    <t>sudhana210  loan 20000</t>
  </si>
  <si>
    <t xml:space="preserve"> Anjala 211loan 20000; ranjana212 loan 20000</t>
  </si>
  <si>
    <t>ibeyaimaloan 213 10000; yumnam baby loan 214 20000; thongam deme loan 215 20000</t>
  </si>
  <si>
    <t>aboong deposit 50000</t>
  </si>
  <si>
    <t>piggery 3000 ;candle expense 300</t>
  </si>
  <si>
    <t>marup 6500+12000+ fish and veg 1150+benao 6000</t>
  </si>
  <si>
    <t>minarani loan 216 30000;guni 217 loan 30000</t>
  </si>
  <si>
    <t>aboong deposit 21230</t>
  </si>
  <si>
    <t>teblet emi 4230+veg 300</t>
  </si>
  <si>
    <t>loan 218 bidyabati 30000</t>
  </si>
  <si>
    <t>kabok 500</t>
  </si>
  <si>
    <t>219Ibeyaima loan 30000 ; 220Ashalata loan5000</t>
  </si>
  <si>
    <t>221Pratima loan20000; 222memi loan 10000</t>
  </si>
  <si>
    <t>223ChongthamGr Loan60000</t>
  </si>
  <si>
    <t>grocery expense 1550</t>
  </si>
  <si>
    <t>bomcha marup 6500; interest 5000; phiroi 2000 ; kongba marup 3000</t>
  </si>
  <si>
    <t>224kamala loan 50000</t>
  </si>
  <si>
    <t>wangkhei marup 12000</t>
  </si>
  <si>
    <t>225samila loan 20000; 226sandhyarani loan25000</t>
  </si>
  <si>
    <t>21sept: 5500 payable to aboong</t>
  </si>
  <si>
    <t>227tina loan 10000; 228Gomti loan 30000</t>
  </si>
  <si>
    <t>snacks+paper 1050; chahi din 2450</t>
  </si>
  <si>
    <t>229ichal loan30000</t>
  </si>
  <si>
    <t>Payment Day</t>
  </si>
  <si>
    <t>Closed</t>
  </si>
  <si>
    <t>230moirangkhom gr loan 60000; 231 seema loan 30000</t>
  </si>
  <si>
    <t>chicken 600 ; veg + fish 500</t>
  </si>
  <si>
    <t>232Ranitaloan 30000</t>
  </si>
  <si>
    <t>ngari(ngasang)ginger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</si>
</sst>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₹&quot;* #,##0.00_);_(&quot;₹&quot;* \(#,##0.00\);_(&quot;₹&quot;* &quot;-&quot;??_);_(@_)"/>
    <numFmt numFmtId="164" formatCode="_ [$₹-4009]\ * #,##0.00_ ;_ [$₹-4009]\ * \-#,##0.00_ ;_ [$₹-4009]\ * &quot;-&quot;??_ ;_ @_ "/>
    <numFmt numFmtId="165" formatCode="[$-409]d\-mmm\-yyyy;@"/>
    <numFmt numFmtId="166" formatCode="[$-14009]ddd\ d\ mmmm\ yyyy;@"/>
  </numFmts>
  <fonts count="18" x14ac:knownFonts="1">
    <font>
      <sz val="11"/>
      <color theme="1"/>
      <name val="Calibri"/>
      <family val="2"/>
      <scheme val="minor"/>
    </font>
    <font>
      <sz val="12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sz val="11"/>
      <name val="Segoe UI"/>
      <family val="2"/>
    </font>
    <font>
      <b/>
      <sz val="12"/>
      <color theme="0" tint="-4.9989318521683403E-2"/>
      <name val="Segoe UI"/>
      <family val="2"/>
    </font>
    <font>
      <b/>
      <sz val="14"/>
      <color theme="0" tint="-4.9989318521683403E-2"/>
      <name val="Segoe UI"/>
      <family val="2"/>
    </font>
    <font>
      <sz val="10"/>
      <name val="Segoe UI"/>
      <family val="2"/>
    </font>
    <font>
      <b/>
      <sz val="14"/>
      <color rgb="FF0070C0"/>
      <name val="Segoe UI"/>
      <family val="2"/>
    </font>
    <font>
      <sz val="10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b/>
      <sz val="11"/>
      <color theme="0" tint="-4.9989318521683403E-2"/>
      <name val="Segoe UI"/>
      <family val="2"/>
    </font>
    <font>
      <b/>
      <sz val="7"/>
      <color theme="0" tint="-4.9989318521683403E-2"/>
      <name val="Segoe UI"/>
      <family val="2"/>
    </font>
    <font>
      <b/>
      <sz val="10"/>
      <color theme="0" tint="-4.9989318521683403E-2"/>
      <name val="Segoe UI"/>
      <family val="2"/>
    </font>
    <font>
      <sz val="11"/>
      <color theme="1"/>
      <name val="Calibri"/>
      <family val="2"/>
      <scheme val="minor"/>
    </font>
    <font>
      <sz val="9"/>
      <name val="Segoe UI"/>
      <family val="2"/>
    </font>
    <font>
      <sz val="10"/>
      <color theme="0" tint="-4.9989318521683403E-2"/>
      <name val="Segoe UI"/>
      <family val="2"/>
    </font>
    <font>
      <sz val="12"/>
      <color theme="0" tint="-4.9989318521683403E-2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70C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4" tint="0.59996337778862885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0.59996337778862885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87">
    <xf numFmtId="0" fontId="0" fillId="0" borderId="0" xfId="0"/>
    <xf numFmtId="0" fontId="1" fillId="2" borderId="0" xfId="0" applyFont="1" applyFill="1" applyProtection="1">
      <protection locked="0"/>
    </xf>
    <xf numFmtId="164" fontId="1" fillId="2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64" fontId="1" fillId="2" borderId="0" xfId="0" applyNumberFormat="1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Protection="1">
      <protection locked="0"/>
    </xf>
    <xf numFmtId="0" fontId="1" fillId="2" borderId="0" xfId="0" applyFont="1" applyFill="1" applyProtection="1"/>
    <xf numFmtId="166" fontId="4" fillId="5" borderId="8" xfId="0" applyNumberFormat="1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 wrapText="1"/>
    </xf>
    <xf numFmtId="0" fontId="12" fillId="4" borderId="6" xfId="0" applyFont="1" applyFill="1" applyBorder="1" applyAlignment="1" applyProtection="1">
      <alignment horizontal="center" vertical="center" wrapText="1"/>
    </xf>
    <xf numFmtId="164" fontId="7" fillId="5" borderId="9" xfId="0" applyNumberFormat="1" applyFont="1" applyFill="1" applyBorder="1" applyAlignment="1" applyProtection="1">
      <alignment horizontal="center" vertical="center" wrapText="1"/>
    </xf>
    <xf numFmtId="164" fontId="7" fillId="5" borderId="10" xfId="0" applyNumberFormat="1" applyFont="1" applyFill="1" applyBorder="1" applyAlignment="1" applyProtection="1">
      <alignment horizontal="center" vertical="center" wrapText="1"/>
    </xf>
    <xf numFmtId="166" fontId="4" fillId="6" borderId="8" xfId="0" applyNumberFormat="1" applyFont="1" applyFill="1" applyBorder="1" applyAlignment="1" applyProtection="1">
      <alignment horizontal="center" vertical="center"/>
      <protection locked="0"/>
    </xf>
    <xf numFmtId="164" fontId="7" fillId="6" borderId="9" xfId="0" applyNumberFormat="1" applyFont="1" applyFill="1" applyBorder="1" applyAlignment="1" applyProtection="1">
      <alignment horizontal="center" vertical="center" wrapText="1"/>
    </xf>
    <xf numFmtId="164" fontId="7" fillId="6" borderId="10" xfId="0" applyNumberFormat="1" applyFont="1" applyFill="1" applyBorder="1" applyAlignment="1" applyProtection="1">
      <alignment horizontal="center" vertical="center" wrapText="1"/>
    </xf>
    <xf numFmtId="1" fontId="7" fillId="6" borderId="10" xfId="0" applyNumberFormat="1" applyFont="1" applyFill="1" applyBorder="1" applyAlignment="1" applyProtection="1">
      <alignment horizontal="center" vertical="center" wrapText="1"/>
    </xf>
    <xf numFmtId="165" fontId="7" fillId="6" borderId="13" xfId="0" applyNumberFormat="1" applyFont="1" applyFill="1" applyBorder="1" applyAlignment="1" applyProtection="1">
      <alignment horizontal="center" vertical="center"/>
      <protection locked="0"/>
    </xf>
    <xf numFmtId="165" fontId="7" fillId="6" borderId="14" xfId="0" applyNumberFormat="1" applyFont="1" applyFill="1" applyBorder="1" applyAlignment="1" applyProtection="1">
      <alignment horizontal="center" vertical="center"/>
      <protection locked="0"/>
    </xf>
    <xf numFmtId="165" fontId="7" fillId="5" borderId="13" xfId="0" applyNumberFormat="1" applyFont="1" applyFill="1" applyBorder="1" applyAlignment="1" applyProtection="1">
      <alignment horizontal="center" vertical="center"/>
      <protection locked="0"/>
    </xf>
    <xf numFmtId="165" fontId="7" fillId="5" borderId="14" xfId="0" applyNumberFormat="1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</xf>
    <xf numFmtId="0" fontId="1" fillId="2" borderId="0" xfId="0" applyFont="1" applyFill="1" applyAlignment="1" applyProtection="1">
      <protection locked="0"/>
    </xf>
    <xf numFmtId="44" fontId="4" fillId="5" borderId="8" xfId="1" applyFont="1" applyFill="1" applyBorder="1" applyAlignment="1" applyProtection="1">
      <alignment horizontal="center" vertical="center"/>
      <protection locked="0"/>
    </xf>
    <xf numFmtId="44" fontId="13" fillId="4" borderId="6" xfId="1" applyFont="1" applyFill="1" applyBorder="1" applyAlignment="1" applyProtection="1">
      <alignment horizontal="center" vertical="center" wrapText="1"/>
    </xf>
    <xf numFmtId="44" fontId="12" fillId="4" borderId="6" xfId="1" applyFont="1" applyFill="1" applyBorder="1" applyAlignment="1" applyProtection="1">
      <alignment horizontal="center" vertical="center" wrapText="1"/>
    </xf>
    <xf numFmtId="44" fontId="4" fillId="6" borderId="8" xfId="1" applyFont="1" applyFill="1" applyBorder="1" applyAlignment="1" applyProtection="1">
      <alignment horizontal="center" vertical="center"/>
      <protection locked="0"/>
    </xf>
    <xf numFmtId="44" fontId="1" fillId="2" borderId="0" xfId="1" applyFont="1" applyFill="1" applyProtection="1">
      <protection locked="0"/>
    </xf>
    <xf numFmtId="164" fontId="7" fillId="5" borderId="11" xfId="0" applyNumberFormat="1" applyFont="1" applyFill="1" applyBorder="1" applyAlignment="1" applyProtection="1">
      <alignment horizontal="center" vertical="center"/>
      <protection locked="0"/>
    </xf>
    <xf numFmtId="164" fontId="7" fillId="6" borderId="11" xfId="0" applyNumberFormat="1" applyFont="1" applyFill="1" applyBorder="1" applyAlignment="1" applyProtection="1">
      <alignment horizontal="center" vertical="center"/>
      <protection locked="0"/>
    </xf>
    <xf numFmtId="1" fontId="7" fillId="5" borderId="10" xfId="0" applyNumberFormat="1" applyFont="1" applyFill="1" applyBorder="1" applyAlignment="1" applyProtection="1">
      <alignment horizontal="center" vertical="center" wrapText="1"/>
      <protection locked="0"/>
    </xf>
    <xf numFmtId="1" fontId="15" fillId="5" borderId="10" xfId="0" applyNumberFormat="1" applyFont="1" applyFill="1" applyBorder="1" applyAlignment="1" applyProtection="1">
      <alignment horizontal="center" vertical="center" wrapText="1"/>
      <protection locked="0"/>
    </xf>
    <xf numFmtId="164" fontId="7" fillId="5" borderId="10" xfId="0" applyNumberFormat="1" applyFont="1" applyFill="1" applyBorder="1" applyAlignment="1" applyProtection="1">
      <alignment horizontal="center" vertical="center" wrapText="1"/>
      <protection locked="0"/>
    </xf>
    <xf numFmtId="1" fontId="7" fillId="6" borderId="10" xfId="0" applyNumberFormat="1" applyFont="1" applyFill="1" applyBorder="1" applyAlignment="1" applyProtection="1">
      <alignment horizontal="center" vertical="center" wrapText="1"/>
      <protection locked="0"/>
    </xf>
    <xf numFmtId="164" fontId="7" fillId="5" borderId="12" xfId="0" applyNumberFormat="1" applyFont="1" applyFill="1" applyBorder="1" applyAlignment="1" applyProtection="1">
      <alignment horizontal="center" vertical="center" wrapText="1"/>
      <protection locked="0"/>
    </xf>
    <xf numFmtId="1" fontId="15" fillId="6" borderId="10" xfId="0" applyNumberFormat="1" applyFont="1" applyFill="1" applyBorder="1" applyAlignment="1" applyProtection="1">
      <alignment horizontal="center" vertical="center" wrapText="1"/>
      <protection locked="0"/>
    </xf>
    <xf numFmtId="164" fontId="7" fillId="6" borderId="10" xfId="0" applyNumberFormat="1" applyFont="1" applyFill="1" applyBorder="1" applyAlignment="1" applyProtection="1">
      <alignment horizontal="center" vertical="center" wrapText="1"/>
      <protection locked="0"/>
    </xf>
    <xf numFmtId="164" fontId="7" fillId="6" borderId="12" xfId="0" applyNumberFormat="1" applyFont="1" applyFill="1" applyBorder="1" applyAlignment="1" applyProtection="1">
      <alignment horizontal="center" vertical="center" wrapText="1"/>
      <protection locked="0"/>
    </xf>
    <xf numFmtId="1" fontId="7" fillId="7" borderId="10" xfId="0" applyNumberFormat="1" applyFont="1" applyFill="1" applyBorder="1" applyAlignment="1" applyProtection="1">
      <alignment horizontal="center" vertical="center" wrapText="1"/>
    </xf>
    <xf numFmtId="0" fontId="1" fillId="7" borderId="0" xfId="0" applyFont="1" applyFill="1" applyProtection="1">
      <protection locked="0"/>
    </xf>
    <xf numFmtId="0" fontId="16" fillId="2" borderId="0" xfId="0" applyFont="1" applyFill="1" applyProtection="1">
      <protection locked="0"/>
    </xf>
    <xf numFmtId="0" fontId="17" fillId="2" borderId="0" xfId="0" applyFont="1" applyFill="1" applyProtection="1">
      <protection locked="0"/>
    </xf>
    <xf numFmtId="0" fontId="16" fillId="7" borderId="0" xfId="0" applyFont="1" applyFill="1" applyProtection="1">
      <protection locked="0"/>
    </xf>
    <xf numFmtId="0" fontId="16" fillId="8" borderId="0" xfId="0" applyFont="1" applyFill="1" applyProtection="1">
      <protection locked="0"/>
    </xf>
    <xf numFmtId="1" fontId="4" fillId="5" borderId="8" xfId="0" applyNumberFormat="1" applyFont="1" applyFill="1" applyBorder="1" applyAlignment="1" applyProtection="1">
      <alignment horizontal="center" vertical="center"/>
      <protection locked="0"/>
    </xf>
    <xf numFmtId="1" fontId="4" fillId="6" borderId="8" xfId="0" applyNumberFormat="1" applyFont="1" applyFill="1" applyBorder="1" applyAlignment="1" applyProtection="1">
      <alignment horizontal="center" vertical="center"/>
      <protection locked="0"/>
    </xf>
    <xf numFmtId="166" fontId="4" fillId="5" borderId="8" xfId="0" applyNumberFormat="1" applyFont="1" applyFill="1" applyBorder="1" applyAlignment="1" applyProtection="1">
      <alignment horizontal="left" vertical="center"/>
      <protection locked="0"/>
    </xf>
    <xf numFmtId="166" fontId="4" fillId="6" borderId="8" xfId="0" applyNumberFormat="1" applyFont="1" applyFill="1" applyBorder="1" applyAlignment="1" applyProtection="1">
      <alignment horizontal="left" vertical="center"/>
      <protection locked="0"/>
    </xf>
    <xf numFmtId="2" fontId="13" fillId="4" borderId="6" xfId="0" applyNumberFormat="1" applyFont="1" applyFill="1" applyBorder="1" applyAlignment="1" applyProtection="1">
      <alignment horizontal="center" vertical="center" wrapText="1"/>
    </xf>
    <xf numFmtId="2" fontId="4" fillId="5" borderId="8" xfId="0" applyNumberFormat="1" applyFont="1" applyFill="1" applyBorder="1" applyAlignment="1" applyProtection="1">
      <alignment horizontal="center" vertical="center"/>
      <protection locked="0"/>
    </xf>
    <xf numFmtId="2" fontId="4" fillId="6" borderId="8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0" fontId="5" fillId="4" borderId="6" xfId="0" applyFont="1" applyFill="1" applyBorder="1" applyAlignment="1" applyProtection="1">
      <alignment horizontal="center" vertical="center" wrapText="1"/>
    </xf>
    <xf numFmtId="166" fontId="4" fillId="5" borderId="8" xfId="0" applyNumberFormat="1" applyFont="1" applyFill="1" applyBorder="1" applyAlignment="1" applyProtection="1">
      <alignment horizontal="center" vertical="center"/>
    </xf>
    <xf numFmtId="44" fontId="4" fillId="5" borderId="8" xfId="1" applyFont="1" applyFill="1" applyBorder="1" applyAlignment="1" applyProtection="1">
      <alignment horizontal="center" vertical="center"/>
    </xf>
    <xf numFmtId="164" fontId="7" fillId="5" borderId="11" xfId="0" applyNumberFormat="1" applyFont="1" applyFill="1" applyBorder="1" applyAlignment="1" applyProtection="1">
      <alignment horizontal="center" vertical="center"/>
    </xf>
    <xf numFmtId="166" fontId="4" fillId="6" borderId="8" xfId="0" applyNumberFormat="1" applyFont="1" applyFill="1" applyBorder="1" applyAlignment="1" applyProtection="1">
      <alignment horizontal="center" vertical="center"/>
    </xf>
    <xf numFmtId="44" fontId="4" fillId="6" borderId="8" xfId="1" applyFont="1" applyFill="1" applyBorder="1" applyAlignment="1" applyProtection="1">
      <alignment horizontal="center" vertical="center"/>
    </xf>
    <xf numFmtId="164" fontId="7" fillId="6" borderId="11" xfId="0" applyNumberFormat="1" applyFont="1" applyFill="1" applyBorder="1" applyAlignment="1" applyProtection="1">
      <alignment horizontal="center" vertical="center"/>
    </xf>
    <xf numFmtId="1" fontId="7" fillId="5" borderId="10" xfId="0" applyNumberFormat="1" applyFont="1" applyFill="1" applyBorder="1" applyAlignment="1" applyProtection="1">
      <alignment horizontal="center" vertical="center" wrapText="1"/>
    </xf>
    <xf numFmtId="1" fontId="15" fillId="5" borderId="10" xfId="0" applyNumberFormat="1" applyFont="1" applyFill="1" applyBorder="1" applyAlignment="1" applyProtection="1">
      <alignment horizontal="center" vertical="center" wrapText="1"/>
    </xf>
    <xf numFmtId="164" fontId="7" fillId="5" borderId="12" xfId="0" applyNumberFormat="1" applyFont="1" applyFill="1" applyBorder="1" applyAlignment="1" applyProtection="1">
      <alignment horizontal="center" vertical="center" wrapText="1"/>
    </xf>
    <xf numFmtId="165" fontId="7" fillId="5" borderId="13" xfId="0" applyNumberFormat="1" applyFont="1" applyFill="1" applyBorder="1" applyAlignment="1" applyProtection="1">
      <alignment horizontal="center" vertical="center"/>
    </xf>
    <xf numFmtId="165" fontId="7" fillId="5" borderId="14" xfId="0" applyNumberFormat="1" applyFont="1" applyFill="1" applyBorder="1" applyAlignment="1" applyProtection="1">
      <alignment horizontal="center" vertical="center"/>
    </xf>
    <xf numFmtId="1" fontId="15" fillId="7" borderId="10" xfId="0" applyNumberFormat="1" applyFont="1" applyFill="1" applyBorder="1" applyAlignment="1" applyProtection="1">
      <alignment horizontal="center" vertical="center" wrapText="1"/>
    </xf>
    <xf numFmtId="164" fontId="7" fillId="7" borderId="10" xfId="0" applyNumberFormat="1" applyFont="1" applyFill="1" applyBorder="1" applyAlignment="1" applyProtection="1">
      <alignment horizontal="center" vertical="center" wrapText="1"/>
    </xf>
    <xf numFmtId="164" fontId="7" fillId="7" borderId="12" xfId="0" applyNumberFormat="1" applyFont="1" applyFill="1" applyBorder="1" applyAlignment="1" applyProtection="1">
      <alignment horizontal="center" vertical="center" wrapText="1"/>
    </xf>
    <xf numFmtId="165" fontId="7" fillId="7" borderId="13" xfId="0" applyNumberFormat="1" applyFont="1" applyFill="1" applyBorder="1" applyAlignment="1" applyProtection="1">
      <alignment horizontal="center" vertical="center"/>
    </xf>
    <xf numFmtId="165" fontId="7" fillId="7" borderId="14" xfId="0" applyNumberFormat="1" applyFont="1" applyFill="1" applyBorder="1" applyAlignment="1" applyProtection="1">
      <alignment horizontal="center" vertical="center"/>
    </xf>
    <xf numFmtId="1" fontId="15" fillId="6" borderId="10" xfId="0" applyNumberFormat="1" applyFont="1" applyFill="1" applyBorder="1" applyAlignment="1" applyProtection="1">
      <alignment horizontal="center" vertical="center" wrapText="1"/>
    </xf>
    <xf numFmtId="164" fontId="7" fillId="6" borderId="12" xfId="0" applyNumberFormat="1" applyFont="1" applyFill="1" applyBorder="1" applyAlignment="1" applyProtection="1">
      <alignment horizontal="center" vertical="center" wrapText="1"/>
    </xf>
    <xf numFmtId="165" fontId="7" fillId="6" borderId="13" xfId="0" applyNumberFormat="1" applyFont="1" applyFill="1" applyBorder="1" applyAlignment="1" applyProtection="1">
      <alignment horizontal="center" vertical="center"/>
    </xf>
    <xf numFmtId="165" fontId="7" fillId="6" borderId="14" xfId="0" applyNumberFormat="1" applyFont="1" applyFill="1" applyBorder="1" applyAlignment="1" applyProtection="1">
      <alignment horizontal="center" vertical="center"/>
    </xf>
    <xf numFmtId="0" fontId="5" fillId="4" borderId="6" xfId="0" applyFont="1" applyFill="1" applyBorder="1" applyAlignment="1" applyProtection="1">
      <alignment horizontal="center" vertical="center" wrapText="1"/>
    </xf>
    <xf numFmtId="164" fontId="8" fillId="3" borderId="0" xfId="0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center" vertical="center" wrapText="1"/>
    </xf>
    <xf numFmtId="0" fontId="5" fillId="4" borderId="7" xfId="0" applyFont="1" applyFill="1" applyBorder="1" applyAlignment="1" applyProtection="1">
      <alignment horizontal="center" vertical="center" wrapText="1"/>
    </xf>
    <xf numFmtId="0" fontId="11" fillId="4" borderId="2" xfId="0" applyFont="1" applyFill="1" applyBorder="1" applyAlignment="1" applyProtection="1">
      <alignment horizontal="center" vertical="center" wrapText="1"/>
    </xf>
    <xf numFmtId="0" fontId="11" fillId="4" borderId="3" xfId="0" applyFont="1" applyFill="1" applyBorder="1" applyAlignment="1" applyProtection="1">
      <alignment horizontal="center" vertical="center" wrapText="1"/>
    </xf>
    <xf numFmtId="0" fontId="11" fillId="4" borderId="4" xfId="0" applyFont="1" applyFill="1" applyBorder="1" applyAlignment="1" applyProtection="1">
      <alignment horizontal="center" vertical="center" wrapText="1"/>
    </xf>
    <xf numFmtId="164" fontId="8" fillId="3" borderId="2" xfId="0" applyNumberFormat="1" applyFont="1" applyFill="1" applyBorder="1" applyAlignment="1" applyProtection="1">
      <alignment horizontal="center" vertical="center"/>
    </xf>
    <xf numFmtId="164" fontId="8" fillId="3" borderId="4" xfId="0" applyNumberFormat="1" applyFont="1" applyFill="1" applyBorder="1" applyAlignment="1" applyProtection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3366"/>
      <color rgb="FF006666"/>
      <color rgb="FF336699"/>
      <color rgb="FF006699"/>
      <color rgb="FF003300"/>
      <color rgb="FF6600CC"/>
      <color rgb="FF000066"/>
      <color rgb="FF336600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Thasana_Week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Ibeyaima_Weekl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Angom_Bijenti_Dail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Kamala_Dail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anasam_Sonia_Dail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anarei_Group_Weekl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Ronel_Week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Thongam_Bala_Weekl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alam_Bidyalaxmi_Dail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Mutum_Sandhyarani_Weekl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udhana_Weekl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Bidyarani_Weekl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Minarani_Weekl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Bidyabati_Dail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Lanchenbi_Ranibala_Weekl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Lanchenbi_Samila_Weekl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Lanchenbi_Ibeyaima_Weekl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Inaobi_Dail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Renita_Dail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Romila_Dail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Pratima_Dail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L_Gomti_Weekl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Reena_Weekl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A_Ranita_Weekl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Th_Memcha_Weekl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Y_Seema_Weekl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alam_Echal_Weekl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Khurai_Ahongei%20_Group_Weekl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Kakwa_Lamdaibung_Group_Weekl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Muktasana_Weekl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unita_Group_Soibam_L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hantibala_Dail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Wangkheimayum_Thoibisana_Weekl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Salam_Anjala_Weekly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Konsam_Ranjana_Weekly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Yumnam_Baby_Weekly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Thongam_Deme_Daily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Wangkheimayum_Guni_Weekly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Ashalata_Weekly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Thongam_Memi_Dail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Chongtham_Leikai_Group_Weekly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Tina_Daily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FinancingInvesting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tungfamFinance\NBFC-MF\Borrowers\Moirangkhom_Week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L10000W17-Thasana-NLoan1</v>
          </cell>
        </row>
        <row r="3">
          <cell r="K3" t="str">
            <v>Thasana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9</v>
          </cell>
        </row>
        <row r="13">
          <cell r="K13">
            <v>5600</v>
          </cell>
        </row>
        <row r="14">
          <cell r="K14">
            <v>5126.6976567527154</v>
          </cell>
        </row>
        <row r="15">
          <cell r="K15">
            <v>4873.3023432472846</v>
          </cell>
        </row>
        <row r="16">
          <cell r="K16">
            <v>45901</v>
          </cell>
        </row>
        <row r="17">
          <cell r="K17">
            <v>46020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L30000W17-Ibeyaima-NLoan1</v>
          </cell>
        </row>
        <row r="3">
          <cell r="K3" t="str">
            <v>Ibeyaima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1.2778400559909642E-9</v>
          </cell>
        </row>
        <row r="15">
          <cell r="K15">
            <v>29999.999999998723</v>
          </cell>
        </row>
        <row r="16">
          <cell r="K16">
            <v>46089</v>
          </cell>
        </row>
        <row r="17">
          <cell r="K17">
            <v>46208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L50000D120-Angom_Bijenti-NLoan1</v>
          </cell>
        </row>
        <row r="3">
          <cell r="K3" t="str">
            <v>Angom_Bijenti</v>
          </cell>
        </row>
        <row r="7">
          <cell r="K7">
            <v>50000</v>
          </cell>
        </row>
        <row r="9">
          <cell r="K9">
            <v>500</v>
          </cell>
        </row>
        <row r="10">
          <cell r="K10">
            <v>120</v>
          </cell>
        </row>
        <row r="12">
          <cell r="K12">
            <v>69</v>
          </cell>
        </row>
        <row r="13">
          <cell r="K13">
            <v>25500</v>
          </cell>
        </row>
        <row r="14">
          <cell r="K14">
            <v>23544.274850073471</v>
          </cell>
        </row>
        <row r="15">
          <cell r="K15">
            <v>26455.725149926529</v>
          </cell>
        </row>
        <row r="16">
          <cell r="K16">
            <v>46089</v>
          </cell>
        </row>
        <row r="17">
          <cell r="K17">
            <v>46209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88"/>
      <sheetName val="204"/>
      <sheetName val="224"/>
    </sheetNames>
    <sheetDataSet>
      <sheetData sheetId="0">
        <row r="2">
          <cell r="K2" t="str">
            <v>L40000D120-Kamala-NLoan1</v>
          </cell>
        </row>
        <row r="3">
          <cell r="K3" t="str">
            <v>Kamala</v>
          </cell>
        </row>
        <row r="7">
          <cell r="K7">
            <v>40000</v>
          </cell>
        </row>
        <row r="9">
          <cell r="K9">
            <v>400</v>
          </cell>
        </row>
        <row r="10">
          <cell r="K10">
            <v>120</v>
          </cell>
        </row>
        <row r="12">
          <cell r="K12">
            <v>120</v>
          </cell>
        </row>
        <row r="13">
          <cell r="K13">
            <v>0</v>
          </cell>
        </row>
        <row r="14">
          <cell r="K14">
            <v>1.8109176380676217E-9</v>
          </cell>
        </row>
        <row r="15">
          <cell r="K15">
            <v>39999.999999998188</v>
          </cell>
        </row>
        <row r="16">
          <cell r="K16">
            <v>46092</v>
          </cell>
        </row>
        <row r="17">
          <cell r="K17">
            <v>46212</v>
          </cell>
        </row>
      </sheetData>
      <sheetData sheetId="1">
        <row r="2">
          <cell r="K2" t="str">
            <v>L40000D120-Kamala-N188</v>
          </cell>
        </row>
        <row r="3">
          <cell r="K3" t="str">
            <v>Kamala</v>
          </cell>
        </row>
        <row r="7">
          <cell r="K7">
            <v>40000</v>
          </cell>
        </row>
        <row r="9">
          <cell r="K9">
            <v>400</v>
          </cell>
        </row>
        <row r="10">
          <cell r="K10">
            <v>120</v>
          </cell>
        </row>
        <row r="12">
          <cell r="K12">
            <v>120</v>
          </cell>
        </row>
        <row r="13">
          <cell r="K13">
            <v>0</v>
          </cell>
        </row>
        <row r="14">
          <cell r="K14">
            <v>1.8109176380676217E-9</v>
          </cell>
        </row>
        <row r="15">
          <cell r="K15">
            <v>39999.999999998188</v>
          </cell>
        </row>
        <row r="16">
          <cell r="K16">
            <v>46190</v>
          </cell>
        </row>
        <row r="17">
          <cell r="K17">
            <v>46310</v>
          </cell>
        </row>
      </sheetData>
      <sheetData sheetId="2">
        <row r="2">
          <cell r="K2" t="str">
            <v>L20000W17-kamala-N204</v>
          </cell>
        </row>
        <row r="3">
          <cell r="K3" t="str">
            <v>kamala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10</v>
          </cell>
        </row>
        <row r="13">
          <cell r="K13">
            <v>9800</v>
          </cell>
        </row>
        <row r="14">
          <cell r="K14">
            <v>9058.9919061592918</v>
          </cell>
        </row>
        <row r="15">
          <cell r="K15">
            <v>10941.008093840708</v>
          </cell>
        </row>
        <row r="16">
          <cell r="K16">
            <v>46241</v>
          </cell>
        </row>
        <row r="17">
          <cell r="K17">
            <v>46360</v>
          </cell>
        </row>
      </sheetData>
      <sheetData sheetId="3">
        <row r="2">
          <cell r="K2" t="str">
            <v>L50000D120-Kamala-N224</v>
          </cell>
        </row>
        <row r="3">
          <cell r="K3" t="str">
            <v>Kamala</v>
          </cell>
        </row>
        <row r="7">
          <cell r="K7">
            <v>50000</v>
          </cell>
        </row>
        <row r="9">
          <cell r="K9">
            <v>500</v>
          </cell>
        </row>
        <row r="10">
          <cell r="K10">
            <v>120</v>
          </cell>
        </row>
        <row r="12">
          <cell r="K12">
            <v>21</v>
          </cell>
        </row>
        <row r="13">
          <cell r="K13">
            <v>49500</v>
          </cell>
        </row>
        <row r="14">
          <cell r="K14">
            <v>42540.228557637194</v>
          </cell>
        </row>
        <row r="15">
          <cell r="K15">
            <v>7459.7714423628058</v>
          </cell>
        </row>
        <row r="16">
          <cell r="K16">
            <v>46288</v>
          </cell>
        </row>
        <row r="17">
          <cell r="K17">
            <v>46408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L20000D120-Sanasam_Sonia-NLoan1</v>
          </cell>
        </row>
        <row r="3">
          <cell r="K3" t="str">
            <v>Sanasam_Sonia</v>
          </cell>
        </row>
        <row r="7">
          <cell r="K7">
            <v>20000</v>
          </cell>
        </row>
        <row r="9">
          <cell r="K9">
            <v>200</v>
          </cell>
        </row>
        <row r="10">
          <cell r="K10">
            <v>120</v>
          </cell>
        </row>
        <row r="12">
          <cell r="K12">
            <v>120</v>
          </cell>
        </row>
        <row r="13">
          <cell r="K13">
            <v>0</v>
          </cell>
        </row>
        <row r="14">
          <cell r="K14">
            <v>9.0545881903381087E-10</v>
          </cell>
        </row>
        <row r="15">
          <cell r="K15">
            <v>19999.999999999094</v>
          </cell>
        </row>
        <row r="16">
          <cell r="K16">
            <v>46092</v>
          </cell>
        </row>
        <row r="17">
          <cell r="K17">
            <v>46212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95"/>
    </sheetNames>
    <sheetDataSet>
      <sheetData sheetId="0">
        <row r="2">
          <cell r="K2" t="str">
            <v>L140000W17-Sanarei_Group-NLoan1</v>
          </cell>
        </row>
        <row r="3">
          <cell r="K3" t="str">
            <v>Sanarei_Group</v>
          </cell>
        </row>
        <row r="7">
          <cell r="K7">
            <v>140000</v>
          </cell>
        </row>
        <row r="9">
          <cell r="K9">
            <v>9800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6.4028427004814148E-9</v>
          </cell>
        </row>
        <row r="15">
          <cell r="K15">
            <v>139999.9999999936</v>
          </cell>
        </row>
        <row r="16">
          <cell r="K16">
            <v>46094</v>
          </cell>
        </row>
        <row r="17">
          <cell r="K17">
            <v>46213</v>
          </cell>
        </row>
      </sheetData>
      <sheetData sheetId="1">
        <row r="2">
          <cell r="K2" t="str">
            <v>L180000W17-Sanarei_Group-N195</v>
          </cell>
        </row>
        <row r="3">
          <cell r="K3" t="str">
            <v>Sanarei_Group</v>
          </cell>
        </row>
        <row r="7">
          <cell r="K7">
            <v>180000</v>
          </cell>
        </row>
        <row r="9">
          <cell r="K9">
            <v>12600</v>
          </cell>
        </row>
        <row r="10">
          <cell r="K10">
            <v>17</v>
          </cell>
        </row>
        <row r="12">
          <cell r="K12">
            <v>14</v>
          </cell>
        </row>
        <row r="13">
          <cell r="K13">
            <v>37800</v>
          </cell>
        </row>
        <row r="14">
          <cell r="K14">
            <v>36333.28004966757</v>
          </cell>
        </row>
        <row r="15">
          <cell r="K15">
            <v>143666.71995033242</v>
          </cell>
        </row>
        <row r="16">
          <cell r="K16">
            <v>46206</v>
          </cell>
        </row>
        <row r="17">
          <cell r="K17">
            <v>46325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200"/>
    </sheetNames>
    <sheetDataSet>
      <sheetData sheetId="0">
        <row r="2">
          <cell r="K2" t="str">
            <v>L20000W17-Ronel-NLoan1</v>
          </cell>
        </row>
        <row r="3">
          <cell r="K3" t="str">
            <v>Ronel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46097</v>
          </cell>
        </row>
        <row r="17">
          <cell r="K17">
            <v>46216</v>
          </cell>
        </row>
      </sheetData>
      <sheetData sheetId="1">
        <row r="2">
          <cell r="K2" t="str">
            <v>L30000W17-Ronel-N200</v>
          </cell>
        </row>
        <row r="3">
          <cell r="K3" t="str">
            <v>Ronel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13</v>
          </cell>
        </row>
        <row r="13">
          <cell r="K13">
            <v>8400</v>
          </cell>
        </row>
        <row r="14">
          <cell r="K14">
            <v>7995.2298277146756</v>
          </cell>
        </row>
        <row r="15">
          <cell r="K15">
            <v>22004.770172285323</v>
          </cell>
        </row>
        <row r="16">
          <cell r="K16">
            <v>46220</v>
          </cell>
        </row>
        <row r="17">
          <cell r="K17">
            <v>46339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L20000W17-Thongam_Bala-NLoan1</v>
          </cell>
        </row>
        <row r="3">
          <cell r="K3" t="str">
            <v>Thongam_Bala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46101</v>
          </cell>
        </row>
        <row r="17">
          <cell r="K17">
            <v>46220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206"/>
    </sheetNames>
    <sheetDataSet>
      <sheetData sheetId="0">
        <row r="2">
          <cell r="K2" t="str">
            <v>L5000D40-Salam_Bidyalaxmi-NLoan1</v>
          </cell>
        </row>
        <row r="3">
          <cell r="K3" t="str">
            <v>Salam_Bidyalaxmi</v>
          </cell>
        </row>
        <row r="7">
          <cell r="K7">
            <v>5000</v>
          </cell>
        </row>
        <row r="9">
          <cell r="K9">
            <v>150</v>
          </cell>
        </row>
        <row r="10">
          <cell r="K10">
            <v>40</v>
          </cell>
        </row>
        <row r="12">
          <cell r="K12">
            <v>40</v>
          </cell>
        </row>
        <row r="13">
          <cell r="K13">
            <v>0</v>
          </cell>
        </row>
        <row r="14">
          <cell r="K14">
            <v>1.9554136088117957E-11</v>
          </cell>
        </row>
        <row r="15">
          <cell r="K15">
            <v>4999.99999999998</v>
          </cell>
        </row>
        <row r="16">
          <cell r="K16">
            <v>46095</v>
          </cell>
        </row>
        <row r="17">
          <cell r="K17">
            <v>46215</v>
          </cell>
        </row>
      </sheetData>
      <sheetData sheetId="1">
        <row r="2">
          <cell r="K2" t="str">
            <v>L10000D60-Salam_Bidyalaxmi-N206</v>
          </cell>
        </row>
        <row r="3">
          <cell r="K3" t="str">
            <v>Salam_Bidyalaxmi</v>
          </cell>
        </row>
        <row r="7">
          <cell r="K7">
            <v>10000</v>
          </cell>
        </row>
        <row r="9">
          <cell r="K9">
            <v>200</v>
          </cell>
        </row>
        <row r="10">
          <cell r="K10">
            <v>60</v>
          </cell>
        </row>
        <row r="12">
          <cell r="K12">
            <v>17</v>
          </cell>
        </row>
        <row r="13">
          <cell r="K13">
            <v>8600</v>
          </cell>
        </row>
        <row r="14">
          <cell r="K14">
            <v>7531.3191972432815</v>
          </cell>
        </row>
        <row r="15">
          <cell r="K15">
            <v>2468.6808027567185</v>
          </cell>
        </row>
        <row r="16">
          <cell r="K16">
            <v>46240</v>
          </cell>
        </row>
        <row r="17">
          <cell r="K17">
            <v>46360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98"/>
      <sheetName val="226"/>
    </sheetNames>
    <sheetDataSet>
      <sheetData sheetId="0">
        <row r="2">
          <cell r="K2" t="str">
            <v>L10000W17-Mutum_Sandhyarani-NLoan1</v>
          </cell>
        </row>
        <row r="3">
          <cell r="K3" t="str">
            <v>Mutum_Sandhyarani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4.5668002712773159E-10</v>
          </cell>
        </row>
        <row r="15">
          <cell r="K15">
            <v>9999.9999999995434</v>
          </cell>
        </row>
        <row r="16">
          <cell r="K16">
            <v>46129</v>
          </cell>
        </row>
        <row r="17">
          <cell r="K17">
            <v>46248</v>
          </cell>
        </row>
      </sheetData>
      <sheetData sheetId="1">
        <row r="2">
          <cell r="K2" t="str">
            <v>L20000W17-Mutum_Sandhyarani-N198</v>
          </cell>
        </row>
        <row r="3">
          <cell r="K3" t="str">
            <v>Mutum_Sandhyarani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46205</v>
          </cell>
        </row>
        <row r="17">
          <cell r="K17">
            <v>46324</v>
          </cell>
        </row>
      </sheetData>
      <sheetData sheetId="2">
        <row r="2">
          <cell r="K2" t="str">
            <v>L25000W17-Mutum_Sandhyarani-N226</v>
          </cell>
        </row>
        <row r="3">
          <cell r="K3" t="str">
            <v>Mutum_Sandhyarani</v>
          </cell>
        </row>
        <row r="7">
          <cell r="K7">
            <v>25000</v>
          </cell>
        </row>
        <row r="9">
          <cell r="K9">
            <v>1750</v>
          </cell>
        </row>
        <row r="10">
          <cell r="K10">
            <v>17</v>
          </cell>
        </row>
        <row r="12">
          <cell r="K12">
            <v>3</v>
          </cell>
        </row>
        <row r="13">
          <cell r="K13">
            <v>24500</v>
          </cell>
        </row>
        <row r="14">
          <cell r="K14">
            <v>21178.249277533887</v>
          </cell>
        </row>
        <row r="15">
          <cell r="K15">
            <v>3821.7507224661131</v>
          </cell>
        </row>
        <row r="16">
          <cell r="K16">
            <v>46287</v>
          </cell>
        </row>
        <row r="17">
          <cell r="K17">
            <v>46406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210"/>
    </sheetNames>
    <sheetDataSet>
      <sheetData sheetId="0">
        <row r="2">
          <cell r="K2" t="str">
            <v>L20000W17-Sudhana-NLoan1</v>
          </cell>
        </row>
        <row r="3">
          <cell r="K3" t="str">
            <v>Sudhana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46150</v>
          </cell>
        </row>
        <row r="17">
          <cell r="K17">
            <v>46269</v>
          </cell>
        </row>
      </sheetData>
      <sheetData sheetId="1">
        <row r="2">
          <cell r="K2" t="str">
            <v>L20000W17-Sudhana-N210</v>
          </cell>
        </row>
        <row r="3">
          <cell r="K3" t="str">
            <v>Sudhana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8</v>
          </cell>
        </row>
        <row r="13">
          <cell r="K13">
            <v>12600</v>
          </cell>
        </row>
        <row r="14">
          <cell r="K14">
            <v>11424.319854722999</v>
          </cell>
        </row>
        <row r="15">
          <cell r="K15">
            <v>8575.6801452770014</v>
          </cell>
        </row>
        <row r="16">
          <cell r="K16">
            <v>46255</v>
          </cell>
        </row>
        <row r="17">
          <cell r="K17">
            <v>46374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90"/>
    </sheetNames>
    <sheetDataSet>
      <sheetData sheetId="0">
        <row r="2">
          <cell r="K2" t="str">
            <v>L20000W17-Bidyarani-NLoan1</v>
          </cell>
        </row>
        <row r="3">
          <cell r="K3" t="str">
            <v>Bidyarani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46150</v>
          </cell>
        </row>
        <row r="17">
          <cell r="K17">
            <v>46269</v>
          </cell>
        </row>
      </sheetData>
      <sheetData sheetId="1">
        <row r="2">
          <cell r="K2" t="str">
            <v>L10000W17-Bidyarani-N190</v>
          </cell>
        </row>
        <row r="3">
          <cell r="K3" t="str">
            <v>Bidyarani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4.5668002712773159E-10</v>
          </cell>
        </row>
        <row r="15">
          <cell r="K15">
            <v>9999.9999999995434</v>
          </cell>
        </row>
        <row r="16">
          <cell r="K16">
            <v>46194</v>
          </cell>
        </row>
        <row r="17">
          <cell r="K17">
            <v>46313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89"/>
      <sheetName val="199"/>
      <sheetName val="216"/>
    </sheetNames>
    <sheetDataSet>
      <sheetData sheetId="0">
        <row r="2">
          <cell r="K2" t="str">
            <v>L20000W12-Minarani-NLoan1</v>
          </cell>
        </row>
        <row r="3">
          <cell r="K3" t="str">
            <v>Minarani</v>
          </cell>
        </row>
        <row r="7">
          <cell r="K7">
            <v>20000</v>
          </cell>
        </row>
        <row r="9">
          <cell r="K9">
            <v>2000</v>
          </cell>
        </row>
        <row r="10">
          <cell r="K10">
            <v>12</v>
          </cell>
        </row>
        <row r="12">
          <cell r="K12">
            <v>12</v>
          </cell>
        </row>
        <row r="13">
          <cell r="K13">
            <v>0</v>
          </cell>
        </row>
        <row r="14">
          <cell r="K14">
            <v>6.2391336541622877E-10</v>
          </cell>
        </row>
        <row r="15">
          <cell r="K15">
            <v>19999.999999999374</v>
          </cell>
        </row>
        <row r="16">
          <cell r="K16">
            <v>46156</v>
          </cell>
        </row>
        <row r="17">
          <cell r="K17">
            <v>46275</v>
          </cell>
        </row>
      </sheetData>
      <sheetData sheetId="1">
        <row r="2">
          <cell r="K2" t="str">
            <v>L10000W12-Minarani-N189</v>
          </cell>
        </row>
        <row r="3">
          <cell r="K3" t="str">
            <v>Minarani</v>
          </cell>
        </row>
        <row r="7">
          <cell r="K7">
            <v>10000</v>
          </cell>
        </row>
        <row r="9">
          <cell r="K9">
            <v>1000</v>
          </cell>
        </row>
        <row r="10">
          <cell r="K10">
            <v>12</v>
          </cell>
        </row>
        <row r="12">
          <cell r="K12">
            <v>12</v>
          </cell>
        </row>
        <row r="13">
          <cell r="K13">
            <v>0</v>
          </cell>
        </row>
        <row r="14">
          <cell r="K14">
            <v>3.1195668270811439E-10</v>
          </cell>
        </row>
        <row r="15">
          <cell r="K15">
            <v>9999.9999999996871</v>
          </cell>
        </row>
        <row r="16">
          <cell r="K16">
            <v>46193</v>
          </cell>
        </row>
        <row r="17">
          <cell r="K17">
            <v>46312</v>
          </cell>
        </row>
      </sheetData>
      <sheetData sheetId="2">
        <row r="2">
          <cell r="K2" t="str">
            <v>L30000W12-Minarani-N199</v>
          </cell>
        </row>
        <row r="3">
          <cell r="K3" t="str">
            <v>Minarani</v>
          </cell>
        </row>
        <row r="7">
          <cell r="K7">
            <v>30000</v>
          </cell>
        </row>
        <row r="9">
          <cell r="K9">
            <v>3000</v>
          </cell>
        </row>
        <row r="10">
          <cell r="K10">
            <v>12</v>
          </cell>
        </row>
        <row r="12">
          <cell r="K12">
            <v>12</v>
          </cell>
        </row>
        <row r="13">
          <cell r="K13">
            <v>0</v>
          </cell>
        </row>
        <row r="14">
          <cell r="K14">
            <v>9.7497832030057907E-10</v>
          </cell>
        </row>
        <row r="15">
          <cell r="K15">
            <v>29999.999999999025</v>
          </cell>
        </row>
        <row r="16">
          <cell r="K16">
            <v>46212</v>
          </cell>
        </row>
        <row r="17">
          <cell r="K17">
            <v>46331</v>
          </cell>
        </row>
      </sheetData>
      <sheetData sheetId="3">
        <row r="2">
          <cell r="K2" t="str">
            <v>L30000W12-Minarani-N216</v>
          </cell>
        </row>
        <row r="3">
          <cell r="K3" t="str">
            <v>Minarani</v>
          </cell>
        </row>
        <row r="7">
          <cell r="K7">
            <v>30000</v>
          </cell>
        </row>
        <row r="9">
          <cell r="K9">
            <v>3000</v>
          </cell>
        </row>
        <row r="10">
          <cell r="K10">
            <v>12</v>
          </cell>
        </row>
        <row r="12">
          <cell r="K12">
            <v>6</v>
          </cell>
        </row>
        <row r="13">
          <cell r="K13">
            <v>18000</v>
          </cell>
        </row>
        <row r="14">
          <cell r="K14">
            <v>16293.210493328073</v>
          </cell>
        </row>
        <row r="15">
          <cell r="K15">
            <v>13706.789506671927</v>
          </cell>
        </row>
        <row r="16">
          <cell r="K16">
            <v>46268</v>
          </cell>
        </row>
        <row r="17">
          <cell r="K17">
            <v>46387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Loan2"/>
      <sheetName val="218"/>
    </sheetNames>
    <sheetDataSet>
      <sheetData sheetId="0">
        <row r="2">
          <cell r="K2" t="str">
            <v>L10000D120-Bidyabati-NLoan1</v>
          </cell>
        </row>
        <row r="3">
          <cell r="K3" t="str">
            <v>Bidyabati</v>
          </cell>
        </row>
        <row r="7">
          <cell r="K7">
            <v>10000</v>
          </cell>
        </row>
        <row r="9">
          <cell r="K9">
            <v>100</v>
          </cell>
        </row>
        <row r="10">
          <cell r="K10">
            <v>120</v>
          </cell>
        </row>
        <row r="12">
          <cell r="K12">
            <v>120</v>
          </cell>
        </row>
        <row r="13">
          <cell r="K13">
            <v>0</v>
          </cell>
        </row>
        <row r="14">
          <cell r="K14">
            <v>4.5272940951690543E-10</v>
          </cell>
        </row>
        <row r="15">
          <cell r="K15">
            <v>9999.9999999995471</v>
          </cell>
        </row>
        <row r="16">
          <cell r="K16">
            <v>46170</v>
          </cell>
        </row>
        <row r="17">
          <cell r="K17">
            <v>46290</v>
          </cell>
        </row>
      </sheetData>
      <sheetData sheetId="1">
        <row r="2">
          <cell r="K2" t="str">
            <v>L10000D120-Bidyabati2-NLoan2</v>
          </cell>
        </row>
        <row r="3">
          <cell r="K3" t="str">
            <v>Bidyabati2</v>
          </cell>
        </row>
        <row r="7">
          <cell r="K7">
            <v>10000</v>
          </cell>
        </row>
        <row r="9">
          <cell r="K9">
            <v>100</v>
          </cell>
        </row>
        <row r="10">
          <cell r="K10">
            <v>120</v>
          </cell>
        </row>
        <row r="12">
          <cell r="K12">
            <v>120</v>
          </cell>
        </row>
        <row r="13">
          <cell r="K13">
            <v>0</v>
          </cell>
        </row>
        <row r="14">
          <cell r="K14">
            <v>4.5272940951690543E-10</v>
          </cell>
        </row>
        <row r="15">
          <cell r="K15">
            <v>9999.9999999995471</v>
          </cell>
        </row>
        <row r="16">
          <cell r="K16">
            <v>46177</v>
          </cell>
        </row>
        <row r="17">
          <cell r="K17">
            <v>46297</v>
          </cell>
        </row>
      </sheetData>
      <sheetData sheetId="2">
        <row r="2">
          <cell r="K2" t="str">
            <v>L30000D120-Bidyabati2-N218</v>
          </cell>
        </row>
        <row r="3">
          <cell r="K3" t="str">
            <v>Bidyabati2</v>
          </cell>
        </row>
        <row r="7">
          <cell r="K7">
            <v>30000</v>
          </cell>
        </row>
        <row r="9">
          <cell r="K9">
            <v>300</v>
          </cell>
        </row>
        <row r="10">
          <cell r="K10">
            <v>120</v>
          </cell>
        </row>
        <row r="12">
          <cell r="K12">
            <v>42</v>
          </cell>
        </row>
        <row r="13">
          <cell r="K13">
            <v>23400</v>
          </cell>
        </row>
        <row r="14">
          <cell r="K14">
            <v>20746.264682771092</v>
          </cell>
        </row>
        <row r="15">
          <cell r="K15">
            <v>9253.7353172289077</v>
          </cell>
        </row>
        <row r="16">
          <cell r="K16">
            <v>46266</v>
          </cell>
        </row>
        <row r="17">
          <cell r="K17">
            <v>46386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96"/>
    </sheetNames>
    <sheetDataSet>
      <sheetData sheetId="0">
        <row r="2">
          <cell r="K2" t="str">
            <v>L20000W17-Lanchenbi_Ranibala-NLoan1</v>
          </cell>
        </row>
        <row r="3">
          <cell r="K3" t="str">
            <v>Lanchenbi_Ranibala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46101</v>
          </cell>
        </row>
        <row r="17">
          <cell r="K17">
            <v>46220</v>
          </cell>
        </row>
      </sheetData>
      <sheetData sheetId="1">
        <row r="2">
          <cell r="K2" t="str">
            <v>L10000W17-Lanchenbi_Ranibala-N196</v>
          </cell>
        </row>
        <row r="3">
          <cell r="K3" t="str">
            <v>Lanchenbi_Ranibala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5</v>
          </cell>
        </row>
        <row r="13">
          <cell r="K13">
            <v>8400</v>
          </cell>
        </row>
        <row r="14">
          <cell r="K14">
            <v>7400.3952159756873</v>
          </cell>
        </row>
        <row r="15">
          <cell r="K15">
            <v>2599.6047840243127</v>
          </cell>
        </row>
        <row r="16">
          <cell r="K16">
            <v>46206</v>
          </cell>
        </row>
        <row r="17">
          <cell r="K17">
            <v>46325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197"/>
      <sheetName val="225"/>
    </sheetNames>
    <sheetDataSet>
      <sheetData sheetId="0">
        <row r="2">
          <cell r="K2" t="str">
            <v>L20000W17-Lanchenbi_Samila-NLoan1</v>
          </cell>
        </row>
        <row r="3">
          <cell r="K3" t="str">
            <v>Lanchenbi_Samila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46101</v>
          </cell>
        </row>
        <row r="17">
          <cell r="K17">
            <v>46220</v>
          </cell>
        </row>
      </sheetData>
      <sheetData sheetId="1">
        <row r="2">
          <cell r="K2" t="str">
            <v>L20000W17-Lanchenbi_Samila-N197</v>
          </cell>
        </row>
        <row r="3">
          <cell r="K3" t="str">
            <v>Lanchenbi_Samila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46206</v>
          </cell>
        </row>
        <row r="17">
          <cell r="K17">
            <v>46325</v>
          </cell>
        </row>
      </sheetData>
      <sheetData sheetId="2">
        <row r="2">
          <cell r="K2" t="str">
            <v>L20000W17-Lanchenbi_Samila-N225</v>
          </cell>
        </row>
        <row r="3">
          <cell r="K3" t="str">
            <v>Lanchenbi_Samila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3</v>
          </cell>
        </row>
        <row r="13">
          <cell r="K13">
            <v>19600</v>
          </cell>
        </row>
        <row r="14">
          <cell r="K14">
            <v>16942.599422027139</v>
          </cell>
        </row>
        <row r="15">
          <cell r="K15">
            <v>3057.4005779728614</v>
          </cell>
        </row>
        <row r="16">
          <cell r="K16">
            <v>46290</v>
          </cell>
        </row>
        <row r="17">
          <cell r="K17">
            <v>46409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213"/>
      <sheetName val="219"/>
    </sheetNames>
    <sheetDataSet>
      <sheetData sheetId="0">
        <row r="2">
          <cell r="K2" t="str">
            <v>L30000W17-Lanchenbi_Ibeyaima-NLoan1</v>
          </cell>
        </row>
        <row r="3">
          <cell r="K3" t="str">
            <v>Lanchenbi_Ibeyaima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1.2778400559909642E-9</v>
          </cell>
        </row>
        <row r="15">
          <cell r="K15">
            <v>29999.999999998723</v>
          </cell>
        </row>
        <row r="16">
          <cell r="K16">
            <v>46178</v>
          </cell>
        </row>
        <row r="17">
          <cell r="K17">
            <v>46297</v>
          </cell>
        </row>
      </sheetData>
      <sheetData sheetId="1">
        <row r="2">
          <cell r="K2" t="str">
            <v>L10000W17-Lanchenbi_Ibeyaima-N213</v>
          </cell>
        </row>
        <row r="3">
          <cell r="K3" t="str">
            <v>Lanchenbi_Ibeyaima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7</v>
          </cell>
        </row>
        <row r="13">
          <cell r="K13">
            <v>7000</v>
          </cell>
        </row>
        <row r="14">
          <cell r="K14">
            <v>6286.1135316433047</v>
          </cell>
        </row>
        <row r="15">
          <cell r="K15">
            <v>3713.8864683566953</v>
          </cell>
        </row>
        <row r="16">
          <cell r="K16">
            <v>46262</v>
          </cell>
        </row>
        <row r="17">
          <cell r="K17">
            <v>46381</v>
          </cell>
        </row>
      </sheetData>
      <sheetData sheetId="2">
        <row r="2">
          <cell r="K2" t="str">
            <v>L30000W17-Lanchenbi_Ibeyaima-N219</v>
          </cell>
        </row>
        <row r="3">
          <cell r="K3" t="str">
            <v>Lanchenbi_Ibeyaima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5</v>
          </cell>
        </row>
        <row r="13">
          <cell r="K13">
            <v>25200</v>
          </cell>
        </row>
        <row r="14">
          <cell r="K14">
            <v>22201.185647927028</v>
          </cell>
        </row>
        <row r="15">
          <cell r="K15">
            <v>7798.8143520729718</v>
          </cell>
        </row>
        <row r="16">
          <cell r="K16">
            <v>46276</v>
          </cell>
        </row>
        <row r="17">
          <cell r="K17">
            <v>46395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L7000D80-Inaobi-NLoan1</v>
          </cell>
        </row>
        <row r="3">
          <cell r="K3" t="str">
            <v>Inaobi</v>
          </cell>
        </row>
        <row r="7">
          <cell r="K7">
            <v>7000</v>
          </cell>
        </row>
        <row r="9">
          <cell r="K9">
            <v>100</v>
          </cell>
        </row>
        <row r="10">
          <cell r="K10">
            <v>80</v>
          </cell>
        </row>
        <row r="12">
          <cell r="K12">
            <v>80</v>
          </cell>
        </row>
        <row r="13">
          <cell r="K13">
            <v>0</v>
          </cell>
        </row>
        <row r="14">
          <cell r="K14">
            <v>-1.2721557141048834E-10</v>
          </cell>
        </row>
        <row r="15">
          <cell r="K15">
            <v>7000.0000000001273</v>
          </cell>
        </row>
        <row r="16">
          <cell r="K16">
            <v>46175</v>
          </cell>
        </row>
        <row r="17">
          <cell r="K17">
            <v>46295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L18000D120-Renita-NLoan1</v>
          </cell>
        </row>
        <row r="3">
          <cell r="K3" t="str">
            <v>Renita</v>
          </cell>
        </row>
        <row r="7">
          <cell r="K7">
            <v>18000</v>
          </cell>
        </row>
        <row r="9">
          <cell r="K9">
            <v>180</v>
          </cell>
        </row>
        <row r="10">
          <cell r="K10">
            <v>120</v>
          </cell>
        </row>
        <row r="12">
          <cell r="K12">
            <v>34</v>
          </cell>
        </row>
        <row r="13">
          <cell r="K13">
            <v>15480</v>
          </cell>
        </row>
        <row r="14">
          <cell r="K14">
            <v>13561.971112790645</v>
          </cell>
        </row>
        <row r="15">
          <cell r="K15">
            <v>4438.0288872093552</v>
          </cell>
        </row>
        <row r="16">
          <cell r="K16">
            <v>46175</v>
          </cell>
        </row>
        <row r="17">
          <cell r="K17">
            <v>46295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</sheetNames>
    <sheetDataSet>
      <sheetData sheetId="0">
        <row r="2">
          <cell r="K2" t="str">
            <v>L18000D120-Romila-NLoan1</v>
          </cell>
        </row>
        <row r="3">
          <cell r="K3" t="str">
            <v>Romila</v>
          </cell>
        </row>
        <row r="7">
          <cell r="K7">
            <v>18000</v>
          </cell>
        </row>
        <row r="9">
          <cell r="K9">
            <v>180</v>
          </cell>
        </row>
        <row r="10">
          <cell r="K10">
            <v>120</v>
          </cell>
        </row>
        <row r="12">
          <cell r="K12">
            <v>31</v>
          </cell>
        </row>
        <row r="13">
          <cell r="K13">
            <v>16020</v>
          </cell>
        </row>
        <row r="14">
          <cell r="K14">
            <v>13972.706912542835</v>
          </cell>
        </row>
        <row r="15">
          <cell r="K15">
            <v>4027.2930874571648</v>
          </cell>
        </row>
        <row r="16">
          <cell r="K16">
            <v>46175</v>
          </cell>
        </row>
        <row r="17">
          <cell r="K17">
            <v>46295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209"/>
      <sheetName val="221"/>
    </sheetNames>
    <sheetDataSet>
      <sheetData sheetId="0">
        <row r="2">
          <cell r="K2" t="str">
            <v>L10000D120-Pratima-NLoan1</v>
          </cell>
        </row>
        <row r="3">
          <cell r="K3" t="str">
            <v>Pratima</v>
          </cell>
        </row>
        <row r="7">
          <cell r="K7">
            <v>10000</v>
          </cell>
        </row>
        <row r="9">
          <cell r="K9">
            <v>100</v>
          </cell>
        </row>
        <row r="10">
          <cell r="K10">
            <v>120</v>
          </cell>
        </row>
        <row r="12">
          <cell r="K12">
            <v>120</v>
          </cell>
        </row>
        <row r="13">
          <cell r="K13">
            <v>0</v>
          </cell>
        </row>
        <row r="14">
          <cell r="K14">
            <v>4.5272940951690543E-10</v>
          </cell>
        </row>
        <row r="15">
          <cell r="K15">
            <v>9999.9999999995471</v>
          </cell>
        </row>
        <row r="16">
          <cell r="K16">
            <v>46178</v>
          </cell>
        </row>
        <row r="17">
          <cell r="K17">
            <v>46298</v>
          </cell>
        </row>
      </sheetData>
      <sheetData sheetId="1">
        <row r="2">
          <cell r="K2" t="str">
            <v>L5000D60-Pratima-N209</v>
          </cell>
        </row>
        <row r="3">
          <cell r="K3" t="str">
            <v>Pratima</v>
          </cell>
        </row>
        <row r="7">
          <cell r="K7">
            <v>5000</v>
          </cell>
        </row>
        <row r="9">
          <cell r="K9">
            <v>100</v>
          </cell>
        </row>
        <row r="10">
          <cell r="K10">
            <v>60</v>
          </cell>
        </row>
        <row r="12">
          <cell r="K12">
            <v>60</v>
          </cell>
        </row>
        <row r="13">
          <cell r="K13">
            <v>0</v>
          </cell>
        </row>
        <row r="14">
          <cell r="K14">
            <v>-3.4034997042908799E-11</v>
          </cell>
        </row>
        <row r="15">
          <cell r="K15">
            <v>5000.0000000000337</v>
          </cell>
        </row>
        <row r="16">
          <cell r="K16">
            <v>46246</v>
          </cell>
        </row>
        <row r="17">
          <cell r="K17">
            <v>46366</v>
          </cell>
        </row>
      </sheetData>
      <sheetData sheetId="2">
        <row r="2">
          <cell r="K2" t="str">
            <v>L20000D120-Pratima-N221</v>
          </cell>
        </row>
        <row r="3">
          <cell r="K3" t="str">
            <v>Pratima</v>
          </cell>
        </row>
        <row r="7">
          <cell r="K7">
            <v>20000</v>
          </cell>
        </row>
        <row r="9">
          <cell r="K9">
            <v>200</v>
          </cell>
        </row>
        <row r="10">
          <cell r="K10">
            <v>120</v>
          </cell>
        </row>
        <row r="12">
          <cell r="K12">
            <v>32</v>
          </cell>
        </row>
        <row r="13">
          <cell r="K13">
            <v>17600</v>
          </cell>
        </row>
        <row r="14">
          <cell r="K14">
            <v>15373.578293496203</v>
          </cell>
        </row>
        <row r="15">
          <cell r="K15">
            <v>4626.4217065037974</v>
          </cell>
        </row>
        <row r="16">
          <cell r="K16">
            <v>46273</v>
          </cell>
        </row>
        <row r="17">
          <cell r="K17">
            <v>46393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1"/>
      <sheetName val="228"/>
    </sheetNames>
    <sheetDataSet>
      <sheetData sheetId="0">
        <row r="2">
          <cell r="K2" t="str">
            <v>L20000W17-L_Gomti-NLoan1</v>
          </cell>
        </row>
        <row r="3">
          <cell r="K3" t="str">
            <v>L_Gomti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46185</v>
          </cell>
        </row>
        <row r="17">
          <cell r="K17">
            <v>46304</v>
          </cell>
        </row>
      </sheetData>
      <sheetData sheetId="1">
        <row r="2">
          <cell r="K2" t="str">
            <v>L30000W17-L_Gomti-N228</v>
          </cell>
        </row>
        <row r="3">
          <cell r="K3" t="str">
            <v>L_Gomti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2</v>
          </cell>
        </row>
        <row r="13">
          <cell r="K13">
            <v>31500</v>
          </cell>
        </row>
        <row r="14">
          <cell r="K14">
            <v>26973.047398654715</v>
          </cell>
        </row>
        <row r="15">
          <cell r="K15">
            <v>3026.9526013452851</v>
          </cell>
        </row>
        <row r="16">
          <cell r="K16">
            <v>46297</v>
          </cell>
        </row>
        <row r="17">
          <cell r="K17">
            <v>46416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7"/>
    </sheetNames>
    <sheetDataSet>
      <sheetData sheetId="0">
        <row r="2">
          <cell r="K2" t="str">
            <v>L10000W17-Reena-N187</v>
          </cell>
        </row>
        <row r="3">
          <cell r="K3" t="str">
            <v>Reena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4.5668002712773159E-10</v>
          </cell>
        </row>
        <row r="15">
          <cell r="K15">
            <v>9999.9999999995434</v>
          </cell>
        </row>
        <row r="16">
          <cell r="K16">
            <v>46190</v>
          </cell>
        </row>
        <row r="17">
          <cell r="K17">
            <v>46309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1"/>
      <sheetName val="232"/>
    </sheetNames>
    <sheetDataSet>
      <sheetData sheetId="0">
        <row r="2">
          <cell r="K2" t="str">
            <v>L30000W17-A_Ranita-N191</v>
          </cell>
        </row>
        <row r="3">
          <cell r="K3" t="str">
            <v>A_Ranita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1.2778400559909642E-9</v>
          </cell>
        </row>
        <row r="15">
          <cell r="K15">
            <v>29999.999999998723</v>
          </cell>
        </row>
        <row r="16">
          <cell r="K16">
            <v>46201</v>
          </cell>
        </row>
        <row r="17">
          <cell r="K17">
            <v>46320</v>
          </cell>
        </row>
      </sheetData>
      <sheetData sheetId="1">
        <row r="2">
          <cell r="K2" t="str">
            <v>L30000W17-A_Ranita-N232</v>
          </cell>
        </row>
        <row r="3">
          <cell r="K3" t="str">
            <v>A_Ranita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0</v>
          </cell>
        </row>
        <row r="13">
          <cell r="K13">
            <v>35700</v>
          </cell>
        </row>
        <row r="14">
          <cell r="K14">
            <v>35700</v>
          </cell>
        </row>
        <row r="15">
          <cell r="K15">
            <v>0</v>
          </cell>
        </row>
        <row r="16">
          <cell r="K16" t="str">
            <v>Saturday</v>
          </cell>
        </row>
        <row r="17">
          <cell r="K17" t="str">
            <v/>
          </cell>
        </row>
        <row r="18">
          <cell r="K18" t="str">
            <v/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2"/>
    </sheetNames>
    <sheetDataSet>
      <sheetData sheetId="0">
        <row r="2">
          <cell r="K2" t="str">
            <v>L10000W17-Th_Memcha-N192</v>
          </cell>
        </row>
        <row r="3">
          <cell r="K3" t="str">
            <v>Th_Memcha</v>
          </cell>
        </row>
        <row r="7">
          <cell r="K7">
            <v>10000</v>
          </cell>
        </row>
        <row r="9">
          <cell r="K9">
            <v>700</v>
          </cell>
        </row>
        <row r="10">
          <cell r="K10">
            <v>17</v>
          </cell>
        </row>
        <row r="12">
          <cell r="K12">
            <v>15</v>
          </cell>
        </row>
        <row r="13">
          <cell r="K13">
            <v>1400</v>
          </cell>
        </row>
        <row r="14">
          <cell r="K14">
            <v>1358.9899483407528</v>
          </cell>
        </row>
        <row r="15">
          <cell r="K15">
            <v>8641.0100516592465</v>
          </cell>
        </row>
        <row r="16">
          <cell r="K16">
            <v>46206</v>
          </cell>
        </row>
        <row r="17">
          <cell r="K17">
            <v>46325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3"/>
      <sheetName val="231"/>
    </sheetNames>
    <sheetDataSet>
      <sheetData sheetId="0">
        <row r="2">
          <cell r="K2" t="str">
            <v>L20000W17-Y_Seema-N193</v>
          </cell>
        </row>
        <row r="3">
          <cell r="K3" t="str">
            <v>Y_Seema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46204</v>
          </cell>
        </row>
        <row r="17">
          <cell r="K17">
            <v>46323</v>
          </cell>
        </row>
      </sheetData>
      <sheetData sheetId="1">
        <row r="2">
          <cell r="K2" t="str">
            <v>L30000W17-Y_Seema-N231</v>
          </cell>
        </row>
        <row r="3">
          <cell r="K3" t="str">
            <v>Y_Seema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1</v>
          </cell>
        </row>
        <row r="13">
          <cell r="K13">
            <v>33600</v>
          </cell>
        </row>
        <row r="14">
          <cell r="K14">
            <v>28501.546862383388</v>
          </cell>
        </row>
        <row r="15">
          <cell r="K15">
            <v>1498.4531376166124</v>
          </cell>
        </row>
        <row r="16">
          <cell r="K16" t="str">
            <v>Saturday</v>
          </cell>
        </row>
        <row r="18">
          <cell r="K18">
            <v>119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4"/>
      <sheetName val="229"/>
    </sheetNames>
    <sheetDataSet>
      <sheetData sheetId="0">
        <row r="2">
          <cell r="K2" t="str">
            <v>L20000W17-Salam_Echal-N194</v>
          </cell>
        </row>
        <row r="3">
          <cell r="K3" t="str">
            <v>Salam_Echal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17</v>
          </cell>
        </row>
        <row r="13">
          <cell r="K13">
            <v>0</v>
          </cell>
        </row>
        <row r="14">
          <cell r="K14">
            <v>9.1336005425546318E-10</v>
          </cell>
        </row>
        <row r="15">
          <cell r="K15">
            <v>19999.999999999087</v>
          </cell>
        </row>
        <row r="16">
          <cell r="K16">
            <v>46202</v>
          </cell>
        </row>
        <row r="17">
          <cell r="K17">
            <v>46321</v>
          </cell>
        </row>
      </sheetData>
      <sheetData sheetId="1">
        <row r="2">
          <cell r="K2" t="str">
            <v>L30000W17-Salam_Echal-N229</v>
          </cell>
        </row>
        <row r="3">
          <cell r="K3" t="str">
            <v>Salam_Echal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2</v>
          </cell>
        </row>
        <row r="13">
          <cell r="K13">
            <v>31500</v>
          </cell>
        </row>
        <row r="14">
          <cell r="K14">
            <v>26973.047398654715</v>
          </cell>
        </row>
        <row r="15">
          <cell r="K15">
            <v>3026.9526013452851</v>
          </cell>
        </row>
        <row r="16">
          <cell r="K16">
            <v>46300</v>
          </cell>
        </row>
        <row r="17">
          <cell r="K17">
            <v>46419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5"/>
    </sheetNames>
    <sheetDataSet>
      <sheetData sheetId="0">
        <row r="2">
          <cell r="K2" t="str">
            <v>L100000W17-Khurai_Ahongei_Group-N195</v>
          </cell>
        </row>
        <row r="3">
          <cell r="K3" t="str">
            <v>Khurai_Ahongei_Group</v>
          </cell>
        </row>
        <row r="7">
          <cell r="K7">
            <v>100000</v>
          </cell>
        </row>
        <row r="9">
          <cell r="K9">
            <v>7000</v>
          </cell>
        </row>
        <row r="10">
          <cell r="K10">
            <v>17</v>
          </cell>
        </row>
        <row r="12">
          <cell r="K12">
            <v>12</v>
          </cell>
        </row>
        <row r="13">
          <cell r="K13">
            <v>35000</v>
          </cell>
        </row>
        <row r="14">
          <cell r="K14">
            <v>32989.279506403145</v>
          </cell>
        </row>
        <row r="15">
          <cell r="K15">
            <v>67010.720493596862</v>
          </cell>
        </row>
        <row r="16">
          <cell r="K16">
            <v>46230</v>
          </cell>
        </row>
        <row r="17">
          <cell r="K17">
            <v>46349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"/>
    </sheetNames>
    <sheetDataSet>
      <sheetData sheetId="0">
        <row r="2">
          <cell r="K2" t="str">
            <v>L60000W17-Kakwa_Lamdaibung-N202</v>
          </cell>
        </row>
        <row r="3">
          <cell r="K3" t="str">
            <v>Kakwa_Lamdaibung</v>
          </cell>
        </row>
        <row r="7">
          <cell r="K7">
            <v>60000</v>
          </cell>
        </row>
        <row r="9">
          <cell r="K9">
            <v>4200</v>
          </cell>
        </row>
        <row r="10">
          <cell r="K10">
            <v>17</v>
          </cell>
        </row>
        <row r="12">
          <cell r="K12">
            <v>11</v>
          </cell>
        </row>
        <row r="13">
          <cell r="K13">
            <v>25200</v>
          </cell>
        </row>
        <row r="14">
          <cell r="K14">
            <v>23521.916534228407</v>
          </cell>
        </row>
        <row r="15">
          <cell r="K15">
            <v>36478.08346577159</v>
          </cell>
        </row>
        <row r="16">
          <cell r="K16">
            <v>46232</v>
          </cell>
        </row>
        <row r="17">
          <cell r="K17">
            <v>46351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3"/>
    </sheetNames>
    <sheetDataSet>
      <sheetData sheetId="0">
        <row r="2">
          <cell r="K2" t="str">
            <v>L20000W17-Muktasana-N203</v>
          </cell>
        </row>
        <row r="3">
          <cell r="K3" t="str">
            <v>Muktasana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11</v>
          </cell>
        </row>
        <row r="13">
          <cell r="K13">
            <v>8400</v>
          </cell>
        </row>
        <row r="14">
          <cell r="K14">
            <v>7840.638844742849</v>
          </cell>
        </row>
        <row r="15">
          <cell r="K15">
            <v>12159.361155257151</v>
          </cell>
        </row>
        <row r="16">
          <cell r="K16">
            <v>46234</v>
          </cell>
        </row>
        <row r="17">
          <cell r="K17">
            <v>46353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5"/>
    </sheetNames>
    <sheetDataSet>
      <sheetData sheetId="0">
        <row r="2">
          <cell r="K2" t="str">
            <v>L100000W17-Sunita_Group-N205</v>
          </cell>
        </row>
        <row r="3">
          <cell r="K3" t="str">
            <v>Sunita_Group</v>
          </cell>
        </row>
        <row r="7">
          <cell r="K7">
            <v>100000</v>
          </cell>
        </row>
        <row r="9">
          <cell r="K9">
            <v>7000</v>
          </cell>
        </row>
        <row r="10">
          <cell r="K10">
            <v>17</v>
          </cell>
        </row>
        <row r="12">
          <cell r="K12">
            <v>10</v>
          </cell>
        </row>
        <row r="13">
          <cell r="K13">
            <v>49000</v>
          </cell>
        </row>
        <row r="14">
          <cell r="K14">
            <v>45294.959530796019</v>
          </cell>
        </row>
        <row r="15">
          <cell r="K15">
            <v>54705.040469203981</v>
          </cell>
        </row>
        <row r="16">
          <cell r="K16">
            <v>46244</v>
          </cell>
        </row>
        <row r="17">
          <cell r="K17">
            <v>46363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"/>
    </sheetNames>
    <sheetDataSet>
      <sheetData sheetId="0">
        <row r="2">
          <cell r="K2" t="str">
            <v>L20000D80-Shantibala-N207</v>
          </cell>
        </row>
        <row r="3">
          <cell r="K3" t="str">
            <v>Shantibala</v>
          </cell>
        </row>
        <row r="7">
          <cell r="K7">
            <v>20000</v>
          </cell>
        </row>
        <row r="9">
          <cell r="K9">
            <v>300</v>
          </cell>
        </row>
        <row r="10">
          <cell r="K10">
            <v>80</v>
          </cell>
        </row>
        <row r="12">
          <cell r="K12">
            <v>35</v>
          </cell>
        </row>
        <row r="13">
          <cell r="K13">
            <v>13500</v>
          </cell>
        </row>
        <row r="14">
          <cell r="K14">
            <v>12154.574982735843</v>
          </cell>
        </row>
        <row r="15">
          <cell r="K15">
            <v>7845.4250172641568</v>
          </cell>
        </row>
        <row r="16">
          <cell r="K16">
            <v>46242</v>
          </cell>
        </row>
        <row r="17">
          <cell r="K17">
            <v>46362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8"/>
    </sheetNames>
    <sheetDataSet>
      <sheetData sheetId="0">
        <row r="2">
          <cell r="K2" t="str">
            <v>L20000W17-Wangkheimayum_Thoibisana-N208</v>
          </cell>
        </row>
        <row r="3">
          <cell r="K3" t="str">
            <v>Wangkheimayum_Thoibisana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6</v>
          </cell>
        </row>
        <row r="13">
          <cell r="K13">
            <v>15400</v>
          </cell>
        </row>
        <row r="14">
          <cell r="K14">
            <v>13697.569400122526</v>
          </cell>
        </row>
        <row r="15">
          <cell r="K15">
            <v>6302.4305998774744</v>
          </cell>
        </row>
        <row r="16">
          <cell r="K16">
            <v>46248</v>
          </cell>
        </row>
        <row r="17">
          <cell r="K17">
            <v>46367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1"/>
    </sheetNames>
    <sheetDataSet>
      <sheetData sheetId="0">
        <row r="2">
          <cell r="K2" t="str">
            <v>L20000W17-Salam_Anjala-N211</v>
          </cell>
        </row>
        <row r="3">
          <cell r="K3" t="str">
            <v>Salam_Anjala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8</v>
          </cell>
        </row>
        <row r="13">
          <cell r="K13">
            <v>12600</v>
          </cell>
        </row>
        <row r="14">
          <cell r="K14">
            <v>11424.319854722999</v>
          </cell>
        </row>
        <row r="15">
          <cell r="K15">
            <v>8575.6801452770014</v>
          </cell>
        </row>
        <row r="16">
          <cell r="K16">
            <v>46258</v>
          </cell>
        </row>
        <row r="17">
          <cell r="K17">
            <v>46377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"/>
    </sheetNames>
    <sheetDataSet>
      <sheetData sheetId="0">
        <row r="2">
          <cell r="K2" t="str">
            <v>L20000W17-Konsam_Ranjana-N212</v>
          </cell>
        </row>
        <row r="3">
          <cell r="K3" t="str">
            <v>Konsam_Ranjana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8</v>
          </cell>
        </row>
        <row r="13">
          <cell r="K13">
            <v>12600</v>
          </cell>
        </row>
        <row r="14">
          <cell r="K14">
            <v>11424.319854722999</v>
          </cell>
        </row>
        <row r="15">
          <cell r="K15">
            <v>8575.6801452770014</v>
          </cell>
        </row>
        <row r="16">
          <cell r="K16">
            <v>46258</v>
          </cell>
        </row>
        <row r="17">
          <cell r="K17">
            <v>46377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4"/>
    </sheetNames>
    <sheetDataSet>
      <sheetData sheetId="0">
        <row r="2">
          <cell r="K2" t="str">
            <v>L20000W17-Yumnam_Baby-N214</v>
          </cell>
        </row>
        <row r="3">
          <cell r="K3" t="str">
            <v>Yumnam_Baby</v>
          </cell>
        </row>
        <row r="7">
          <cell r="K7">
            <v>20000</v>
          </cell>
        </row>
        <row r="9">
          <cell r="K9">
            <v>1400</v>
          </cell>
        </row>
        <row r="10">
          <cell r="K10">
            <v>17</v>
          </cell>
        </row>
        <row r="12">
          <cell r="K12">
            <v>7</v>
          </cell>
        </row>
        <row r="13">
          <cell r="K13">
            <v>14000</v>
          </cell>
        </row>
        <row r="14">
          <cell r="K14">
            <v>12572.227063286609</v>
          </cell>
        </row>
        <row r="15">
          <cell r="K15">
            <v>7427.7729367133907</v>
          </cell>
        </row>
        <row r="16">
          <cell r="K16">
            <v>46265</v>
          </cell>
        </row>
        <row r="17">
          <cell r="K17">
            <v>46384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5"/>
    </sheetNames>
    <sheetDataSet>
      <sheetData sheetId="0">
        <row r="2">
          <cell r="K2" t="str">
            <v>L20000D80-Thongam_Deme-N215</v>
          </cell>
        </row>
        <row r="3">
          <cell r="K3" t="str">
            <v>Thongam_Deme</v>
          </cell>
        </row>
        <row r="7">
          <cell r="K7">
            <v>20000</v>
          </cell>
        </row>
        <row r="9">
          <cell r="K9">
            <v>300</v>
          </cell>
        </row>
        <row r="10">
          <cell r="K10">
            <v>80</v>
          </cell>
        </row>
        <row r="12">
          <cell r="K12">
            <v>45</v>
          </cell>
        </row>
        <row r="13">
          <cell r="K13">
            <v>10500</v>
          </cell>
        </row>
        <row r="14">
          <cell r="K14">
            <v>9668.66908863153</v>
          </cell>
        </row>
        <row r="15">
          <cell r="K15">
            <v>10331.33091136847</v>
          </cell>
        </row>
        <row r="16">
          <cell r="K16">
            <v>46259</v>
          </cell>
        </row>
        <row r="17">
          <cell r="K17">
            <v>46379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7"/>
    </sheetNames>
    <sheetDataSet>
      <sheetData sheetId="0">
        <row r="2">
          <cell r="K2" t="str">
            <v>L30000W17-Guni-N217</v>
          </cell>
        </row>
        <row r="3">
          <cell r="K3" t="str">
            <v>Guni</v>
          </cell>
        </row>
        <row r="7">
          <cell r="K7">
            <v>30000</v>
          </cell>
        </row>
        <row r="9">
          <cell r="K9">
            <v>2100</v>
          </cell>
        </row>
        <row r="10">
          <cell r="K10">
            <v>17</v>
          </cell>
        </row>
        <row r="12">
          <cell r="K12">
            <v>6</v>
          </cell>
        </row>
        <row r="13">
          <cell r="K13">
            <v>23100</v>
          </cell>
        </row>
        <row r="14">
          <cell r="K14">
            <v>20546.354100183748</v>
          </cell>
        </row>
        <row r="15">
          <cell r="K15">
            <v>9453.6458998162525</v>
          </cell>
        </row>
        <row r="16">
          <cell r="K16">
            <v>46269</v>
          </cell>
        </row>
        <row r="17">
          <cell r="K17">
            <v>46388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0"/>
    </sheetNames>
    <sheetDataSet>
      <sheetData sheetId="0">
        <row r="2">
          <cell r="K2" t="str">
            <v>L5000W17-Ashalata-N220</v>
          </cell>
        </row>
        <row r="3">
          <cell r="K3" t="str">
            <v>Ashalata</v>
          </cell>
        </row>
        <row r="7">
          <cell r="K7">
            <v>5000</v>
          </cell>
        </row>
        <row r="9">
          <cell r="K9">
            <v>350</v>
          </cell>
        </row>
        <row r="10">
          <cell r="K10">
            <v>17</v>
          </cell>
        </row>
        <row r="12">
          <cell r="K12">
            <v>5</v>
          </cell>
        </row>
        <row r="13">
          <cell r="K13">
            <v>4200</v>
          </cell>
        </row>
        <row r="14">
          <cell r="K14">
            <v>3700.1976079878436</v>
          </cell>
        </row>
        <row r="15">
          <cell r="K15">
            <v>1299.8023920121564</v>
          </cell>
        </row>
        <row r="16">
          <cell r="K16">
            <v>46276</v>
          </cell>
        </row>
        <row r="17">
          <cell r="K17">
            <v>46395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2"/>
    </sheetNames>
    <sheetDataSet>
      <sheetData sheetId="0">
        <row r="2">
          <cell r="K2" t="str">
            <v>L10000D80-Memi-N222</v>
          </cell>
        </row>
        <row r="3">
          <cell r="K3" t="str">
            <v>Memi</v>
          </cell>
        </row>
        <row r="7">
          <cell r="K7">
            <v>10000</v>
          </cell>
        </row>
        <row r="9">
          <cell r="K9">
            <v>150</v>
          </cell>
        </row>
        <row r="10">
          <cell r="K10">
            <v>80</v>
          </cell>
        </row>
        <row r="12">
          <cell r="K12">
            <v>20</v>
          </cell>
        </row>
        <row r="13">
          <cell r="K13">
            <v>9000</v>
          </cell>
        </row>
        <row r="14">
          <cell r="K14">
            <v>7836.7755494887006</v>
          </cell>
        </row>
        <row r="15">
          <cell r="K15">
            <v>2163.2244505112994</v>
          </cell>
        </row>
        <row r="16">
          <cell r="K16">
            <v>46273</v>
          </cell>
        </row>
        <row r="17">
          <cell r="K17">
            <v>46393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3"/>
    </sheetNames>
    <sheetDataSet>
      <sheetData sheetId="0">
        <row r="2">
          <cell r="K2" t="str">
            <v>L60000W17-Chongtham_LeikaiGr-N223</v>
          </cell>
        </row>
        <row r="3">
          <cell r="K3" t="str">
            <v>Chongtham_LeikaiGr</v>
          </cell>
        </row>
        <row r="7">
          <cell r="K7">
            <v>60000</v>
          </cell>
        </row>
        <row r="9">
          <cell r="K9">
            <v>4200</v>
          </cell>
        </row>
        <row r="10">
          <cell r="K10">
            <v>17</v>
          </cell>
        </row>
        <row r="12">
          <cell r="K12">
            <v>4</v>
          </cell>
        </row>
        <row r="13">
          <cell r="K13">
            <v>54600</v>
          </cell>
        </row>
        <row r="14">
          <cell r="K14">
            <v>47646.975018375277</v>
          </cell>
        </row>
        <row r="15">
          <cell r="K15">
            <v>12353.024981624723</v>
          </cell>
        </row>
        <row r="16">
          <cell r="K16">
            <v>46281</v>
          </cell>
        </row>
        <row r="17">
          <cell r="K17">
            <v>46400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7"/>
    </sheetNames>
    <sheetDataSet>
      <sheetData sheetId="0">
        <row r="2">
          <cell r="K2" t="str">
            <v>L10000D120-Tina_devi-N227</v>
          </cell>
        </row>
        <row r="3">
          <cell r="K3" t="str">
            <v>Tina_devi</v>
          </cell>
        </row>
        <row r="7">
          <cell r="K7">
            <v>10000</v>
          </cell>
        </row>
        <row r="9">
          <cell r="K9">
            <v>100</v>
          </cell>
        </row>
        <row r="10">
          <cell r="K10">
            <v>120</v>
          </cell>
        </row>
        <row r="12">
          <cell r="K12">
            <v>17</v>
          </cell>
        </row>
        <row r="13">
          <cell r="K13">
            <v>10300</v>
          </cell>
        </row>
        <row r="14">
          <cell r="K14">
            <v>8799.7884212336685</v>
          </cell>
        </row>
        <row r="15">
          <cell r="K15">
            <v>1200.2115787663315</v>
          </cell>
        </row>
        <row r="16">
          <cell r="K16">
            <v>46291</v>
          </cell>
        </row>
        <row r="17">
          <cell r="K17">
            <v>46411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ositors"/>
      <sheetName val="FinancingJournal"/>
      <sheetName val="InvestingJournal"/>
      <sheetName val="list"/>
    </sheetNames>
    <sheetDataSet>
      <sheetData sheetId="0"/>
      <sheetData sheetId="1">
        <row r="1">
          <cell r="A1" t="str">
            <v>Date</v>
          </cell>
          <cell r="C1" t="str">
            <v>Sub‑Category</v>
          </cell>
          <cell r="E1" t="str">
            <v>Debit</v>
          </cell>
        </row>
        <row r="2">
          <cell r="A2">
            <v>45180</v>
          </cell>
          <cell r="C2" t="str">
            <v>Capital Injection</v>
          </cell>
          <cell r="E2">
            <v>17500</v>
          </cell>
        </row>
        <row r="3">
          <cell r="A3">
            <v>45180</v>
          </cell>
          <cell r="C3" t="str">
            <v>Capital Injection</v>
          </cell>
          <cell r="E3">
            <v>17380</v>
          </cell>
        </row>
        <row r="4">
          <cell r="A4">
            <v>45256</v>
          </cell>
          <cell r="C4" t="str">
            <v>Capital Injection</v>
          </cell>
          <cell r="E4">
            <v>10000</v>
          </cell>
        </row>
        <row r="5">
          <cell r="A5">
            <v>45272</v>
          </cell>
          <cell r="C5" t="str">
            <v>Capital Injection</v>
          </cell>
          <cell r="E5">
            <v>35000</v>
          </cell>
        </row>
        <row r="6">
          <cell r="A6">
            <v>45274</v>
          </cell>
          <cell r="C6" t="str">
            <v>Capital Injection</v>
          </cell>
          <cell r="E6">
            <v>15000</v>
          </cell>
        </row>
        <row r="7">
          <cell r="A7">
            <v>45275</v>
          </cell>
          <cell r="C7" t="str">
            <v>Capital Injection</v>
          </cell>
          <cell r="E7">
            <v>40000</v>
          </cell>
        </row>
        <row r="8">
          <cell r="A8">
            <v>45278</v>
          </cell>
          <cell r="C8" t="str">
            <v>Capital Injection</v>
          </cell>
          <cell r="E8">
            <v>15000</v>
          </cell>
        </row>
        <row r="9">
          <cell r="A9">
            <v>45283</v>
          </cell>
          <cell r="C9" t="str">
            <v>Capital Injection</v>
          </cell>
          <cell r="E9">
            <v>10000</v>
          </cell>
        </row>
        <row r="10">
          <cell r="A10">
            <v>45322</v>
          </cell>
          <cell r="C10" t="str">
            <v>Capital Injection</v>
          </cell>
          <cell r="E10">
            <v>1500</v>
          </cell>
        </row>
        <row r="11">
          <cell r="A11">
            <v>45336</v>
          </cell>
          <cell r="C11" t="str">
            <v>Capital Injection</v>
          </cell>
          <cell r="E11">
            <v>12000</v>
          </cell>
        </row>
        <row r="12">
          <cell r="A12">
            <v>45368</v>
          </cell>
          <cell r="C12" t="str">
            <v>Capital Injection</v>
          </cell>
          <cell r="E12">
            <v>5000</v>
          </cell>
        </row>
        <row r="13">
          <cell r="A13">
            <v>45466</v>
          </cell>
          <cell r="C13" t="str">
            <v>Capital Injection</v>
          </cell>
          <cell r="E13">
            <v>10000</v>
          </cell>
        </row>
        <row r="14">
          <cell r="A14">
            <v>45647</v>
          </cell>
          <cell r="C14" t="str">
            <v>Borrowing</v>
          </cell>
          <cell r="E14">
            <v>10200</v>
          </cell>
        </row>
        <row r="15">
          <cell r="A15">
            <v>45647</v>
          </cell>
          <cell r="C15" t="str">
            <v>Borrowing</v>
          </cell>
          <cell r="E15">
            <v>10000</v>
          </cell>
        </row>
        <row r="16">
          <cell r="A16">
            <v>46123</v>
          </cell>
          <cell r="C16" t="str">
            <v>Borrowing</v>
          </cell>
          <cell r="E16">
            <v>80000</v>
          </cell>
        </row>
        <row r="17">
          <cell r="A17">
            <v>46194</v>
          </cell>
          <cell r="C17" t="str">
            <v>Borrowing</v>
          </cell>
          <cell r="E17">
            <v>30000</v>
          </cell>
        </row>
        <row r="18">
          <cell r="A18">
            <v>46194</v>
          </cell>
          <cell r="C18" t="str">
            <v>Borrowing</v>
          </cell>
          <cell r="E18">
            <v>8000</v>
          </cell>
        </row>
        <row r="19">
          <cell r="A19">
            <v>46202</v>
          </cell>
          <cell r="C19" t="str">
            <v>Borrowing</v>
          </cell>
          <cell r="E19">
            <v>160000</v>
          </cell>
        </row>
        <row r="20">
          <cell r="A20">
            <v>46222</v>
          </cell>
          <cell r="C20" t="str">
            <v>Borrowing</v>
          </cell>
          <cell r="E20">
            <v>92500</v>
          </cell>
        </row>
        <row r="21">
          <cell r="A21">
            <v>46225</v>
          </cell>
          <cell r="C21" t="str">
            <v>Withdrawal</v>
          </cell>
          <cell r="E21">
            <v>-30000</v>
          </cell>
        </row>
        <row r="22">
          <cell r="A22">
            <v>46225</v>
          </cell>
          <cell r="C22" t="str">
            <v>Borrowing</v>
          </cell>
          <cell r="E22">
            <v>89800</v>
          </cell>
        </row>
        <row r="23">
          <cell r="A23">
            <v>46234</v>
          </cell>
          <cell r="C23" t="str">
            <v>Borrowing</v>
          </cell>
          <cell r="E23">
            <v>20000</v>
          </cell>
        </row>
        <row r="24">
          <cell r="A24">
            <v>46234</v>
          </cell>
          <cell r="C24" t="str">
            <v>Borrowing</v>
          </cell>
          <cell r="E24">
            <v>3000</v>
          </cell>
        </row>
        <row r="25">
          <cell r="A25">
            <v>46236</v>
          </cell>
          <cell r="C25" t="str">
            <v>Borrowing</v>
          </cell>
          <cell r="E25">
            <v>50000</v>
          </cell>
        </row>
        <row r="26">
          <cell r="A26">
            <v>46248</v>
          </cell>
          <cell r="C26" t="str">
            <v>Borrowing</v>
          </cell>
          <cell r="E26">
            <v>10000</v>
          </cell>
        </row>
        <row r="27">
          <cell r="A27">
            <v>46262</v>
          </cell>
          <cell r="C27" t="str">
            <v>Borrowing</v>
          </cell>
          <cell r="E27">
            <v>7000</v>
          </cell>
        </row>
        <row r="28">
          <cell r="A28">
            <v>46262</v>
          </cell>
          <cell r="C28" t="str">
            <v>Borrowing</v>
          </cell>
          <cell r="E28">
            <v>4230</v>
          </cell>
        </row>
        <row r="32">
          <cell r="E32">
            <v>733110</v>
          </cell>
        </row>
      </sheetData>
      <sheetData sheetId="2">
        <row r="1">
          <cell r="A1" t="str">
            <v>Date</v>
          </cell>
          <cell r="C1" t="str">
            <v>Sub‑Category</v>
          </cell>
          <cell r="F1" t="str">
            <v>Credit</v>
          </cell>
        </row>
        <row r="2">
          <cell r="A2">
            <v>45473</v>
          </cell>
          <cell r="C2" t="str">
            <v>Izra Advance</v>
          </cell>
          <cell r="F2">
            <v>60000</v>
          </cell>
        </row>
        <row r="3">
          <cell r="A3">
            <v>46033</v>
          </cell>
          <cell r="C3" t="str">
            <v>Izra Advance</v>
          </cell>
          <cell r="F3">
            <v>45350</v>
          </cell>
        </row>
        <row r="4">
          <cell r="A4">
            <v>45853</v>
          </cell>
          <cell r="C4" t="str">
            <v>Loan Advance</v>
          </cell>
          <cell r="F4">
            <v>300000</v>
          </cell>
        </row>
        <row r="5">
          <cell r="A5">
            <v>45853</v>
          </cell>
          <cell r="C5" t="str">
            <v>Loan Advance</v>
          </cell>
          <cell r="F5">
            <v>120000</v>
          </cell>
        </row>
        <row r="6">
          <cell r="A6">
            <v>46066</v>
          </cell>
          <cell r="C6" t="str">
            <v>Loan Advance</v>
          </cell>
          <cell r="F6">
            <v>190000</v>
          </cell>
        </row>
        <row r="7">
          <cell r="A7">
            <v>46112</v>
          </cell>
          <cell r="C7" t="str">
            <v>Loan Advance</v>
          </cell>
          <cell r="F7">
            <v>10000</v>
          </cell>
        </row>
        <row r="8">
          <cell r="A8">
            <v>46157</v>
          </cell>
          <cell r="C8" t="str">
            <v>Loan Advance</v>
          </cell>
          <cell r="F8">
            <v>10000</v>
          </cell>
        </row>
        <row r="9">
          <cell r="A9">
            <v>46225</v>
          </cell>
          <cell r="C9" t="str">
            <v>Izra Advance</v>
          </cell>
          <cell r="F9">
            <v>14650</v>
          </cell>
        </row>
        <row r="10">
          <cell r="A10">
            <v>46234</v>
          </cell>
          <cell r="C10" t="str">
            <v>Investment to Unit</v>
          </cell>
          <cell r="F10">
            <v>14000</v>
          </cell>
        </row>
        <row r="11">
          <cell r="A11">
            <v>46239</v>
          </cell>
          <cell r="C11" t="str">
            <v>Investment to Unit</v>
          </cell>
          <cell r="F11">
            <v>3000</v>
          </cell>
        </row>
        <row r="17">
          <cell r="A17" t="str">
            <v>TOTAL</v>
          </cell>
          <cell r="F17">
            <v>767000</v>
          </cell>
        </row>
      </sheetData>
      <sheetData sheetId="3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0"/>
    </sheetNames>
    <sheetDataSet>
      <sheetData sheetId="0">
        <row r="2">
          <cell r="K2" t="str">
            <v>L60000W17-Moirangkhom_Group-N230</v>
          </cell>
        </row>
        <row r="3">
          <cell r="K3" t="str">
            <v>Moirangkhom_Group</v>
          </cell>
        </row>
        <row r="7">
          <cell r="K7">
            <v>60000</v>
          </cell>
        </row>
        <row r="9">
          <cell r="K9">
            <v>4200</v>
          </cell>
        </row>
        <row r="10">
          <cell r="K10">
            <v>17</v>
          </cell>
        </row>
        <row r="12">
          <cell r="K12">
            <v>1</v>
          </cell>
        </row>
        <row r="13">
          <cell r="K13">
            <v>67200</v>
          </cell>
        </row>
        <row r="14">
          <cell r="K14">
            <v>57003.093724766775</v>
          </cell>
        </row>
        <row r="15">
          <cell r="K15">
            <v>2996.9062752332247</v>
          </cell>
        </row>
        <row r="16">
          <cell r="K16" t="str">
            <v>Saturday</v>
          </cell>
        </row>
        <row r="17">
          <cell r="K17">
            <v>46305</v>
          </cell>
        </row>
        <row r="18">
          <cell r="K18">
            <v>46424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74"/>
  <sheetViews>
    <sheetView zoomScale="85" zoomScaleNormal="85" workbookViewId="0">
      <pane xSplit="1" ySplit="4" topLeftCell="B68" activePane="bottomRight" state="frozen"/>
      <selection pane="topRight" activeCell="C1" sqref="C1"/>
      <selection pane="bottomLeft" activeCell="A5" sqref="A5"/>
      <selection pane="bottomRight" activeCell="K1" sqref="K1:L2"/>
    </sheetView>
  </sheetViews>
  <sheetFormatPr defaultRowHeight="17.25" x14ac:dyDescent="0.3"/>
  <cols>
    <col min="1" max="1" width="5" style="1" customWidth="1"/>
    <col min="2" max="2" width="20.5703125" style="1" customWidth="1"/>
    <col min="3" max="3" width="8.7109375" style="7" customWidth="1"/>
    <col min="4" max="4" width="20.85546875" style="1" customWidth="1"/>
    <col min="5" max="5" width="13.140625" style="1" customWidth="1"/>
    <col min="6" max="6" width="8.85546875" style="1" customWidth="1"/>
    <col min="7" max="7" width="8.7109375" style="1" customWidth="1"/>
    <col min="8" max="9" width="9.28515625" style="1" customWidth="1"/>
    <col min="10" max="12" width="16.42578125" style="1" customWidth="1"/>
    <col min="13" max="13" width="13" style="1" customWidth="1"/>
    <col min="14" max="14" width="13.85546875" style="1" customWidth="1"/>
    <col min="15" max="15" width="15.28515625" style="1" customWidth="1"/>
    <col min="16" max="16" width="1.42578125" style="1" customWidth="1"/>
    <col min="17" max="17" width="12" style="43" customWidth="1"/>
    <col min="18" max="18" width="7.5703125" style="43" customWidth="1"/>
    <col min="19" max="19" width="7.28515625" style="44" customWidth="1"/>
    <col min="20" max="16384" width="9.140625" style="1"/>
  </cols>
  <sheetData>
    <row r="1" spans="1:19" ht="15.75" customHeight="1" x14ac:dyDescent="0.3">
      <c r="A1" s="78" t="s">
        <v>5</v>
      </c>
      <c r="B1" s="78"/>
      <c r="H1" s="82" t="s">
        <v>14</v>
      </c>
      <c r="I1" s="83"/>
      <c r="J1" s="84"/>
      <c r="K1" s="85">
        <f>SUM(J5:J1000)</f>
        <v>831300</v>
      </c>
      <c r="L1" s="86"/>
      <c r="M1" s="77"/>
      <c r="O1" s="80" t="s">
        <v>24</v>
      </c>
      <c r="P1" s="10"/>
      <c r="Q1" s="80">
        <f>SUM(Q5:Q1000)</f>
        <v>84550</v>
      </c>
    </row>
    <row r="2" spans="1:19" ht="15.75" customHeight="1" x14ac:dyDescent="0.3">
      <c r="A2" s="79"/>
      <c r="B2" s="79"/>
      <c r="H2" s="82" t="s">
        <v>13</v>
      </c>
      <c r="I2" s="83"/>
      <c r="J2" s="84"/>
      <c r="K2" s="85">
        <f>SUM(K5:K1000)</f>
        <v>743138.90718049894</v>
      </c>
      <c r="L2" s="86"/>
      <c r="M2" s="77"/>
      <c r="N2" s="2"/>
      <c r="O2" s="81"/>
      <c r="P2" s="10"/>
      <c r="Q2" s="81"/>
    </row>
    <row r="3" spans="1:19" ht="6" customHeight="1" x14ac:dyDescent="0.3">
      <c r="B3" s="3"/>
      <c r="C3" s="8"/>
      <c r="D3" s="5"/>
      <c r="E3" s="3"/>
      <c r="F3" s="5"/>
      <c r="G3" s="6"/>
      <c r="J3" s="4"/>
      <c r="L3" s="4"/>
      <c r="M3" s="4"/>
      <c r="N3" s="4"/>
    </row>
    <row r="4" spans="1:19" ht="34.5" x14ac:dyDescent="0.25">
      <c r="A4" s="55" t="s">
        <v>3</v>
      </c>
      <c r="B4" s="55" t="s">
        <v>1</v>
      </c>
      <c r="C4" s="55" t="s">
        <v>2</v>
      </c>
      <c r="D4" s="55" t="s">
        <v>0</v>
      </c>
      <c r="E4" s="55" t="s">
        <v>7</v>
      </c>
      <c r="F4" s="55" t="s">
        <v>8</v>
      </c>
      <c r="G4" s="13" t="s">
        <v>16</v>
      </c>
      <c r="H4" s="13" t="s">
        <v>15</v>
      </c>
      <c r="I4" s="13" t="s">
        <v>17</v>
      </c>
      <c r="J4" s="55" t="s">
        <v>10</v>
      </c>
      <c r="K4" s="55" t="s">
        <v>11</v>
      </c>
      <c r="L4" s="55" t="s">
        <v>12</v>
      </c>
      <c r="M4" s="76" t="s">
        <v>138</v>
      </c>
      <c r="N4" s="55" t="s">
        <v>4</v>
      </c>
      <c r="O4" s="55" t="s">
        <v>9</v>
      </c>
      <c r="S4" s="43">
        <f>SUM(S5:S43)</f>
        <v>208000</v>
      </c>
    </row>
    <row r="5" spans="1:19" ht="28.5" customHeight="1" x14ac:dyDescent="0.25">
      <c r="A5" s="62">
        <v>135</v>
      </c>
      <c r="B5" s="62" t="str">
        <f>[1]Loan1!$K$3</f>
        <v>Thasana</v>
      </c>
      <c r="C5" s="62" t="s">
        <v>139</v>
      </c>
      <c r="D5" s="63" t="str">
        <f>[1]Loan1!$K$2</f>
        <v>L10000W17-Thasana-NLoan1</v>
      </c>
      <c r="E5" s="15">
        <f>[1]Loan1!$K$7</f>
        <v>10000</v>
      </c>
      <c r="F5" s="62">
        <f>[1]Loan1!$K$9</f>
        <v>700</v>
      </c>
      <c r="G5" s="19">
        <f>IF(H5,H5-I5,"")</f>
        <v>8</v>
      </c>
      <c r="H5" s="62">
        <f>[1]Loan1!$K$10</f>
        <v>17</v>
      </c>
      <c r="I5" s="62">
        <f>[1]Loan1!$K$12</f>
        <v>9</v>
      </c>
      <c r="J5" s="15">
        <f>[1]Loan1!$K$13</f>
        <v>5600</v>
      </c>
      <c r="K5" s="15">
        <f>[1]Loan1!$K$14</f>
        <v>5126.6976567527154</v>
      </c>
      <c r="L5" s="64">
        <f>[1]Loan1!$K$15</f>
        <v>4873.3023432472846</v>
      </c>
      <c r="M5" s="64" t="s">
        <v>78</v>
      </c>
      <c r="N5" s="65">
        <f>[1]Loan1!$K$16</f>
        <v>45901</v>
      </c>
      <c r="O5" s="66">
        <f>[1]Loan1!$K$17</f>
        <v>46020</v>
      </c>
      <c r="Q5" s="43" t="s">
        <v>33</v>
      </c>
      <c r="S5" s="43"/>
    </row>
    <row r="6" spans="1:19" ht="28.5" customHeight="1" x14ac:dyDescent="0.25">
      <c r="A6" s="41">
        <v>161</v>
      </c>
      <c r="B6" s="41" t="str">
        <f>[2]Loan1!$K$3</f>
        <v>Ibeyaima</v>
      </c>
      <c r="C6" s="41" t="s">
        <v>139</v>
      </c>
      <c r="D6" s="67" t="str">
        <f>[2]Loan1!$K$2</f>
        <v>L30000W17-Ibeyaima-NLoan1</v>
      </c>
      <c r="E6" s="68">
        <f>[2]Loan1!$K$7</f>
        <v>30000</v>
      </c>
      <c r="F6" s="41">
        <f>[2]Loan1!$K$9</f>
        <v>2100</v>
      </c>
      <c r="G6" s="41">
        <f>IF(H6,H6-I6,"")</f>
        <v>0</v>
      </c>
      <c r="H6" s="41">
        <f>[2]Loan1!$K$10</f>
        <v>17</v>
      </c>
      <c r="I6" s="41">
        <f>[2]Loan1!$K$12</f>
        <v>17</v>
      </c>
      <c r="J6" s="68">
        <f>[2]Loan1!$K$13</f>
        <v>0</v>
      </c>
      <c r="K6" s="68">
        <f>[2]Loan1!$K$14</f>
        <v>1.2778400559909642E-9</v>
      </c>
      <c r="L6" s="69">
        <f>[2]Loan1!$K$15</f>
        <v>29999.999999998723</v>
      </c>
      <c r="M6" s="69" t="s">
        <v>78</v>
      </c>
      <c r="N6" s="70">
        <f>[2]Loan1!$K$16</f>
        <v>46089</v>
      </c>
      <c r="O6" s="71">
        <f>[2]Loan1!$K$17</f>
        <v>46208</v>
      </c>
      <c r="P6" s="42"/>
      <c r="Q6" s="45"/>
      <c r="S6" s="43"/>
    </row>
    <row r="7" spans="1:19" ht="28.5" customHeight="1" x14ac:dyDescent="0.25">
      <c r="A7" s="62">
        <f>A6+1</f>
        <v>162</v>
      </c>
      <c r="B7" s="62" t="str">
        <f>[3]Loan1!$K$3</f>
        <v>Angom_Bijenti</v>
      </c>
      <c r="C7" s="62" t="s">
        <v>139</v>
      </c>
      <c r="D7" s="63" t="str">
        <f>[3]Loan1!$K$2</f>
        <v>L50000D120-Angom_Bijenti-NLoan1</v>
      </c>
      <c r="E7" s="15">
        <f>[3]Loan1!$K$7</f>
        <v>50000</v>
      </c>
      <c r="F7" s="62">
        <f>[3]Loan1!$K$9</f>
        <v>500</v>
      </c>
      <c r="G7" s="19">
        <f t="shared" ref="G7:G17" si="0">IF(H7,H7-I7,"")</f>
        <v>51</v>
      </c>
      <c r="H7" s="62">
        <f>[3]Loan1!$K$10</f>
        <v>120</v>
      </c>
      <c r="I7" s="62">
        <f>[3]Loan1!$K$12</f>
        <v>69</v>
      </c>
      <c r="J7" s="15">
        <f>[3]Loan1!$K$13</f>
        <v>25500</v>
      </c>
      <c r="K7" s="15">
        <f>[3]Loan1!$K$14</f>
        <v>23544.274850073471</v>
      </c>
      <c r="L7" s="64">
        <f>[3]Loan1!$K$15</f>
        <v>26455.725149926529</v>
      </c>
      <c r="M7" s="64" t="s">
        <v>77</v>
      </c>
      <c r="N7" s="65">
        <f>[3]Loan1!$K$16</f>
        <v>46089</v>
      </c>
      <c r="O7" s="66">
        <f>[3]Loan1!$K$17</f>
        <v>46209</v>
      </c>
      <c r="Q7" s="46"/>
      <c r="R7" s="46" t="s">
        <v>32</v>
      </c>
      <c r="S7" s="46">
        <v>30000</v>
      </c>
    </row>
    <row r="8" spans="1:19" ht="28.5" customHeight="1" x14ac:dyDescent="0.25">
      <c r="A8" s="41">
        <f t="shared" ref="A8:A71" si="1">A7+1</f>
        <v>163</v>
      </c>
      <c r="B8" s="41" t="str">
        <f>[4]Loan1!$K$3</f>
        <v>Kamala</v>
      </c>
      <c r="C8" s="41" t="s">
        <v>139</v>
      </c>
      <c r="D8" s="67" t="str">
        <f>[4]Loan1!$K$2</f>
        <v>L40000D120-Kamala-NLoan1</v>
      </c>
      <c r="E8" s="68">
        <f>[4]Loan1!$K$7</f>
        <v>40000</v>
      </c>
      <c r="F8" s="41">
        <f>[4]Loan1!$K$9</f>
        <v>400</v>
      </c>
      <c r="G8" s="41">
        <f t="shared" si="0"/>
        <v>0</v>
      </c>
      <c r="H8" s="41">
        <f>[4]Loan1!$K$10</f>
        <v>120</v>
      </c>
      <c r="I8" s="41">
        <f>[4]Loan1!$K$12</f>
        <v>120</v>
      </c>
      <c r="J8" s="68">
        <f>[4]Loan1!$K$13</f>
        <v>0</v>
      </c>
      <c r="K8" s="68">
        <f>[4]Loan1!$K$14</f>
        <v>1.8109176380676217E-9</v>
      </c>
      <c r="L8" s="69">
        <f>[4]Loan1!$K$15</f>
        <v>39999.999999998188</v>
      </c>
      <c r="M8" s="69" t="s">
        <v>77</v>
      </c>
      <c r="N8" s="70">
        <f>[4]Loan1!$K$16</f>
        <v>46092</v>
      </c>
      <c r="O8" s="71">
        <f>[4]Loan1!$K$17</f>
        <v>46212</v>
      </c>
      <c r="P8" s="42"/>
      <c r="Q8" s="45"/>
      <c r="S8" s="43"/>
    </row>
    <row r="9" spans="1:19" ht="28.5" customHeight="1" x14ac:dyDescent="0.25">
      <c r="A9" s="41">
        <f t="shared" si="1"/>
        <v>164</v>
      </c>
      <c r="B9" s="41" t="str">
        <f>[5]Loan1!$K$3</f>
        <v>Sanasam_Sonia</v>
      </c>
      <c r="C9" s="41" t="s">
        <v>139</v>
      </c>
      <c r="D9" s="67" t="str">
        <f>[5]Loan1!$K$2</f>
        <v>L20000D120-Sanasam_Sonia-NLoan1</v>
      </c>
      <c r="E9" s="68">
        <f>[5]Loan1!$K$7</f>
        <v>20000</v>
      </c>
      <c r="F9" s="41">
        <f>[5]Loan1!$K$9</f>
        <v>200</v>
      </c>
      <c r="G9" s="41">
        <f t="shared" si="0"/>
        <v>0</v>
      </c>
      <c r="H9" s="41">
        <f>[5]Loan1!$K$10</f>
        <v>120</v>
      </c>
      <c r="I9" s="41">
        <f>[5]Loan1!$K$12</f>
        <v>120</v>
      </c>
      <c r="J9" s="68">
        <f>[5]Loan1!$K$13</f>
        <v>0</v>
      </c>
      <c r="K9" s="68">
        <f>[5]Loan1!$K$14</f>
        <v>9.0545881903381087E-10</v>
      </c>
      <c r="L9" s="69">
        <f>[5]Loan1!$K$15</f>
        <v>19999.999999999094</v>
      </c>
      <c r="M9" s="69" t="s">
        <v>77</v>
      </c>
      <c r="N9" s="70">
        <f>[5]Loan1!$K$16</f>
        <v>46092</v>
      </c>
      <c r="O9" s="71">
        <f>[5]Loan1!$K$17</f>
        <v>46212</v>
      </c>
      <c r="P9" s="42"/>
      <c r="Q9" s="45"/>
      <c r="R9" s="43" t="s">
        <v>32</v>
      </c>
      <c r="S9" s="43"/>
    </row>
    <row r="10" spans="1:19" ht="28.5" customHeight="1" x14ac:dyDescent="0.25">
      <c r="A10" s="41">
        <f t="shared" si="1"/>
        <v>165</v>
      </c>
      <c r="B10" s="41" t="str">
        <f>[6]Loan1!$K$3</f>
        <v>Sanarei_Group</v>
      </c>
      <c r="C10" s="41" t="s">
        <v>139</v>
      </c>
      <c r="D10" s="67" t="str">
        <f>[6]Loan1!$K$2</f>
        <v>L140000W17-Sanarei_Group-NLoan1</v>
      </c>
      <c r="E10" s="68">
        <f>[6]Loan1!$K$7</f>
        <v>140000</v>
      </c>
      <c r="F10" s="41">
        <f>[6]Loan1!$K$9</f>
        <v>9800</v>
      </c>
      <c r="G10" s="41">
        <f t="shared" si="0"/>
        <v>0</v>
      </c>
      <c r="H10" s="41">
        <f>[6]Loan1!$K$10</f>
        <v>17</v>
      </c>
      <c r="I10" s="41">
        <f>[6]Loan1!$K$12</f>
        <v>17</v>
      </c>
      <c r="J10" s="68">
        <f>[6]Loan1!$K$13</f>
        <v>0</v>
      </c>
      <c r="K10" s="68">
        <f>[6]Loan1!$K$14</f>
        <v>6.4028427004814148E-9</v>
      </c>
      <c r="L10" s="69">
        <f>[6]Loan1!$K$15</f>
        <v>139999.9999999936</v>
      </c>
      <c r="M10" s="69" t="s">
        <v>68</v>
      </c>
      <c r="N10" s="70">
        <f>[6]Loan1!$K$16</f>
        <v>46094</v>
      </c>
      <c r="O10" s="71">
        <f>[6]Loan1!$K$17</f>
        <v>46213</v>
      </c>
      <c r="P10" s="42"/>
      <c r="Q10" s="45"/>
      <c r="S10" s="43"/>
    </row>
    <row r="11" spans="1:19" ht="28.5" customHeight="1" x14ac:dyDescent="0.25">
      <c r="A11" s="41">
        <v>167</v>
      </c>
      <c r="B11" s="41" t="str">
        <f>[7]Loan1!$K$3</f>
        <v>Ronel</v>
      </c>
      <c r="C11" s="41" t="s">
        <v>139</v>
      </c>
      <c r="D11" s="67" t="str">
        <f>[7]Loan1!$K$2</f>
        <v>L20000W17-Ronel-NLoan1</v>
      </c>
      <c r="E11" s="68">
        <f>[7]Loan1!$K$7</f>
        <v>20000</v>
      </c>
      <c r="F11" s="41">
        <f>[7]Loan1!$K$9</f>
        <v>1400</v>
      </c>
      <c r="G11" s="41">
        <f t="shared" si="0"/>
        <v>0</v>
      </c>
      <c r="H11" s="41">
        <f>[7]Loan1!$K$10</f>
        <v>17</v>
      </c>
      <c r="I11" s="41">
        <f>[7]Loan1!$K$12</f>
        <v>17</v>
      </c>
      <c r="J11" s="68">
        <f>[7]Loan1!$K$13</f>
        <v>0</v>
      </c>
      <c r="K11" s="68">
        <f>[7]Loan1!$K$14</f>
        <v>9.1336005425546318E-10</v>
      </c>
      <c r="L11" s="69">
        <f>[7]Loan1!$K$15</f>
        <v>19999.999999999087</v>
      </c>
      <c r="M11" s="69" t="s">
        <v>68</v>
      </c>
      <c r="N11" s="70">
        <f>[7]Loan1!$K$16</f>
        <v>46097</v>
      </c>
      <c r="O11" s="71">
        <f>[7]Loan1!$K$17</f>
        <v>46216</v>
      </c>
      <c r="P11" s="42"/>
      <c r="Q11" s="45"/>
      <c r="S11" s="43"/>
    </row>
    <row r="12" spans="1:19" ht="28.5" customHeight="1" x14ac:dyDescent="0.25">
      <c r="A12" s="41">
        <v>169</v>
      </c>
      <c r="B12" s="41" t="str">
        <f>[8]Loan1!$K$3</f>
        <v>Thongam_Bala</v>
      </c>
      <c r="C12" s="41" t="s">
        <v>139</v>
      </c>
      <c r="D12" s="67" t="str">
        <f>[8]Loan1!$K$2</f>
        <v>L20000W17-Thongam_Bala-NLoan1</v>
      </c>
      <c r="E12" s="68">
        <f>[8]Loan1!$K$7</f>
        <v>20000</v>
      </c>
      <c r="F12" s="41">
        <f>[8]Loan1!$K$9</f>
        <v>1400</v>
      </c>
      <c r="G12" s="41">
        <f t="shared" si="0"/>
        <v>0</v>
      </c>
      <c r="H12" s="41">
        <f>[8]Loan1!$K$10</f>
        <v>17</v>
      </c>
      <c r="I12" s="41">
        <f>[8]Loan1!$K$12</f>
        <v>17</v>
      </c>
      <c r="J12" s="68">
        <f>[8]Loan1!$K$13</f>
        <v>0</v>
      </c>
      <c r="K12" s="68">
        <f>[8]Loan1!$K$14</f>
        <v>9.1336005425546318E-10</v>
      </c>
      <c r="L12" s="69">
        <f>[8]Loan1!$K$15</f>
        <v>19999.999999999087</v>
      </c>
      <c r="M12" s="69" t="s">
        <v>68</v>
      </c>
      <c r="N12" s="70">
        <f>[8]Loan1!$K$16</f>
        <v>46101</v>
      </c>
      <c r="O12" s="71">
        <f>[8]Loan1!$K$17</f>
        <v>46220</v>
      </c>
      <c r="P12" s="42"/>
      <c r="Q12" s="45"/>
      <c r="S12" s="43"/>
    </row>
    <row r="13" spans="1:19" ht="28.5" customHeight="1" x14ac:dyDescent="0.25">
      <c r="A13" s="41">
        <f t="shared" si="1"/>
        <v>170</v>
      </c>
      <c r="B13" s="41" t="str">
        <f>[9]Loan1!$K$3</f>
        <v>Salam_Bidyalaxmi</v>
      </c>
      <c r="C13" s="41" t="s">
        <v>139</v>
      </c>
      <c r="D13" s="67" t="str">
        <f>[9]Loan1!$K$2</f>
        <v>L5000D40-Salam_Bidyalaxmi-NLoan1</v>
      </c>
      <c r="E13" s="68">
        <f>[9]Loan1!$K$7</f>
        <v>5000</v>
      </c>
      <c r="F13" s="41">
        <f>[9]Loan1!$K$9</f>
        <v>150</v>
      </c>
      <c r="G13" s="41">
        <f t="shared" si="0"/>
        <v>0</v>
      </c>
      <c r="H13" s="41">
        <f>[9]Loan1!$K$10</f>
        <v>40</v>
      </c>
      <c r="I13" s="41">
        <f>[9]Loan1!$K$12</f>
        <v>40</v>
      </c>
      <c r="J13" s="68">
        <f>[9]Loan1!$K$13</f>
        <v>0</v>
      </c>
      <c r="K13" s="68">
        <f>[9]Loan1!$K$14</f>
        <v>1.9554136088117957E-11</v>
      </c>
      <c r="L13" s="69">
        <f>[9]Loan1!$K$15</f>
        <v>4999.99999999998</v>
      </c>
      <c r="M13" s="69" t="s">
        <v>77</v>
      </c>
      <c r="N13" s="70">
        <f>[9]Loan1!$K$16</f>
        <v>46095</v>
      </c>
      <c r="O13" s="71">
        <f>[9]Loan1!$K$17</f>
        <v>46215</v>
      </c>
      <c r="P13" s="42"/>
      <c r="Q13" s="45"/>
      <c r="S13" s="43"/>
    </row>
    <row r="14" spans="1:19" ht="28.5" customHeight="1" x14ac:dyDescent="0.25">
      <c r="A14" s="41">
        <v>172</v>
      </c>
      <c r="B14" s="41" t="str">
        <f>[10]Loan1!$K$3</f>
        <v>Mutum_Sandhyarani</v>
      </c>
      <c r="C14" s="41" t="s">
        <v>139</v>
      </c>
      <c r="D14" s="67" t="str">
        <f>[10]Loan1!$K$2</f>
        <v>L10000W17-Mutum_Sandhyarani-NLoan1</v>
      </c>
      <c r="E14" s="68">
        <f>[10]Loan1!$K$7</f>
        <v>10000</v>
      </c>
      <c r="F14" s="41">
        <f>[10]Loan1!$K$9</f>
        <v>700</v>
      </c>
      <c r="G14" s="41">
        <f t="shared" si="0"/>
        <v>0</v>
      </c>
      <c r="H14" s="41">
        <f>[10]Loan1!$K$10</f>
        <v>17</v>
      </c>
      <c r="I14" s="41">
        <f>[10]Loan1!$K$12</f>
        <v>17</v>
      </c>
      <c r="J14" s="68">
        <f>[10]Loan1!$K$13</f>
        <v>0</v>
      </c>
      <c r="K14" s="68">
        <f>[10]Loan1!$K$14</f>
        <v>4.5668002712773159E-10</v>
      </c>
      <c r="L14" s="69">
        <f>[10]Loan1!$K$15</f>
        <v>9999.9999999995434</v>
      </c>
      <c r="M14" s="69" t="s">
        <v>68</v>
      </c>
      <c r="N14" s="70">
        <f>[10]Loan1!$K$16</f>
        <v>46129</v>
      </c>
      <c r="O14" s="71">
        <f>[10]Loan1!$K$17</f>
        <v>46248</v>
      </c>
      <c r="P14" s="42"/>
      <c r="Q14" s="45"/>
      <c r="R14" s="43" t="s">
        <v>32</v>
      </c>
      <c r="S14" s="43">
        <v>5000</v>
      </c>
    </row>
    <row r="15" spans="1:19" ht="28.5" customHeight="1" x14ac:dyDescent="0.25">
      <c r="A15" s="41">
        <f t="shared" si="1"/>
        <v>173</v>
      </c>
      <c r="B15" s="41" t="str">
        <f>[11]Loan1!$K$3</f>
        <v>Sudhana</v>
      </c>
      <c r="C15" s="41" t="s">
        <v>139</v>
      </c>
      <c r="D15" s="67" t="str">
        <f>[11]Loan1!$K$2</f>
        <v>L20000W17-Sudhana-NLoan1</v>
      </c>
      <c r="E15" s="68">
        <f>[11]Loan1!$K$7</f>
        <v>20000</v>
      </c>
      <c r="F15" s="41">
        <f>[11]Loan1!$K$9</f>
        <v>1400</v>
      </c>
      <c r="G15" s="41">
        <f t="shared" si="0"/>
        <v>0</v>
      </c>
      <c r="H15" s="41">
        <f>[11]Loan1!$K$10</f>
        <v>17</v>
      </c>
      <c r="I15" s="41">
        <f>[11]Loan1!$K$12</f>
        <v>17</v>
      </c>
      <c r="J15" s="68">
        <f>[11]Loan1!$K$13</f>
        <v>0</v>
      </c>
      <c r="K15" s="68">
        <f>[11]Loan1!$K$14</f>
        <v>9.1336005425546318E-10</v>
      </c>
      <c r="L15" s="69">
        <f>[11]Loan1!$K$15</f>
        <v>19999.999999999087</v>
      </c>
      <c r="M15" s="69" t="s">
        <v>68</v>
      </c>
      <c r="N15" s="70">
        <f>[11]Loan1!$K$16</f>
        <v>46150</v>
      </c>
      <c r="O15" s="71">
        <f>[11]Loan1!$K$17</f>
        <v>46269</v>
      </c>
      <c r="P15" s="42"/>
      <c r="Q15" s="45"/>
      <c r="S15" s="43"/>
    </row>
    <row r="16" spans="1:19" ht="28.5" customHeight="1" x14ac:dyDescent="0.25">
      <c r="A16" s="41">
        <f t="shared" si="1"/>
        <v>174</v>
      </c>
      <c r="B16" s="41" t="str">
        <f>[12]Loan1!$K$3</f>
        <v>Bidyarani</v>
      </c>
      <c r="C16" s="41" t="s">
        <v>139</v>
      </c>
      <c r="D16" s="67" t="str">
        <f>[12]Loan1!$K$2</f>
        <v>L20000W17-Bidyarani-NLoan1</v>
      </c>
      <c r="E16" s="68">
        <f>[12]Loan1!$K$7</f>
        <v>20000</v>
      </c>
      <c r="F16" s="41">
        <f>[12]Loan1!$K$9</f>
        <v>1400</v>
      </c>
      <c r="G16" s="41">
        <f t="shared" si="0"/>
        <v>0</v>
      </c>
      <c r="H16" s="41">
        <f>[12]Loan1!$K$10</f>
        <v>17</v>
      </c>
      <c r="I16" s="41">
        <f>[12]Loan1!$K$12</f>
        <v>17</v>
      </c>
      <c r="J16" s="68">
        <f>[12]Loan1!$K$13</f>
        <v>0</v>
      </c>
      <c r="K16" s="68">
        <f>[12]Loan1!$K$14</f>
        <v>9.1336005425546318E-10</v>
      </c>
      <c r="L16" s="69">
        <f>[12]Loan1!$K$15</f>
        <v>19999.999999999087</v>
      </c>
      <c r="M16" s="69" t="s">
        <v>68</v>
      </c>
      <c r="N16" s="70">
        <f>[12]Loan1!$K$16</f>
        <v>46150</v>
      </c>
      <c r="O16" s="71">
        <f>[12]Loan1!$K$17</f>
        <v>46269</v>
      </c>
      <c r="P16" s="42"/>
      <c r="Q16" s="45"/>
      <c r="S16" s="43"/>
    </row>
    <row r="17" spans="1:19" ht="28.5" customHeight="1" x14ac:dyDescent="0.25">
      <c r="A17" s="41">
        <f t="shared" si="1"/>
        <v>175</v>
      </c>
      <c r="B17" s="41" t="str">
        <f>[13]Loan1!$K$3</f>
        <v>Minarani</v>
      </c>
      <c r="C17" s="41" t="s">
        <v>139</v>
      </c>
      <c r="D17" s="67" t="str">
        <f>[13]Loan1!$K$2</f>
        <v>L20000W12-Minarani-NLoan1</v>
      </c>
      <c r="E17" s="68">
        <f>[13]Loan1!$K$7</f>
        <v>20000</v>
      </c>
      <c r="F17" s="41">
        <f>[13]Loan1!$K$9</f>
        <v>2000</v>
      </c>
      <c r="G17" s="41">
        <f t="shared" si="0"/>
        <v>0</v>
      </c>
      <c r="H17" s="41">
        <f>[13]Loan1!$K$10</f>
        <v>12</v>
      </c>
      <c r="I17" s="41">
        <f>[13]Loan1!$K$12</f>
        <v>12</v>
      </c>
      <c r="J17" s="68">
        <f>[13]Loan1!$K$13</f>
        <v>0</v>
      </c>
      <c r="K17" s="68">
        <f>[13]Loan1!$K$14</f>
        <v>6.2391336541622877E-10</v>
      </c>
      <c r="L17" s="69">
        <f>[13]Loan1!$K$15</f>
        <v>19999.999999999374</v>
      </c>
      <c r="M17" s="69" t="s">
        <v>76</v>
      </c>
      <c r="N17" s="70">
        <f>[13]Loan1!$K$16</f>
        <v>46156</v>
      </c>
      <c r="O17" s="71">
        <f>[13]Loan1!$K$17</f>
        <v>46275</v>
      </c>
      <c r="P17" s="42"/>
      <c r="Q17" s="45"/>
      <c r="R17" s="43" t="s">
        <v>32</v>
      </c>
      <c r="S17" s="43">
        <v>20000</v>
      </c>
    </row>
    <row r="18" spans="1:19" ht="28.5" customHeight="1" x14ac:dyDescent="0.25">
      <c r="A18" s="41">
        <f t="shared" si="1"/>
        <v>176</v>
      </c>
      <c r="B18" s="41" t="str">
        <f>[14]Loan1!$K$3</f>
        <v>Bidyabati</v>
      </c>
      <c r="C18" s="41" t="s">
        <v>139</v>
      </c>
      <c r="D18" s="67" t="str">
        <f>[14]Loan1!$K$2</f>
        <v>L10000D120-Bidyabati-NLoan1</v>
      </c>
      <c r="E18" s="68">
        <f>[14]Loan1!$K$7</f>
        <v>10000</v>
      </c>
      <c r="F18" s="41">
        <f>[14]Loan1!$K$9</f>
        <v>100</v>
      </c>
      <c r="G18" s="41">
        <f t="shared" ref="G18:G21" si="2">IF(H18,H18-I18,"")</f>
        <v>0</v>
      </c>
      <c r="H18" s="41">
        <f>[14]Loan1!$K$10</f>
        <v>120</v>
      </c>
      <c r="I18" s="41">
        <f>[14]Loan1!$K$12</f>
        <v>120</v>
      </c>
      <c r="J18" s="68">
        <f>[14]Loan1!$K$13</f>
        <v>0</v>
      </c>
      <c r="K18" s="68">
        <f>[14]Loan1!$K$14</f>
        <v>4.5272940951690543E-10</v>
      </c>
      <c r="L18" s="69">
        <f>[14]Loan1!$K$15</f>
        <v>9999.9999999995471</v>
      </c>
      <c r="M18" s="69" t="s">
        <v>77</v>
      </c>
      <c r="N18" s="70">
        <f>[14]Loan1!$K$16</f>
        <v>46170</v>
      </c>
      <c r="O18" s="71">
        <f>[14]Loan1!$K$17</f>
        <v>46290</v>
      </c>
      <c r="P18" s="42"/>
      <c r="Q18" s="45"/>
      <c r="R18" s="43" t="s">
        <v>32</v>
      </c>
      <c r="S18" s="43">
        <v>20000</v>
      </c>
    </row>
    <row r="19" spans="1:19" ht="28.5" customHeight="1" x14ac:dyDescent="0.25">
      <c r="A19" s="41">
        <v>178</v>
      </c>
      <c r="B19" s="41" t="str">
        <f>[15]Loan1!$K$3</f>
        <v>Lanchenbi_Ranibala</v>
      </c>
      <c r="C19" s="41" t="s">
        <v>139</v>
      </c>
      <c r="D19" s="67" t="str">
        <f>[15]Loan1!$K$2</f>
        <v>L20000W17-Lanchenbi_Ranibala-NLoan1</v>
      </c>
      <c r="E19" s="68">
        <f>[15]Loan1!$K$7</f>
        <v>20000</v>
      </c>
      <c r="F19" s="41">
        <f>[15]Loan1!$K$9</f>
        <v>1400</v>
      </c>
      <c r="G19" s="41">
        <f t="shared" si="2"/>
        <v>0</v>
      </c>
      <c r="H19" s="41">
        <f>[15]Loan1!$K$10</f>
        <v>17</v>
      </c>
      <c r="I19" s="41">
        <f>[15]Loan1!$K$12</f>
        <v>17</v>
      </c>
      <c r="J19" s="68">
        <f>[15]Loan1!$K$13</f>
        <v>0</v>
      </c>
      <c r="K19" s="68">
        <f>[15]Loan1!$K$14</f>
        <v>9.1336005425546318E-10</v>
      </c>
      <c r="L19" s="69">
        <f>[15]Loan1!$K$15</f>
        <v>19999.999999999087</v>
      </c>
      <c r="M19" s="69" t="s">
        <v>68</v>
      </c>
      <c r="N19" s="70">
        <f>[15]Loan1!$K$16</f>
        <v>46101</v>
      </c>
      <c r="O19" s="71">
        <f>[15]Loan1!$K$17</f>
        <v>46220</v>
      </c>
      <c r="P19" s="42"/>
      <c r="Q19" s="45"/>
      <c r="S19" s="43"/>
    </row>
    <row r="20" spans="1:19" ht="28.5" customHeight="1" x14ac:dyDescent="0.25">
      <c r="A20" s="41">
        <f t="shared" si="1"/>
        <v>179</v>
      </c>
      <c r="B20" s="41" t="str">
        <f>[16]Loan1!$K$3</f>
        <v>Lanchenbi_Samila</v>
      </c>
      <c r="C20" s="41" t="s">
        <v>139</v>
      </c>
      <c r="D20" s="67" t="str">
        <f>[16]Loan1!$K$2</f>
        <v>L20000W17-Lanchenbi_Samila-NLoan1</v>
      </c>
      <c r="E20" s="68">
        <f>[16]Loan1!$K$7</f>
        <v>20000</v>
      </c>
      <c r="F20" s="41">
        <f>[16]Loan1!$K$9</f>
        <v>1400</v>
      </c>
      <c r="G20" s="41">
        <f t="shared" si="2"/>
        <v>0</v>
      </c>
      <c r="H20" s="41">
        <f>[16]Loan1!$K$10</f>
        <v>17</v>
      </c>
      <c r="I20" s="41">
        <f>[16]Loan1!$K$12</f>
        <v>17</v>
      </c>
      <c r="J20" s="68">
        <f>[16]Loan1!$K$13</f>
        <v>0</v>
      </c>
      <c r="K20" s="68">
        <f>[16]Loan1!$K$14</f>
        <v>9.1336005425546318E-10</v>
      </c>
      <c r="L20" s="69">
        <f>[16]Loan1!$K$15</f>
        <v>19999.999999999087</v>
      </c>
      <c r="M20" s="69" t="s">
        <v>68</v>
      </c>
      <c r="N20" s="70">
        <f>[16]Loan1!$K$16</f>
        <v>46101</v>
      </c>
      <c r="O20" s="71">
        <f>[16]Loan1!$K$17</f>
        <v>46220</v>
      </c>
      <c r="P20" s="42"/>
      <c r="Q20" s="45"/>
      <c r="S20" s="43"/>
    </row>
    <row r="21" spans="1:19" ht="28.5" customHeight="1" x14ac:dyDescent="0.25">
      <c r="A21" s="41">
        <f t="shared" si="1"/>
        <v>180</v>
      </c>
      <c r="B21" s="41" t="str">
        <f>[17]Loan1!$K$3</f>
        <v>Lanchenbi_Ibeyaima</v>
      </c>
      <c r="C21" s="41" t="s">
        <v>139</v>
      </c>
      <c r="D21" s="67" t="str">
        <f>[17]Loan1!$K$2</f>
        <v>L30000W17-Lanchenbi_Ibeyaima-NLoan1</v>
      </c>
      <c r="E21" s="68">
        <f>[17]Loan1!$K$7</f>
        <v>30000</v>
      </c>
      <c r="F21" s="41">
        <f>[17]Loan1!$K$9</f>
        <v>2100</v>
      </c>
      <c r="G21" s="41">
        <f t="shared" si="2"/>
        <v>0</v>
      </c>
      <c r="H21" s="41">
        <f>[17]Loan1!$K$10</f>
        <v>17</v>
      </c>
      <c r="I21" s="41">
        <f>[17]Loan1!$K$12</f>
        <v>17</v>
      </c>
      <c r="J21" s="68">
        <f>[17]Loan1!$K$13</f>
        <v>0</v>
      </c>
      <c r="K21" s="68">
        <f>[17]Loan1!$K$14</f>
        <v>1.2778400559909642E-9</v>
      </c>
      <c r="L21" s="69">
        <f>[17]Loan1!$K$15</f>
        <v>29999.999999998723</v>
      </c>
      <c r="M21" s="69" t="s">
        <v>68</v>
      </c>
      <c r="N21" s="70">
        <f>[17]Loan1!$K$16</f>
        <v>46178</v>
      </c>
      <c r="O21" s="71">
        <f>[17]Loan1!$K$17</f>
        <v>46297</v>
      </c>
      <c r="P21" s="42"/>
      <c r="Q21" s="45"/>
      <c r="S21" s="43"/>
    </row>
    <row r="22" spans="1:19" ht="28.5" customHeight="1" x14ac:dyDescent="0.25">
      <c r="A22" s="41">
        <f t="shared" si="1"/>
        <v>181</v>
      </c>
      <c r="B22" s="41" t="str">
        <f>[18]Loan1!$K$3</f>
        <v>Inaobi</v>
      </c>
      <c r="C22" s="41" t="s">
        <v>139</v>
      </c>
      <c r="D22" s="67" t="str">
        <f>[18]Loan1!$K$2</f>
        <v>L7000D80-Inaobi-NLoan1</v>
      </c>
      <c r="E22" s="68">
        <f>[18]Loan1!$K$7</f>
        <v>7000</v>
      </c>
      <c r="F22" s="41">
        <f>[18]Loan1!$K$9</f>
        <v>100</v>
      </c>
      <c r="G22" s="41">
        <f t="shared" ref="G22:G25" si="3">IF(H22,H22-I22,"")</f>
        <v>0</v>
      </c>
      <c r="H22" s="41">
        <f>[18]Loan1!$K$10</f>
        <v>80</v>
      </c>
      <c r="I22" s="41">
        <f>[18]Loan1!$K$12</f>
        <v>80</v>
      </c>
      <c r="J22" s="68">
        <f>[18]Loan1!$K$13</f>
        <v>0</v>
      </c>
      <c r="K22" s="68">
        <f>[18]Loan1!$K$14</f>
        <v>-1.2721557141048834E-10</v>
      </c>
      <c r="L22" s="69">
        <f>[18]Loan1!$K$15</f>
        <v>7000.0000000001273</v>
      </c>
      <c r="M22" s="69" t="s">
        <v>77</v>
      </c>
      <c r="N22" s="70">
        <f>[18]Loan1!$K$16</f>
        <v>46175</v>
      </c>
      <c r="O22" s="71">
        <f>[18]Loan1!$K$17</f>
        <v>46295</v>
      </c>
      <c r="P22" s="42"/>
      <c r="Q22" s="45"/>
      <c r="S22" s="43"/>
    </row>
    <row r="23" spans="1:19" ht="28.5" customHeight="1" x14ac:dyDescent="0.25">
      <c r="A23" s="62">
        <f t="shared" si="1"/>
        <v>182</v>
      </c>
      <c r="B23" s="62" t="str">
        <f>[19]Loan1!$K$3</f>
        <v>Renita</v>
      </c>
      <c r="C23" s="62" t="s">
        <v>139</v>
      </c>
      <c r="D23" s="63" t="str">
        <f>[19]Loan1!$K$2</f>
        <v>L18000D120-Renita-NLoan1</v>
      </c>
      <c r="E23" s="15">
        <f>[19]Loan1!$K$7</f>
        <v>18000</v>
      </c>
      <c r="F23" s="62">
        <f>[19]Loan1!$K$9</f>
        <v>180</v>
      </c>
      <c r="G23" s="19">
        <f t="shared" si="3"/>
        <v>86</v>
      </c>
      <c r="H23" s="62">
        <f>[19]Loan1!$K$10</f>
        <v>120</v>
      </c>
      <c r="I23" s="62">
        <f>[19]Loan1!$K$12</f>
        <v>34</v>
      </c>
      <c r="J23" s="15">
        <f>[19]Loan1!$K$13</f>
        <v>15480</v>
      </c>
      <c r="K23" s="15">
        <f>[19]Loan1!$K$14</f>
        <v>13561.971112790645</v>
      </c>
      <c r="L23" s="64">
        <f>[19]Loan1!$K$15</f>
        <v>4438.0288872093552</v>
      </c>
      <c r="M23" s="64" t="s">
        <v>77</v>
      </c>
      <c r="N23" s="65">
        <f>[19]Loan1!$K$16</f>
        <v>46175</v>
      </c>
      <c r="O23" s="66">
        <f>[19]Loan1!$K$17</f>
        <v>46295</v>
      </c>
      <c r="Q23" s="46"/>
      <c r="R23" s="46" t="s">
        <v>32</v>
      </c>
      <c r="S23" s="46">
        <v>7000</v>
      </c>
    </row>
    <row r="24" spans="1:19" ht="28.5" customHeight="1" x14ac:dyDescent="0.25">
      <c r="A24" s="19">
        <f t="shared" si="1"/>
        <v>183</v>
      </c>
      <c r="B24" s="19" t="str">
        <f>[20]Loan1!$K$3</f>
        <v>Romila</v>
      </c>
      <c r="C24" s="19" t="s">
        <v>139</v>
      </c>
      <c r="D24" s="72" t="str">
        <f>[20]Loan1!$K$2</f>
        <v>L18000D120-Romila-NLoan1</v>
      </c>
      <c r="E24" s="18">
        <f>[20]Loan1!$K$7</f>
        <v>18000</v>
      </c>
      <c r="F24" s="19">
        <f>[20]Loan1!$K$9</f>
        <v>180</v>
      </c>
      <c r="G24" s="19">
        <f t="shared" si="3"/>
        <v>89</v>
      </c>
      <c r="H24" s="19">
        <f>[20]Loan1!$K$10</f>
        <v>120</v>
      </c>
      <c r="I24" s="19">
        <f>[20]Loan1!$K$12</f>
        <v>31</v>
      </c>
      <c r="J24" s="18">
        <f>[20]Loan1!$K$13</f>
        <v>16020</v>
      </c>
      <c r="K24" s="18">
        <f>[20]Loan1!$K$14</f>
        <v>13972.706912542835</v>
      </c>
      <c r="L24" s="73">
        <f>[20]Loan1!$K$15</f>
        <v>4027.2930874571648</v>
      </c>
      <c r="M24" s="73" t="s">
        <v>77</v>
      </c>
      <c r="N24" s="74">
        <f>[20]Loan1!$K$16</f>
        <v>46175</v>
      </c>
      <c r="O24" s="75">
        <f>[20]Loan1!$K$17</f>
        <v>46295</v>
      </c>
      <c r="Q24" s="46"/>
      <c r="R24" s="46" t="s">
        <v>32</v>
      </c>
      <c r="S24" s="46">
        <v>18000</v>
      </c>
    </row>
    <row r="25" spans="1:19" ht="28.5" customHeight="1" x14ac:dyDescent="0.25">
      <c r="A25" s="41">
        <f t="shared" si="1"/>
        <v>184</v>
      </c>
      <c r="B25" s="41" t="str">
        <f>[14]Loan2!$K$3</f>
        <v>Bidyabati2</v>
      </c>
      <c r="C25" s="41" t="s">
        <v>139</v>
      </c>
      <c r="D25" s="67" t="str">
        <f>[14]Loan2!$K$2</f>
        <v>L10000D120-Bidyabati2-NLoan2</v>
      </c>
      <c r="E25" s="68">
        <f>[14]Loan2!$K$7</f>
        <v>10000</v>
      </c>
      <c r="F25" s="41">
        <f>[14]Loan2!$K$9</f>
        <v>100</v>
      </c>
      <c r="G25" s="41">
        <f t="shared" si="3"/>
        <v>0</v>
      </c>
      <c r="H25" s="41">
        <f>[14]Loan2!$K$10</f>
        <v>120</v>
      </c>
      <c r="I25" s="41">
        <f>[14]Loan2!$K$12</f>
        <v>120</v>
      </c>
      <c r="J25" s="68">
        <f>[14]Loan2!$K$13</f>
        <v>0</v>
      </c>
      <c r="K25" s="68">
        <f>[14]Loan2!$K$14</f>
        <v>4.5272940951690543E-10</v>
      </c>
      <c r="L25" s="69">
        <f>[14]Loan2!$K$15</f>
        <v>9999.9999999995471</v>
      </c>
      <c r="M25" s="69" t="s">
        <v>68</v>
      </c>
      <c r="N25" s="70">
        <f>[14]Loan2!$K$16</f>
        <v>46177</v>
      </c>
      <c r="O25" s="71">
        <f>[14]Loan2!$K$17</f>
        <v>46297</v>
      </c>
      <c r="P25" s="42"/>
      <c r="Q25" s="45"/>
      <c r="R25" s="43" t="s">
        <v>32</v>
      </c>
      <c r="S25" s="43">
        <v>18000</v>
      </c>
    </row>
    <row r="26" spans="1:19" ht="28.5" customHeight="1" x14ac:dyDescent="0.25">
      <c r="A26" s="41">
        <f t="shared" si="1"/>
        <v>185</v>
      </c>
      <c r="B26" s="41" t="str">
        <f>[21]Loan1!$K$3</f>
        <v>Pratima</v>
      </c>
      <c r="C26" s="41" t="s">
        <v>139</v>
      </c>
      <c r="D26" s="67" t="str">
        <f>[21]Loan1!$K$2</f>
        <v>L10000D120-Pratima-NLoan1</v>
      </c>
      <c r="E26" s="68">
        <f>[21]Loan1!$K$7</f>
        <v>10000</v>
      </c>
      <c r="F26" s="41">
        <f>[21]Loan1!$K$9</f>
        <v>100</v>
      </c>
      <c r="G26" s="41">
        <f t="shared" ref="G26:G89" si="4">IF(H26,H26-I26,"")</f>
        <v>0</v>
      </c>
      <c r="H26" s="41">
        <f>[21]Loan1!$K$10</f>
        <v>120</v>
      </c>
      <c r="I26" s="41">
        <f>[21]Loan1!$K$12</f>
        <v>120</v>
      </c>
      <c r="J26" s="68">
        <f>[21]Loan1!$K$13</f>
        <v>0</v>
      </c>
      <c r="K26" s="68">
        <f>[21]Loan1!$K$14</f>
        <v>4.5272940951690543E-10</v>
      </c>
      <c r="L26" s="69">
        <f>[21]Loan1!$K$15</f>
        <v>9999.9999999995471</v>
      </c>
      <c r="M26" s="69" t="s">
        <v>77</v>
      </c>
      <c r="N26" s="70">
        <f>[21]Loan1!$K$16</f>
        <v>46178</v>
      </c>
      <c r="O26" s="71">
        <f>[21]Loan1!$K$17</f>
        <v>46298</v>
      </c>
      <c r="P26" s="42"/>
      <c r="Q26" s="45"/>
      <c r="R26" s="43" t="s">
        <v>32</v>
      </c>
      <c r="S26" s="43">
        <v>10000</v>
      </c>
    </row>
    <row r="27" spans="1:19" ht="28.5" customHeight="1" x14ac:dyDescent="0.25">
      <c r="A27" s="41">
        <f t="shared" si="1"/>
        <v>186</v>
      </c>
      <c r="B27" s="41" t="str">
        <f>[22]Loan1!$K$3</f>
        <v>L_Gomti</v>
      </c>
      <c r="C27" s="41" t="s">
        <v>139</v>
      </c>
      <c r="D27" s="67" t="str">
        <f>[22]Loan1!$K$2</f>
        <v>L20000W17-L_Gomti-NLoan1</v>
      </c>
      <c r="E27" s="68">
        <f>[22]Loan1!$K$7</f>
        <v>20000</v>
      </c>
      <c r="F27" s="41">
        <f>[22]Loan1!$K$9</f>
        <v>1400</v>
      </c>
      <c r="G27" s="41">
        <f t="shared" si="4"/>
        <v>0</v>
      </c>
      <c r="H27" s="41">
        <f>[22]Loan1!$K$10</f>
        <v>17</v>
      </c>
      <c r="I27" s="41">
        <f>[22]Loan1!$K$12</f>
        <v>17</v>
      </c>
      <c r="J27" s="68">
        <f>[22]Loan1!$K$13</f>
        <v>0</v>
      </c>
      <c r="K27" s="68">
        <f>[22]Loan1!$K$14</f>
        <v>9.1336005425546318E-10</v>
      </c>
      <c r="L27" s="69">
        <f>[22]Loan1!$K$15</f>
        <v>19999.999999999087</v>
      </c>
      <c r="M27" s="69" t="s">
        <v>68</v>
      </c>
      <c r="N27" s="70">
        <f>[22]Loan1!$K$16</f>
        <v>46185</v>
      </c>
      <c r="O27" s="71">
        <f>[22]Loan1!$K$17</f>
        <v>46304</v>
      </c>
      <c r="P27" s="42"/>
      <c r="Q27" s="45"/>
      <c r="S27" s="43"/>
    </row>
    <row r="28" spans="1:19" ht="28.5" customHeight="1" x14ac:dyDescent="0.25">
      <c r="A28" s="41">
        <f t="shared" si="1"/>
        <v>187</v>
      </c>
      <c r="B28" s="41" t="str">
        <f>'[23]187'!$K$3</f>
        <v>Reena</v>
      </c>
      <c r="C28" s="41" t="s">
        <v>139</v>
      </c>
      <c r="D28" s="67" t="str">
        <f>'[23]187'!$K$2</f>
        <v>L10000W17-Reena-N187</v>
      </c>
      <c r="E28" s="68">
        <f>'[23]187'!$K$7</f>
        <v>10000</v>
      </c>
      <c r="F28" s="41">
        <f>'[23]187'!$K$9</f>
        <v>700</v>
      </c>
      <c r="G28" s="41">
        <f t="shared" si="4"/>
        <v>0</v>
      </c>
      <c r="H28" s="41">
        <f>'[23]187'!$K$10</f>
        <v>17</v>
      </c>
      <c r="I28" s="41">
        <f>'[23]187'!$K$12</f>
        <v>17</v>
      </c>
      <c r="J28" s="68">
        <f>'[23]187'!$K$13</f>
        <v>0</v>
      </c>
      <c r="K28" s="68">
        <f>'[23]187'!$K$14</f>
        <v>4.5668002712773159E-10</v>
      </c>
      <c r="L28" s="69">
        <f>'[23]187'!$K$15</f>
        <v>9999.9999999995434</v>
      </c>
      <c r="M28" s="69" t="s">
        <v>76</v>
      </c>
      <c r="N28" s="70">
        <f>'[23]187'!$K$16</f>
        <v>46190</v>
      </c>
      <c r="O28" s="71">
        <f>'[23]187'!$K$17</f>
        <v>46309</v>
      </c>
      <c r="P28" s="42"/>
      <c r="Q28" s="45"/>
      <c r="S28" s="43"/>
    </row>
    <row r="29" spans="1:19" ht="28.5" customHeight="1" x14ac:dyDescent="0.25">
      <c r="A29" s="41">
        <f t="shared" si="1"/>
        <v>188</v>
      </c>
      <c r="B29" s="41" t="str">
        <f>'[4]188'!$K$3</f>
        <v>Kamala</v>
      </c>
      <c r="C29" s="41" t="s">
        <v>139</v>
      </c>
      <c r="D29" s="67" t="str">
        <f>'[4]188'!$K$2</f>
        <v>L40000D120-Kamala-N188</v>
      </c>
      <c r="E29" s="68">
        <f>'[4]188'!$K$7</f>
        <v>40000</v>
      </c>
      <c r="F29" s="41">
        <f>'[4]188'!$K$9</f>
        <v>400</v>
      </c>
      <c r="G29" s="41">
        <f t="shared" si="4"/>
        <v>0</v>
      </c>
      <c r="H29" s="41">
        <f>'[4]188'!$K$10</f>
        <v>120</v>
      </c>
      <c r="I29" s="41">
        <f>'[4]188'!$K$12</f>
        <v>120</v>
      </c>
      <c r="J29" s="68">
        <f>'[4]188'!$K$13</f>
        <v>0</v>
      </c>
      <c r="K29" s="68">
        <f>'[4]188'!$K$14</f>
        <v>1.8109176380676217E-9</v>
      </c>
      <c r="L29" s="69">
        <f>'[4]188'!$K$15</f>
        <v>39999.999999998188</v>
      </c>
      <c r="M29" s="69" t="s">
        <v>77</v>
      </c>
      <c r="N29" s="70">
        <f>'[4]188'!$K$16</f>
        <v>46190</v>
      </c>
      <c r="O29" s="71">
        <f>'[4]188'!$K$17</f>
        <v>46310</v>
      </c>
      <c r="P29" s="42"/>
      <c r="Q29" s="45"/>
      <c r="S29" s="43">
        <v>10000</v>
      </c>
    </row>
    <row r="30" spans="1:19" ht="28.5" customHeight="1" x14ac:dyDescent="0.25">
      <c r="A30" s="41">
        <f t="shared" si="1"/>
        <v>189</v>
      </c>
      <c r="B30" s="41" t="str">
        <f>'[13]189'!$K$3</f>
        <v>Minarani</v>
      </c>
      <c r="C30" s="41" t="s">
        <v>139</v>
      </c>
      <c r="D30" s="67" t="str">
        <f>'[13]189'!$K$2</f>
        <v>L10000W12-Minarani-N189</v>
      </c>
      <c r="E30" s="68">
        <f>'[13]189'!$K$7</f>
        <v>10000</v>
      </c>
      <c r="F30" s="41">
        <f>'[13]189'!$K$9</f>
        <v>1000</v>
      </c>
      <c r="G30" s="41">
        <f t="shared" si="4"/>
        <v>0</v>
      </c>
      <c r="H30" s="41">
        <f>'[13]189'!$K$10</f>
        <v>12</v>
      </c>
      <c r="I30" s="41">
        <f>'[13]189'!$K$12</f>
        <v>12</v>
      </c>
      <c r="J30" s="68">
        <f>'[13]189'!$K$13</f>
        <v>0</v>
      </c>
      <c r="K30" s="68">
        <f>'[13]189'!$K$14</f>
        <v>3.1195668270811439E-10</v>
      </c>
      <c r="L30" s="69">
        <f>'[13]189'!$K$15</f>
        <v>9999.9999999996871</v>
      </c>
      <c r="M30" s="69" t="s">
        <v>76</v>
      </c>
      <c r="N30" s="70">
        <f>'[13]189'!$K$16</f>
        <v>46193</v>
      </c>
      <c r="O30" s="71">
        <f>'[13]189'!$K$17</f>
        <v>46312</v>
      </c>
      <c r="P30" s="42"/>
      <c r="Q30" s="45"/>
      <c r="S30" s="43">
        <v>40000</v>
      </c>
    </row>
    <row r="31" spans="1:19" ht="28.5" customHeight="1" x14ac:dyDescent="0.25">
      <c r="A31" s="41">
        <f t="shared" si="1"/>
        <v>190</v>
      </c>
      <c r="B31" s="41" t="str">
        <f>'[12]190'!$K$3</f>
        <v>Bidyarani</v>
      </c>
      <c r="C31" s="41" t="s">
        <v>139</v>
      </c>
      <c r="D31" s="67" t="str">
        <f>'[12]190'!$K$2</f>
        <v>L10000W17-Bidyarani-N190</v>
      </c>
      <c r="E31" s="68">
        <f>'[12]190'!$K$7</f>
        <v>10000</v>
      </c>
      <c r="F31" s="41">
        <f>'[12]190'!$K$9</f>
        <v>700</v>
      </c>
      <c r="G31" s="41">
        <f t="shared" si="4"/>
        <v>0</v>
      </c>
      <c r="H31" s="41">
        <f>'[12]190'!$K$10</f>
        <v>17</v>
      </c>
      <c r="I31" s="41">
        <f>'[12]190'!$K$12</f>
        <v>17</v>
      </c>
      <c r="J31" s="68">
        <f>'[12]190'!$K$13</f>
        <v>0</v>
      </c>
      <c r="K31" s="68">
        <f>'[12]190'!$K$14</f>
        <v>4.5668002712773159E-10</v>
      </c>
      <c r="L31" s="69">
        <f>'[12]190'!$K$15</f>
        <v>9999.9999999995434</v>
      </c>
      <c r="M31" s="69" t="s">
        <v>68</v>
      </c>
      <c r="N31" s="70">
        <f>'[12]190'!$K$16</f>
        <v>46194</v>
      </c>
      <c r="O31" s="71">
        <f>'[12]190'!$K$17</f>
        <v>46313</v>
      </c>
      <c r="P31" s="42"/>
      <c r="Q31" s="45"/>
      <c r="S31" s="43"/>
    </row>
    <row r="32" spans="1:19" ht="28.5" customHeight="1" x14ac:dyDescent="0.25">
      <c r="A32" s="41">
        <f t="shared" si="1"/>
        <v>191</v>
      </c>
      <c r="B32" s="41" t="str">
        <f>'[24]191'!$K$3</f>
        <v>A_Ranita</v>
      </c>
      <c r="C32" s="41" t="s">
        <v>139</v>
      </c>
      <c r="D32" s="67" t="str">
        <f>'[24]191'!$K$2</f>
        <v>L30000W17-A_Ranita-N191</v>
      </c>
      <c r="E32" s="68">
        <f>'[24]191'!$K$7</f>
        <v>30000</v>
      </c>
      <c r="F32" s="41">
        <f>'[24]191'!$K$9</f>
        <v>2100</v>
      </c>
      <c r="G32" s="41">
        <f t="shared" si="4"/>
        <v>0</v>
      </c>
      <c r="H32" s="41">
        <f>'[24]191'!$K$10</f>
        <v>17</v>
      </c>
      <c r="I32" s="41">
        <f>'[24]191'!$K$12</f>
        <v>17</v>
      </c>
      <c r="J32" s="68">
        <f>'[24]191'!$K$13</f>
        <v>0</v>
      </c>
      <c r="K32" s="68">
        <f>'[24]191'!$K$14</f>
        <v>1.2778400559909642E-9</v>
      </c>
      <c r="L32" s="69">
        <f>'[24]191'!$K$15</f>
        <v>29999.999999998723</v>
      </c>
      <c r="M32" s="69" t="s">
        <v>63</v>
      </c>
      <c r="N32" s="70">
        <f>'[24]191'!$K$16</f>
        <v>46201</v>
      </c>
      <c r="O32" s="71">
        <f>'[24]191'!$K$17</f>
        <v>46320</v>
      </c>
      <c r="P32" s="42"/>
      <c r="Q32" s="45"/>
      <c r="S32" s="43">
        <v>10000</v>
      </c>
    </row>
    <row r="33" spans="1:19" ht="28.5" customHeight="1" x14ac:dyDescent="0.25">
      <c r="A33" s="62">
        <f t="shared" si="1"/>
        <v>192</v>
      </c>
      <c r="B33" s="62" t="str">
        <f>'[25]192'!$K$3</f>
        <v>Th_Memcha</v>
      </c>
      <c r="C33" s="62" t="s">
        <v>6</v>
      </c>
      <c r="D33" s="63" t="str">
        <f>'[25]192'!$K$2</f>
        <v>L10000W17-Th_Memcha-N192</v>
      </c>
      <c r="E33" s="15">
        <f>'[25]192'!$K$7</f>
        <v>10000</v>
      </c>
      <c r="F33" s="62">
        <f>'[25]192'!$K$9</f>
        <v>700</v>
      </c>
      <c r="G33" s="19">
        <f t="shared" si="4"/>
        <v>2</v>
      </c>
      <c r="H33" s="62">
        <f>'[25]192'!$K$10</f>
        <v>17</v>
      </c>
      <c r="I33" s="62">
        <f>'[25]192'!$K$12</f>
        <v>15</v>
      </c>
      <c r="J33" s="15">
        <f>'[25]192'!$K$13</f>
        <v>1400</v>
      </c>
      <c r="K33" s="15">
        <f>'[25]192'!$K$14</f>
        <v>1358.9899483407528</v>
      </c>
      <c r="L33" s="64">
        <f>'[25]192'!$K$15</f>
        <v>8641.0100516592465</v>
      </c>
      <c r="M33" s="64" t="s">
        <v>68</v>
      </c>
      <c r="N33" s="65">
        <f>'[25]192'!$K$16</f>
        <v>46206</v>
      </c>
      <c r="O33" s="66">
        <f>'[25]192'!$K$17</f>
        <v>46325</v>
      </c>
      <c r="Q33" s="43">
        <v>700</v>
      </c>
      <c r="S33" s="43"/>
    </row>
    <row r="34" spans="1:19" ht="28.5" customHeight="1" x14ac:dyDescent="0.25">
      <c r="A34" s="41">
        <f t="shared" si="1"/>
        <v>193</v>
      </c>
      <c r="B34" s="41" t="str">
        <f>'[26]193'!$K$3</f>
        <v>Y_Seema</v>
      </c>
      <c r="C34" s="41" t="s">
        <v>139</v>
      </c>
      <c r="D34" s="67" t="str">
        <f>'[26]193'!$K$2</f>
        <v>L20000W17-Y_Seema-N193</v>
      </c>
      <c r="E34" s="68">
        <f>'[26]193'!$K$7</f>
        <v>20000</v>
      </c>
      <c r="F34" s="41">
        <f>'[26]193'!$K$9</f>
        <v>1400</v>
      </c>
      <c r="G34" s="41">
        <f t="shared" si="4"/>
        <v>0</v>
      </c>
      <c r="H34" s="41">
        <f>'[26]193'!$K$10</f>
        <v>17</v>
      </c>
      <c r="I34" s="41">
        <f>'[26]193'!$K$12</f>
        <v>17</v>
      </c>
      <c r="J34" s="68">
        <f>'[26]193'!$K$13</f>
        <v>0</v>
      </c>
      <c r="K34" s="68">
        <f>'[26]193'!$K$14</f>
        <v>9.1336005425546318E-10</v>
      </c>
      <c r="L34" s="69">
        <f>'[26]193'!$K$15</f>
        <v>19999.999999999087</v>
      </c>
      <c r="M34" s="69" t="s">
        <v>78</v>
      </c>
      <c r="N34" s="70">
        <f>'[26]193'!$K$16</f>
        <v>46204</v>
      </c>
      <c r="O34" s="71">
        <f>'[26]193'!$K$17</f>
        <v>46323</v>
      </c>
      <c r="P34" s="42"/>
      <c r="Q34" s="45"/>
      <c r="S34" s="43"/>
    </row>
    <row r="35" spans="1:19" ht="28.5" customHeight="1" x14ac:dyDescent="0.25">
      <c r="A35" s="41">
        <f t="shared" si="1"/>
        <v>194</v>
      </c>
      <c r="B35" s="41" t="str">
        <f>'[27]194'!$K$3</f>
        <v>Salam_Echal</v>
      </c>
      <c r="C35" s="41" t="s">
        <v>139</v>
      </c>
      <c r="D35" s="67" t="str">
        <f>'[27]194'!$K$2</f>
        <v>L20000W17-Salam_Echal-N194</v>
      </c>
      <c r="E35" s="68">
        <f>'[27]194'!$K$7</f>
        <v>20000</v>
      </c>
      <c r="F35" s="41">
        <f>'[27]194'!$K$9</f>
        <v>1400</v>
      </c>
      <c r="G35" s="41">
        <f t="shared" si="4"/>
        <v>0</v>
      </c>
      <c r="H35" s="41">
        <f>'[27]194'!$K$10</f>
        <v>17</v>
      </c>
      <c r="I35" s="41">
        <f>'[27]194'!$K$12</f>
        <v>17</v>
      </c>
      <c r="J35" s="68">
        <f>'[27]194'!$K$13</f>
        <v>0</v>
      </c>
      <c r="K35" s="68">
        <f>'[27]194'!$K$14</f>
        <v>9.1336005425546318E-10</v>
      </c>
      <c r="L35" s="69">
        <f>'[27]194'!$K$15</f>
        <v>19999.999999999087</v>
      </c>
      <c r="M35" s="69" t="s">
        <v>79</v>
      </c>
      <c r="N35" s="70">
        <f>'[27]194'!$K$16</f>
        <v>46202</v>
      </c>
      <c r="O35" s="71">
        <f>'[27]194'!$K$17</f>
        <v>46321</v>
      </c>
      <c r="P35" s="42"/>
      <c r="Q35" s="45"/>
      <c r="S35" s="43">
        <v>20000</v>
      </c>
    </row>
    <row r="36" spans="1:19" ht="28.5" customHeight="1" x14ac:dyDescent="0.25">
      <c r="A36" s="19">
        <f t="shared" si="1"/>
        <v>195</v>
      </c>
      <c r="B36" s="19" t="str">
        <f>'[6]195'!$K$3</f>
        <v>Sanarei_Group</v>
      </c>
      <c r="C36" s="19" t="s">
        <v>6</v>
      </c>
      <c r="D36" s="72" t="str">
        <f>'[6]195'!$K$2</f>
        <v>L180000W17-Sanarei_Group-N195</v>
      </c>
      <c r="E36" s="18">
        <f>'[6]195'!$K$7</f>
        <v>180000</v>
      </c>
      <c r="F36" s="19">
        <f>'[6]195'!$K$9</f>
        <v>12600</v>
      </c>
      <c r="G36" s="19">
        <f t="shared" si="4"/>
        <v>3</v>
      </c>
      <c r="H36" s="19">
        <f>'[6]195'!$K$10</f>
        <v>17</v>
      </c>
      <c r="I36" s="19">
        <f>'[6]195'!$K$12</f>
        <v>14</v>
      </c>
      <c r="J36" s="18">
        <f>'[6]195'!$K$13</f>
        <v>37800</v>
      </c>
      <c r="K36" s="18">
        <f>'[6]195'!$K$14</f>
        <v>36333.28004966757</v>
      </c>
      <c r="L36" s="73">
        <f>'[6]195'!$K$15</f>
        <v>143666.71995033242</v>
      </c>
      <c r="M36" s="73" t="s">
        <v>68</v>
      </c>
      <c r="N36" s="74">
        <f>'[6]195'!$K$16</f>
        <v>46206</v>
      </c>
      <c r="O36" s="75">
        <f>'[6]195'!$K$17</f>
        <v>46325</v>
      </c>
      <c r="Q36" s="43">
        <v>12600</v>
      </c>
      <c r="S36" s="43"/>
    </row>
    <row r="37" spans="1:19" ht="28.5" customHeight="1" x14ac:dyDescent="0.3">
      <c r="A37" s="62">
        <f t="shared" si="1"/>
        <v>196</v>
      </c>
      <c r="B37" s="62" t="str">
        <f>'[15]196'!$K$3</f>
        <v>Lanchenbi_Ranibala</v>
      </c>
      <c r="C37" s="62" t="s">
        <v>139</v>
      </c>
      <c r="D37" s="63" t="str">
        <f>'[15]196'!$K$2</f>
        <v>L10000W17-Lanchenbi_Ranibala-N196</v>
      </c>
      <c r="E37" s="15">
        <f>'[15]196'!$K$7</f>
        <v>10000</v>
      </c>
      <c r="F37" s="62">
        <f>'[15]196'!$K$9</f>
        <v>700</v>
      </c>
      <c r="G37" s="19">
        <f t="shared" si="4"/>
        <v>12</v>
      </c>
      <c r="H37" s="62">
        <f>'[15]196'!$K$10</f>
        <v>17</v>
      </c>
      <c r="I37" s="62">
        <f>'[15]196'!$K$12</f>
        <v>5</v>
      </c>
      <c r="J37" s="15">
        <f>'[15]196'!$K$13</f>
        <v>8400</v>
      </c>
      <c r="K37" s="15">
        <f>'[15]196'!$K$14</f>
        <v>7400.3952159756873</v>
      </c>
      <c r="L37" s="64">
        <f>'[15]196'!$K$15</f>
        <v>2599.6047840243127</v>
      </c>
      <c r="M37" s="64" t="s">
        <v>68</v>
      </c>
      <c r="N37" s="65">
        <f>'[15]196'!$K$16</f>
        <v>46206</v>
      </c>
      <c r="O37" s="66">
        <f>'[15]196'!$K$17</f>
        <v>46325</v>
      </c>
    </row>
    <row r="38" spans="1:19" ht="28.5" customHeight="1" x14ac:dyDescent="0.25">
      <c r="A38" s="41">
        <f t="shared" si="1"/>
        <v>197</v>
      </c>
      <c r="B38" s="41" t="str">
        <f>'[16]197'!$K$3</f>
        <v>Lanchenbi_Samila</v>
      </c>
      <c r="C38" s="41" t="s">
        <v>139</v>
      </c>
      <c r="D38" s="67" t="str">
        <f>'[16]197'!$K$2</f>
        <v>L20000W17-Lanchenbi_Samila-N197</v>
      </c>
      <c r="E38" s="68">
        <f>'[16]197'!$K$7</f>
        <v>20000</v>
      </c>
      <c r="F38" s="41">
        <f>'[16]197'!$K$9</f>
        <v>1400</v>
      </c>
      <c r="G38" s="41">
        <f t="shared" si="4"/>
        <v>0</v>
      </c>
      <c r="H38" s="41">
        <f>'[16]197'!$K$10</f>
        <v>17</v>
      </c>
      <c r="I38" s="41">
        <f>'[16]197'!$K$12</f>
        <v>17</v>
      </c>
      <c r="J38" s="68">
        <f>'[16]197'!$K$13</f>
        <v>0</v>
      </c>
      <c r="K38" s="68">
        <f>'[16]197'!$K$14</f>
        <v>9.1336005425546318E-10</v>
      </c>
      <c r="L38" s="69">
        <f>'[16]197'!$K$15</f>
        <v>19999.999999999087</v>
      </c>
      <c r="M38" s="69" t="s">
        <v>68</v>
      </c>
      <c r="N38" s="70">
        <f>'[16]197'!$K$16</f>
        <v>46206</v>
      </c>
      <c r="O38" s="71">
        <f>'[16]197'!$K$17</f>
        <v>46325</v>
      </c>
      <c r="P38" s="42"/>
      <c r="Q38" s="45"/>
      <c r="S38" s="43"/>
    </row>
    <row r="39" spans="1:19" ht="28.5" customHeight="1" x14ac:dyDescent="0.25">
      <c r="A39" s="41">
        <f t="shared" si="1"/>
        <v>198</v>
      </c>
      <c r="B39" s="41" t="str">
        <f>'[10]198'!$K$3</f>
        <v>Mutum_Sandhyarani</v>
      </c>
      <c r="C39" s="41" t="s">
        <v>139</v>
      </c>
      <c r="D39" s="67" t="str">
        <f>'[10]198'!$K$2</f>
        <v>L20000W17-Mutum_Sandhyarani-N198</v>
      </c>
      <c r="E39" s="68">
        <f>'[10]198'!$K$7</f>
        <v>20000</v>
      </c>
      <c r="F39" s="41">
        <f>'[10]198'!$K$9</f>
        <v>1400</v>
      </c>
      <c r="G39" s="41">
        <f t="shared" si="4"/>
        <v>0</v>
      </c>
      <c r="H39" s="41">
        <f>'[10]198'!$K$10</f>
        <v>17</v>
      </c>
      <c r="I39" s="41">
        <f>'[10]198'!$K$12</f>
        <v>17</v>
      </c>
      <c r="J39" s="68">
        <f>'[10]198'!$K$13</f>
        <v>0</v>
      </c>
      <c r="K39" s="68">
        <f>'[10]198'!$K$14</f>
        <v>9.1336005425546318E-10</v>
      </c>
      <c r="L39" s="69">
        <f>'[10]198'!$K$15</f>
        <v>19999.999999999087</v>
      </c>
      <c r="M39" s="69" t="s">
        <v>68</v>
      </c>
      <c r="N39" s="70">
        <f>'[10]198'!$K$16</f>
        <v>46205</v>
      </c>
      <c r="O39" s="71">
        <f>'[10]198'!$K$17</f>
        <v>46324</v>
      </c>
      <c r="P39" s="42"/>
      <c r="Q39" s="45"/>
      <c r="S39" s="43"/>
    </row>
    <row r="40" spans="1:19" ht="28.5" customHeight="1" x14ac:dyDescent="0.25">
      <c r="A40" s="41">
        <f t="shared" si="1"/>
        <v>199</v>
      </c>
      <c r="B40" s="41" t="str">
        <f>'[13]199'!$K$3</f>
        <v>Minarani</v>
      </c>
      <c r="C40" s="41" t="s">
        <v>139</v>
      </c>
      <c r="D40" s="67" t="str">
        <f>'[13]199'!$K$2</f>
        <v>L30000W12-Minarani-N199</v>
      </c>
      <c r="E40" s="68">
        <f>'[13]199'!$K$7</f>
        <v>30000</v>
      </c>
      <c r="F40" s="41">
        <f>'[13]199'!$K$9</f>
        <v>3000</v>
      </c>
      <c r="G40" s="41">
        <f t="shared" si="4"/>
        <v>0</v>
      </c>
      <c r="H40" s="41">
        <f>'[13]199'!$K$10</f>
        <v>12</v>
      </c>
      <c r="I40" s="41">
        <f>'[13]199'!$K$12</f>
        <v>12</v>
      </c>
      <c r="J40" s="68">
        <f>'[13]199'!$K$13</f>
        <v>0</v>
      </c>
      <c r="K40" s="68">
        <f>'[13]199'!$K$14</f>
        <v>9.7497832030057907E-10</v>
      </c>
      <c r="L40" s="69">
        <f>'[13]199'!$K$15</f>
        <v>29999.999999999025</v>
      </c>
      <c r="M40" s="69" t="s">
        <v>76</v>
      </c>
      <c r="N40" s="70">
        <f>'[13]199'!$K$16</f>
        <v>46212</v>
      </c>
      <c r="O40" s="71">
        <f>'[13]199'!$K$17</f>
        <v>46331</v>
      </c>
      <c r="P40" s="42"/>
      <c r="Q40" s="45"/>
      <c r="S40" s="43"/>
    </row>
    <row r="41" spans="1:19" ht="28.5" customHeight="1" x14ac:dyDescent="0.3">
      <c r="A41" s="62">
        <f t="shared" si="1"/>
        <v>200</v>
      </c>
      <c r="B41" s="62" t="str">
        <f>'[7]200'!$K$3</f>
        <v>Ronel</v>
      </c>
      <c r="C41" s="62" t="s">
        <v>6</v>
      </c>
      <c r="D41" s="63" t="str">
        <f>'[7]200'!$K$2</f>
        <v>L30000W17-Ronel-N200</v>
      </c>
      <c r="E41" s="15">
        <f>'[7]200'!$K$7</f>
        <v>30000</v>
      </c>
      <c r="F41" s="62">
        <f>'[7]200'!$K$9</f>
        <v>2100</v>
      </c>
      <c r="G41" s="19">
        <f t="shared" si="4"/>
        <v>4</v>
      </c>
      <c r="H41" s="62">
        <f>'[7]200'!$K$10</f>
        <v>17</v>
      </c>
      <c r="I41" s="62">
        <f>'[7]200'!$K$12</f>
        <v>13</v>
      </c>
      <c r="J41" s="15">
        <f>'[7]200'!$K$13</f>
        <v>8400</v>
      </c>
      <c r="K41" s="15">
        <f>'[7]200'!$K$14</f>
        <v>7995.2298277146756</v>
      </c>
      <c r="L41" s="64">
        <f>'[7]200'!$K$15</f>
        <v>22004.770172285323</v>
      </c>
      <c r="M41" s="64" t="s">
        <v>68</v>
      </c>
      <c r="N41" s="65">
        <f>'[7]200'!$K$16</f>
        <v>46220</v>
      </c>
      <c r="O41" s="66">
        <f>'[7]200'!$K$17</f>
        <v>46339</v>
      </c>
      <c r="Q41" s="43">
        <v>2100</v>
      </c>
    </row>
    <row r="42" spans="1:19" ht="28.5" customHeight="1" x14ac:dyDescent="0.3">
      <c r="A42" s="19">
        <f t="shared" si="1"/>
        <v>201</v>
      </c>
      <c r="B42" s="19" t="str">
        <f>'[28]195'!$K$3</f>
        <v>Khurai_Ahongei_Group</v>
      </c>
      <c r="C42" s="19" t="s">
        <v>6</v>
      </c>
      <c r="D42" s="72" t="str">
        <f>'[28]195'!$K$2</f>
        <v>L100000W17-Khurai_Ahongei_Group-N195</v>
      </c>
      <c r="E42" s="18">
        <f>'[28]195'!$K$7</f>
        <v>100000</v>
      </c>
      <c r="F42" s="19">
        <f>'[28]195'!$K$9</f>
        <v>7000</v>
      </c>
      <c r="G42" s="19">
        <f t="shared" si="4"/>
        <v>5</v>
      </c>
      <c r="H42" s="19">
        <f>'[28]195'!$K$10</f>
        <v>17</v>
      </c>
      <c r="I42" s="19">
        <f>'[28]195'!$K$12</f>
        <v>12</v>
      </c>
      <c r="J42" s="18">
        <f>'[28]195'!$K$13</f>
        <v>35000</v>
      </c>
      <c r="K42" s="18">
        <f>'[28]195'!$K$14</f>
        <v>32989.279506403145</v>
      </c>
      <c r="L42" s="73">
        <f>'[28]195'!$K$15</f>
        <v>67010.720493596862</v>
      </c>
      <c r="M42" s="73" t="s">
        <v>79</v>
      </c>
      <c r="N42" s="74">
        <f>'[28]195'!$K$16</f>
        <v>46230</v>
      </c>
      <c r="O42" s="75">
        <f>'[28]195'!$K$17</f>
        <v>46349</v>
      </c>
      <c r="Q42" s="43">
        <v>7000</v>
      </c>
    </row>
    <row r="43" spans="1:19" ht="28.5" customHeight="1" x14ac:dyDescent="0.3">
      <c r="A43" s="62">
        <f t="shared" si="1"/>
        <v>202</v>
      </c>
      <c r="B43" s="62" t="str">
        <f>'[29]202'!$K$3</f>
        <v>Kakwa_Lamdaibung</v>
      </c>
      <c r="C43" s="62" t="s">
        <v>6</v>
      </c>
      <c r="D43" s="63" t="str">
        <f>'[29]202'!$K$2</f>
        <v>L60000W17-Kakwa_Lamdaibung-N202</v>
      </c>
      <c r="E43" s="15">
        <f>'[29]202'!$K$7</f>
        <v>60000</v>
      </c>
      <c r="F43" s="62">
        <f>'[29]202'!$K$9</f>
        <v>4200</v>
      </c>
      <c r="G43" s="19">
        <f t="shared" si="4"/>
        <v>6</v>
      </c>
      <c r="H43" s="62">
        <f>'[29]202'!$K$10</f>
        <v>17</v>
      </c>
      <c r="I43" s="62">
        <f>'[29]202'!$K$12</f>
        <v>11</v>
      </c>
      <c r="J43" s="15">
        <f>'[29]202'!$K$13</f>
        <v>25200</v>
      </c>
      <c r="K43" s="15">
        <f>'[29]202'!$K$14</f>
        <v>23521.916534228407</v>
      </c>
      <c r="L43" s="64">
        <f>'[29]202'!$K$15</f>
        <v>36478.08346577159</v>
      </c>
      <c r="M43" s="64" t="s">
        <v>78</v>
      </c>
      <c r="N43" s="65">
        <f>'[29]202'!$K$16</f>
        <v>46232</v>
      </c>
      <c r="O43" s="66">
        <f>'[29]202'!$K$17</f>
        <v>46351</v>
      </c>
      <c r="Q43" s="43">
        <v>4200</v>
      </c>
    </row>
    <row r="44" spans="1:19" ht="28.5" customHeight="1" x14ac:dyDescent="0.3">
      <c r="A44" s="36">
        <f t="shared" si="1"/>
        <v>203</v>
      </c>
      <c r="B44" s="36" t="str">
        <f>'[30]203'!$K$3</f>
        <v>Muktasana</v>
      </c>
      <c r="C44" s="36" t="s">
        <v>6</v>
      </c>
      <c r="D44" s="38" t="str">
        <f>'[30]203'!$K$2</f>
        <v>L20000W17-Muktasana-N203</v>
      </c>
      <c r="E44" s="39">
        <f>'[30]203'!$K$7</f>
        <v>20000</v>
      </c>
      <c r="F44" s="36">
        <f>'[30]203'!$K$9</f>
        <v>1400</v>
      </c>
      <c r="G44" s="19">
        <f t="shared" si="4"/>
        <v>6</v>
      </c>
      <c r="H44" s="36">
        <f>'[30]203'!$K$10</f>
        <v>17</v>
      </c>
      <c r="I44" s="36">
        <f>'[30]203'!$K$12</f>
        <v>11</v>
      </c>
      <c r="J44" s="39">
        <f>'[30]203'!$K$13</f>
        <v>8400</v>
      </c>
      <c r="K44" s="39">
        <f>'[30]203'!$K$14</f>
        <v>7840.638844742849</v>
      </c>
      <c r="L44" s="40">
        <f>'[30]203'!$K$15</f>
        <v>12159.361155257151</v>
      </c>
      <c r="M44" s="40" t="s">
        <v>68</v>
      </c>
      <c r="N44" s="20">
        <f>'[30]203'!$K$16</f>
        <v>46234</v>
      </c>
      <c r="O44" s="21">
        <f>'[30]203'!$K$17</f>
        <v>46353</v>
      </c>
      <c r="Q44" s="43">
        <v>1400</v>
      </c>
    </row>
    <row r="45" spans="1:19" ht="28.5" customHeight="1" x14ac:dyDescent="0.3">
      <c r="A45" s="33">
        <f t="shared" si="1"/>
        <v>204</v>
      </c>
      <c r="B45" s="33" t="str">
        <f>'[4]204'!$K$3</f>
        <v>kamala</v>
      </c>
      <c r="C45" s="33" t="s">
        <v>6</v>
      </c>
      <c r="D45" s="34" t="str">
        <f>'[4]204'!$K$2</f>
        <v>L20000W17-kamala-N204</v>
      </c>
      <c r="E45" s="35">
        <f>'[4]204'!$K$7</f>
        <v>20000</v>
      </c>
      <c r="F45" s="33">
        <f>'[4]204'!$K$9</f>
        <v>1400</v>
      </c>
      <c r="G45" s="19">
        <f t="shared" si="4"/>
        <v>7</v>
      </c>
      <c r="H45" s="33">
        <f>'[4]204'!$K$10</f>
        <v>17</v>
      </c>
      <c r="I45" s="33">
        <f>'[4]204'!$K$12</f>
        <v>10</v>
      </c>
      <c r="J45" s="35">
        <f>'[4]204'!$K$13</f>
        <v>9800</v>
      </c>
      <c r="K45" s="35">
        <f>'[4]204'!$K$14</f>
        <v>9058.9919061592918</v>
      </c>
      <c r="L45" s="37">
        <f>'[4]204'!$K$15</f>
        <v>10941.008093840708</v>
      </c>
      <c r="M45" s="37" t="s">
        <v>68</v>
      </c>
      <c r="N45" s="22">
        <f>'[4]204'!$K$16</f>
        <v>46241</v>
      </c>
      <c r="O45" s="23">
        <f>'[4]204'!$K$17</f>
        <v>46360</v>
      </c>
      <c r="Q45" s="43">
        <v>1400</v>
      </c>
    </row>
    <row r="46" spans="1:19" ht="28.5" customHeight="1" x14ac:dyDescent="0.3">
      <c r="A46" s="36">
        <f t="shared" si="1"/>
        <v>205</v>
      </c>
      <c r="B46" s="36" t="str">
        <f>'[31]205'!$K$3</f>
        <v>Sunita_Group</v>
      </c>
      <c r="C46" s="36" t="s">
        <v>6</v>
      </c>
      <c r="D46" s="38" t="str">
        <f>'[31]205'!$K$2</f>
        <v>L100000W17-Sunita_Group-N205</v>
      </c>
      <c r="E46" s="39">
        <f>'[31]205'!$K$7</f>
        <v>100000</v>
      </c>
      <c r="F46" s="36">
        <f>'[31]205'!$K$9</f>
        <v>7000</v>
      </c>
      <c r="G46" s="19">
        <f t="shared" si="4"/>
        <v>7</v>
      </c>
      <c r="H46" s="36">
        <f>'[31]205'!$K$10</f>
        <v>17</v>
      </c>
      <c r="I46" s="36">
        <f>'[31]205'!$K$12</f>
        <v>10</v>
      </c>
      <c r="J46" s="39">
        <f>'[31]205'!$K$13</f>
        <v>49000</v>
      </c>
      <c r="K46" s="39">
        <f>'[31]205'!$K$14</f>
        <v>45294.959530796019</v>
      </c>
      <c r="L46" s="40">
        <f>'[31]205'!$K$15</f>
        <v>54705.040469203981</v>
      </c>
      <c r="M46" s="40" t="s">
        <v>79</v>
      </c>
      <c r="N46" s="20">
        <f>'[31]205'!$K$16</f>
        <v>46244</v>
      </c>
      <c r="O46" s="21">
        <f>'[31]205'!$K$17</f>
        <v>46363</v>
      </c>
      <c r="Q46" s="43">
        <v>7000</v>
      </c>
    </row>
    <row r="47" spans="1:19" ht="28.5" customHeight="1" x14ac:dyDescent="0.3">
      <c r="A47" s="33">
        <f t="shared" si="1"/>
        <v>206</v>
      </c>
      <c r="B47" s="33" t="str">
        <f>'[9]206'!$K$3</f>
        <v>Salam_Bidyalaxmi</v>
      </c>
      <c r="C47" s="33" t="s">
        <v>139</v>
      </c>
      <c r="D47" s="34" t="str">
        <f>'[9]206'!$K$2</f>
        <v>L10000D60-Salam_Bidyalaxmi-N206</v>
      </c>
      <c r="E47" s="35">
        <f>'[9]206'!$K$7</f>
        <v>10000</v>
      </c>
      <c r="F47" s="33">
        <f>'[9]206'!$K$9</f>
        <v>200</v>
      </c>
      <c r="G47" s="19">
        <f t="shared" si="4"/>
        <v>43</v>
      </c>
      <c r="H47" s="33">
        <f>'[9]206'!$K$10</f>
        <v>60</v>
      </c>
      <c r="I47" s="33">
        <f>'[9]206'!$K$12</f>
        <v>17</v>
      </c>
      <c r="J47" s="35">
        <f>'[9]206'!$K$13</f>
        <v>8600</v>
      </c>
      <c r="K47" s="35">
        <f>'[9]206'!$K$14</f>
        <v>7531.3191972432815</v>
      </c>
      <c r="L47" s="37">
        <f>'[9]206'!$K$15</f>
        <v>2468.6808027567185</v>
      </c>
      <c r="M47" s="37" t="s">
        <v>77</v>
      </c>
      <c r="N47" s="22">
        <f>'[9]206'!$K$16</f>
        <v>46240</v>
      </c>
      <c r="O47" s="23">
        <f>'[9]206'!$K$17</f>
        <v>46360</v>
      </c>
    </row>
    <row r="48" spans="1:19" ht="28.5" customHeight="1" x14ac:dyDescent="0.3">
      <c r="A48" s="36">
        <f t="shared" si="1"/>
        <v>207</v>
      </c>
      <c r="B48" s="36" t="str">
        <f>'[32]207'!$K$3</f>
        <v>Shantibala</v>
      </c>
      <c r="C48" s="36" t="s">
        <v>139</v>
      </c>
      <c r="D48" s="38" t="str">
        <f>'[32]207'!$K$2</f>
        <v>L20000D80-Shantibala-N207</v>
      </c>
      <c r="E48" s="39">
        <f>'[32]207'!$K$7</f>
        <v>20000</v>
      </c>
      <c r="F48" s="36">
        <f>'[32]207'!$K$9</f>
        <v>300</v>
      </c>
      <c r="G48" s="19">
        <f t="shared" si="4"/>
        <v>45</v>
      </c>
      <c r="H48" s="36">
        <f>'[32]207'!$K$10</f>
        <v>80</v>
      </c>
      <c r="I48" s="36">
        <f>'[32]207'!$K$12</f>
        <v>35</v>
      </c>
      <c r="J48" s="39">
        <f>'[32]207'!$K$13</f>
        <v>13500</v>
      </c>
      <c r="K48" s="39">
        <f>'[32]207'!$K$14</f>
        <v>12154.574982735843</v>
      </c>
      <c r="L48" s="40">
        <f>'[32]207'!$K$15</f>
        <v>7845.4250172641568</v>
      </c>
      <c r="M48" s="40" t="s">
        <v>77</v>
      </c>
      <c r="N48" s="20">
        <f>'[32]207'!$K$16</f>
        <v>46242</v>
      </c>
      <c r="O48" s="21">
        <f>'[32]207'!$K$17</f>
        <v>46362</v>
      </c>
      <c r="Q48" s="43">
        <v>2100</v>
      </c>
    </row>
    <row r="49" spans="1:19" ht="28.5" customHeight="1" x14ac:dyDescent="0.3">
      <c r="A49" s="33">
        <f t="shared" si="1"/>
        <v>208</v>
      </c>
      <c r="B49" s="33" t="str">
        <f>'[33]208'!$K$3</f>
        <v>Wangkheimayum_Thoibisana</v>
      </c>
      <c r="C49" s="33" t="s">
        <v>139</v>
      </c>
      <c r="D49" s="34" t="str">
        <f>'[33]208'!$K$2</f>
        <v>L20000W17-Wangkheimayum_Thoibisana-N208</v>
      </c>
      <c r="E49" s="35">
        <f>'[33]208'!$K$7</f>
        <v>20000</v>
      </c>
      <c r="F49" s="33">
        <f>'[33]208'!$K$9</f>
        <v>1400</v>
      </c>
      <c r="G49" s="19">
        <f t="shared" si="4"/>
        <v>11</v>
      </c>
      <c r="H49" s="33">
        <f>'[33]208'!$K$10</f>
        <v>17</v>
      </c>
      <c r="I49" s="33">
        <f>'[33]208'!$K$12</f>
        <v>6</v>
      </c>
      <c r="J49" s="35">
        <f>'[33]208'!$K$13</f>
        <v>15400</v>
      </c>
      <c r="K49" s="35">
        <f>'[33]208'!$K$14</f>
        <v>13697.569400122526</v>
      </c>
      <c r="L49" s="37">
        <f>'[33]208'!$K$15</f>
        <v>6302.4305998774744</v>
      </c>
      <c r="M49" s="37" t="s">
        <v>68</v>
      </c>
      <c r="N49" s="22">
        <f>'[33]208'!$K$16</f>
        <v>46248</v>
      </c>
      <c r="O49" s="23">
        <f>'[33]208'!$K$17</f>
        <v>46367</v>
      </c>
      <c r="Q49" s="43">
        <v>1400</v>
      </c>
    </row>
    <row r="50" spans="1:19" ht="28.5" customHeight="1" x14ac:dyDescent="0.25">
      <c r="A50" s="41">
        <f t="shared" si="1"/>
        <v>209</v>
      </c>
      <c r="B50" s="41" t="str">
        <f>'[21]209'!$K$3</f>
        <v>Pratima</v>
      </c>
      <c r="C50" s="41" t="s">
        <v>139</v>
      </c>
      <c r="D50" s="67" t="str">
        <f>'[21]209'!$K$2</f>
        <v>L5000D60-Pratima-N209</v>
      </c>
      <c r="E50" s="68">
        <f>'[21]209'!$K$7</f>
        <v>5000</v>
      </c>
      <c r="F50" s="41">
        <f>'[21]209'!$K$9</f>
        <v>100</v>
      </c>
      <c r="G50" s="41">
        <f t="shared" si="4"/>
        <v>0</v>
      </c>
      <c r="H50" s="41">
        <f>'[21]209'!$K$10</f>
        <v>60</v>
      </c>
      <c r="I50" s="41">
        <f>'[21]209'!$K$12</f>
        <v>60</v>
      </c>
      <c r="J50" s="68">
        <f>'[21]209'!$K$13</f>
        <v>0</v>
      </c>
      <c r="K50" s="68">
        <f>'[21]209'!$K$14</f>
        <v>-3.4034997042908799E-11</v>
      </c>
      <c r="L50" s="69">
        <f>'[21]209'!$K$15</f>
        <v>5000.0000000000337</v>
      </c>
      <c r="M50" s="69" t="s">
        <v>77</v>
      </c>
      <c r="N50" s="70">
        <f>'[21]209'!$K$16</f>
        <v>46246</v>
      </c>
      <c r="O50" s="71">
        <f>'[21]209'!$K$17</f>
        <v>46366</v>
      </c>
      <c r="P50" s="42"/>
      <c r="Q50" s="45"/>
      <c r="S50" s="43"/>
    </row>
    <row r="51" spans="1:19" ht="28.5" customHeight="1" x14ac:dyDescent="0.3">
      <c r="A51" s="33">
        <f t="shared" si="1"/>
        <v>210</v>
      </c>
      <c r="B51" s="33" t="str">
        <f>'[11]210'!$K$3</f>
        <v>Sudhana</v>
      </c>
      <c r="C51" s="33" t="s">
        <v>6</v>
      </c>
      <c r="D51" s="34" t="str">
        <f>'[11]210'!$K$2</f>
        <v>L20000W17-Sudhana-N210</v>
      </c>
      <c r="E51" s="35">
        <f>'[11]210'!$K$7</f>
        <v>20000</v>
      </c>
      <c r="F51" s="33">
        <f>'[11]210'!$K$9</f>
        <v>1400</v>
      </c>
      <c r="G51" s="19">
        <f t="shared" si="4"/>
        <v>9</v>
      </c>
      <c r="H51" s="33">
        <f>'[11]210'!$K$10</f>
        <v>17</v>
      </c>
      <c r="I51" s="33">
        <f>'[11]210'!$K$12</f>
        <v>8</v>
      </c>
      <c r="J51" s="35">
        <f>'[11]210'!$K$13</f>
        <v>12600</v>
      </c>
      <c r="K51" s="35">
        <f>'[11]210'!$K$14</f>
        <v>11424.319854722999</v>
      </c>
      <c r="L51" s="37">
        <f>'[11]210'!$K$15</f>
        <v>8575.6801452770014</v>
      </c>
      <c r="M51" s="37" t="s">
        <v>68</v>
      </c>
      <c r="N51" s="22">
        <f>'[11]210'!$K$16</f>
        <v>46255</v>
      </c>
      <c r="O51" s="23">
        <f>'[11]210'!$K$17</f>
        <v>46374</v>
      </c>
      <c r="Q51" s="43">
        <v>1400</v>
      </c>
    </row>
    <row r="52" spans="1:19" ht="28.5" customHeight="1" x14ac:dyDescent="0.3">
      <c r="A52" s="36">
        <f t="shared" si="1"/>
        <v>211</v>
      </c>
      <c r="B52" s="36" t="str">
        <f>'[34]211'!$K$3</f>
        <v>Salam_Anjala</v>
      </c>
      <c r="C52" s="36" t="s">
        <v>6</v>
      </c>
      <c r="D52" s="38" t="str">
        <f>'[34]211'!$K$2</f>
        <v>L20000W17-Salam_Anjala-N211</v>
      </c>
      <c r="E52" s="39">
        <f>'[34]211'!$K$7</f>
        <v>20000</v>
      </c>
      <c r="F52" s="36">
        <f>'[34]211'!$K$9</f>
        <v>1400</v>
      </c>
      <c r="G52" s="19">
        <f t="shared" si="4"/>
        <v>9</v>
      </c>
      <c r="H52" s="36">
        <f>'[34]211'!$K$10</f>
        <v>17</v>
      </c>
      <c r="I52" s="36">
        <f>'[34]211'!$K$12</f>
        <v>8</v>
      </c>
      <c r="J52" s="39">
        <f>'[34]211'!$K$13</f>
        <v>12600</v>
      </c>
      <c r="K52" s="39">
        <f>'[34]211'!$K$14</f>
        <v>11424.319854722999</v>
      </c>
      <c r="L52" s="40">
        <f>'[34]211'!$K$15</f>
        <v>8575.6801452770014</v>
      </c>
      <c r="M52" s="40" t="s">
        <v>79</v>
      </c>
      <c r="N52" s="20">
        <f>'[34]211'!$K$16</f>
        <v>46258</v>
      </c>
      <c r="O52" s="21">
        <f>'[34]211'!$K$17</f>
        <v>46377</v>
      </c>
      <c r="Q52" s="43">
        <v>1400</v>
      </c>
    </row>
    <row r="53" spans="1:19" ht="28.5" customHeight="1" x14ac:dyDescent="0.3">
      <c r="A53" s="33">
        <f t="shared" si="1"/>
        <v>212</v>
      </c>
      <c r="B53" s="33" t="str">
        <f>'[35]212'!$K$3</f>
        <v>Konsam_Ranjana</v>
      </c>
      <c r="C53" s="33" t="s">
        <v>6</v>
      </c>
      <c r="D53" s="34" t="str">
        <f>'[35]212'!$K$2</f>
        <v>L20000W17-Konsam_Ranjana-N212</v>
      </c>
      <c r="E53" s="35">
        <f>'[35]212'!$K$7</f>
        <v>20000</v>
      </c>
      <c r="F53" s="33">
        <f>'[35]212'!$K$9</f>
        <v>1400</v>
      </c>
      <c r="G53" s="19">
        <f t="shared" si="4"/>
        <v>9</v>
      </c>
      <c r="H53" s="33">
        <f>'[35]212'!$K$10</f>
        <v>17</v>
      </c>
      <c r="I53" s="33">
        <f>'[35]212'!$K$12</f>
        <v>8</v>
      </c>
      <c r="J53" s="35">
        <f>'[35]212'!$K$13</f>
        <v>12600</v>
      </c>
      <c r="K53" s="35">
        <f>'[35]212'!$K$14</f>
        <v>11424.319854722999</v>
      </c>
      <c r="L53" s="37">
        <f>'[35]212'!$K$15</f>
        <v>8575.6801452770014</v>
      </c>
      <c r="M53" s="37" t="s">
        <v>79</v>
      </c>
      <c r="N53" s="22">
        <f>'[35]212'!$K$16</f>
        <v>46258</v>
      </c>
      <c r="O53" s="23">
        <f>'[35]212'!$K$17</f>
        <v>46377</v>
      </c>
      <c r="Q53" s="43">
        <v>1400</v>
      </c>
    </row>
    <row r="54" spans="1:19" ht="28.5" customHeight="1" x14ac:dyDescent="0.3">
      <c r="A54" s="36">
        <f t="shared" si="1"/>
        <v>213</v>
      </c>
      <c r="B54" s="36" t="str">
        <f>'[17]213'!$K$3</f>
        <v>Lanchenbi_Ibeyaima</v>
      </c>
      <c r="C54" s="36" t="s">
        <v>6</v>
      </c>
      <c r="D54" s="38" t="str">
        <f>'[17]213'!$K$2</f>
        <v>L10000W17-Lanchenbi_Ibeyaima-N213</v>
      </c>
      <c r="E54" s="39">
        <f>'[17]213'!$K$7</f>
        <v>10000</v>
      </c>
      <c r="F54" s="36">
        <f>'[17]213'!$K$9</f>
        <v>700</v>
      </c>
      <c r="G54" s="19">
        <f t="shared" si="4"/>
        <v>10</v>
      </c>
      <c r="H54" s="36">
        <f>'[17]213'!$K$10</f>
        <v>17</v>
      </c>
      <c r="I54" s="36">
        <f>'[17]213'!$K$12</f>
        <v>7</v>
      </c>
      <c r="J54" s="39">
        <f>'[17]213'!$K$13</f>
        <v>7000</v>
      </c>
      <c r="K54" s="39">
        <f>'[17]213'!$K$14</f>
        <v>6286.1135316433047</v>
      </c>
      <c r="L54" s="40">
        <f>'[17]213'!$K$15</f>
        <v>3713.8864683566953</v>
      </c>
      <c r="M54" s="40" t="s">
        <v>68</v>
      </c>
      <c r="N54" s="20">
        <f>'[17]213'!$K$16</f>
        <v>46262</v>
      </c>
      <c r="O54" s="21">
        <f>'[17]213'!$K$17</f>
        <v>46381</v>
      </c>
      <c r="Q54" s="43">
        <v>700</v>
      </c>
    </row>
    <row r="55" spans="1:19" ht="28.5" customHeight="1" x14ac:dyDescent="0.3">
      <c r="A55" s="33">
        <f t="shared" si="1"/>
        <v>214</v>
      </c>
      <c r="B55" s="33" t="str">
        <f>'[36]214'!$K$3</f>
        <v>Yumnam_Baby</v>
      </c>
      <c r="C55" s="33" t="s">
        <v>6</v>
      </c>
      <c r="D55" s="34" t="str">
        <f>'[36]214'!$K$2</f>
        <v>L20000W17-Yumnam_Baby-N214</v>
      </c>
      <c r="E55" s="35">
        <f>'[36]214'!$K$7</f>
        <v>20000</v>
      </c>
      <c r="F55" s="33">
        <f>'[36]214'!$K$9</f>
        <v>1400</v>
      </c>
      <c r="G55" s="19">
        <f t="shared" si="4"/>
        <v>10</v>
      </c>
      <c r="H55" s="33">
        <f>'[36]214'!$K$10</f>
        <v>17</v>
      </c>
      <c r="I55" s="33">
        <f>'[36]214'!$K$12</f>
        <v>7</v>
      </c>
      <c r="J55" s="35">
        <f>'[36]214'!$K$13</f>
        <v>14000</v>
      </c>
      <c r="K55" s="35">
        <f>'[36]214'!$K$14</f>
        <v>12572.227063286609</v>
      </c>
      <c r="L55" s="37">
        <f>'[36]214'!$K$15</f>
        <v>7427.7729367133907</v>
      </c>
      <c r="M55" s="37" t="s">
        <v>79</v>
      </c>
      <c r="N55" s="22">
        <f>'[36]214'!$K$16</f>
        <v>46265</v>
      </c>
      <c r="O55" s="23">
        <f>'[36]214'!$K$17</f>
        <v>46384</v>
      </c>
      <c r="Q55" s="43">
        <v>1400</v>
      </c>
    </row>
    <row r="56" spans="1:19" ht="28.5" customHeight="1" x14ac:dyDescent="0.3">
      <c r="A56" s="36">
        <f t="shared" si="1"/>
        <v>215</v>
      </c>
      <c r="B56" s="36" t="str">
        <f>'[37]215'!$K$3</f>
        <v>Thongam_Deme</v>
      </c>
      <c r="C56" s="36" t="s">
        <v>6</v>
      </c>
      <c r="D56" s="38" t="str">
        <f>'[37]215'!$K$2</f>
        <v>L20000D80-Thongam_Deme-N215</v>
      </c>
      <c r="E56" s="39">
        <f>'[37]215'!$K$7</f>
        <v>20000</v>
      </c>
      <c r="F56" s="36">
        <f>'[37]215'!$K$9</f>
        <v>300</v>
      </c>
      <c r="G56" s="19">
        <f t="shared" si="4"/>
        <v>35</v>
      </c>
      <c r="H56" s="36">
        <f>'[37]215'!$K$10</f>
        <v>80</v>
      </c>
      <c r="I56" s="36">
        <f>'[37]215'!$K$12</f>
        <v>45</v>
      </c>
      <c r="J56" s="39">
        <f>'[37]215'!$K$13</f>
        <v>10500</v>
      </c>
      <c r="K56" s="39">
        <f>'[37]215'!$K$14</f>
        <v>9668.66908863153</v>
      </c>
      <c r="L56" s="40">
        <f>'[37]215'!$K$15</f>
        <v>10331.33091136847</v>
      </c>
      <c r="M56" s="40" t="s">
        <v>77</v>
      </c>
      <c r="N56" s="20">
        <f>'[37]215'!$K$16</f>
        <v>46259</v>
      </c>
      <c r="O56" s="21">
        <f>'[37]215'!$K$17</f>
        <v>46379</v>
      </c>
      <c r="Q56" s="43">
        <v>2100</v>
      </c>
    </row>
    <row r="57" spans="1:19" ht="28.5" customHeight="1" x14ac:dyDescent="0.3">
      <c r="A57" s="33">
        <f t="shared" si="1"/>
        <v>216</v>
      </c>
      <c r="B57" s="33" t="str">
        <f>'[13]216'!$K$3</f>
        <v>Minarani</v>
      </c>
      <c r="C57" s="33" t="s">
        <v>6</v>
      </c>
      <c r="D57" s="34" t="str">
        <f>'[13]216'!$K$2</f>
        <v>L30000W12-Minarani-N216</v>
      </c>
      <c r="E57" s="35">
        <f>'[13]216'!$K$7</f>
        <v>30000</v>
      </c>
      <c r="F57" s="33">
        <f>'[13]216'!$K$9</f>
        <v>3000</v>
      </c>
      <c r="G57" s="19">
        <f t="shared" si="4"/>
        <v>6</v>
      </c>
      <c r="H57" s="33">
        <f>'[13]216'!$K$10</f>
        <v>12</v>
      </c>
      <c r="I57" s="33">
        <f>'[13]216'!$K$12</f>
        <v>6</v>
      </c>
      <c r="J57" s="35">
        <f>'[13]216'!$K$13</f>
        <v>18000</v>
      </c>
      <c r="K57" s="35">
        <f>'[13]216'!$K$14</f>
        <v>16293.210493328073</v>
      </c>
      <c r="L57" s="37">
        <f>'[13]216'!$K$15</f>
        <v>13706.789506671927</v>
      </c>
      <c r="M57" s="37" t="s">
        <v>76</v>
      </c>
      <c r="N57" s="22">
        <f>'[13]216'!$K$16</f>
        <v>46268</v>
      </c>
      <c r="O57" s="23">
        <f>'[13]216'!$K$17</f>
        <v>46387</v>
      </c>
      <c r="Q57" s="43">
        <v>3000</v>
      </c>
    </row>
    <row r="58" spans="1:19" ht="28.5" customHeight="1" x14ac:dyDescent="0.3">
      <c r="A58" s="36">
        <f t="shared" si="1"/>
        <v>217</v>
      </c>
      <c r="B58" s="36" t="str">
        <f>'[38]217'!$K$3</f>
        <v>Guni</v>
      </c>
      <c r="C58" s="36" t="s">
        <v>6</v>
      </c>
      <c r="D58" s="38" t="str">
        <f>'[38]217'!$K$2</f>
        <v>L30000W17-Guni-N217</v>
      </c>
      <c r="E58" s="39">
        <f>'[38]217'!$K$7</f>
        <v>30000</v>
      </c>
      <c r="F58" s="36">
        <f>'[38]217'!$K$9</f>
        <v>2100</v>
      </c>
      <c r="G58" s="19">
        <f t="shared" si="4"/>
        <v>11</v>
      </c>
      <c r="H58" s="36">
        <f>'[38]217'!$K$10</f>
        <v>17</v>
      </c>
      <c r="I58" s="36">
        <f>'[38]217'!$K$12</f>
        <v>6</v>
      </c>
      <c r="J58" s="39">
        <f>'[38]217'!$K$13</f>
        <v>23100</v>
      </c>
      <c r="K58" s="39">
        <f>'[38]217'!$K$14</f>
        <v>20546.354100183748</v>
      </c>
      <c r="L58" s="40">
        <f>'[38]217'!$K$15</f>
        <v>9453.6458998162525</v>
      </c>
      <c r="M58" s="40" t="s">
        <v>78</v>
      </c>
      <c r="N58" s="20">
        <f>'[38]217'!$K$16</f>
        <v>46269</v>
      </c>
      <c r="O58" s="21">
        <f>'[38]217'!$K$17</f>
        <v>46388</v>
      </c>
      <c r="Q58" s="43">
        <v>2100</v>
      </c>
    </row>
    <row r="59" spans="1:19" ht="28.5" customHeight="1" x14ac:dyDescent="0.3">
      <c r="A59" s="33">
        <f t="shared" si="1"/>
        <v>218</v>
      </c>
      <c r="B59" s="33" t="str">
        <f>'[14]218'!$K$3</f>
        <v>Bidyabati2</v>
      </c>
      <c r="C59" s="33" t="s">
        <v>6</v>
      </c>
      <c r="D59" s="34" t="str">
        <f>'[14]218'!$K$2</f>
        <v>L30000D120-Bidyabati2-N218</v>
      </c>
      <c r="E59" s="35">
        <f>'[14]218'!$K$7</f>
        <v>30000</v>
      </c>
      <c r="F59" s="33">
        <f>'[14]218'!$K$9</f>
        <v>300</v>
      </c>
      <c r="G59" s="19">
        <f t="shared" si="4"/>
        <v>78</v>
      </c>
      <c r="H59" s="33">
        <f>'[14]218'!$K$10</f>
        <v>120</v>
      </c>
      <c r="I59" s="33">
        <f>'[14]218'!$K$12</f>
        <v>42</v>
      </c>
      <c r="J59" s="35">
        <f>'[14]218'!$K$13</f>
        <v>23400</v>
      </c>
      <c r="K59" s="35">
        <f>'[14]218'!$K$14</f>
        <v>20746.264682771092</v>
      </c>
      <c r="L59" s="37">
        <f>'[14]218'!$K$15</f>
        <v>9253.7353172289077</v>
      </c>
      <c r="M59" s="37" t="s">
        <v>77</v>
      </c>
      <c r="N59" s="22">
        <f>'[14]218'!$K$16</f>
        <v>46266</v>
      </c>
      <c r="O59" s="23">
        <f>'[14]218'!$K$17</f>
        <v>46386</v>
      </c>
      <c r="Q59" s="43">
        <v>2100</v>
      </c>
    </row>
    <row r="60" spans="1:19" ht="28.5" customHeight="1" x14ac:dyDescent="0.3">
      <c r="A60" s="36">
        <f t="shared" si="1"/>
        <v>219</v>
      </c>
      <c r="B60" s="36" t="str">
        <f>'[17]219'!$K$3</f>
        <v>Lanchenbi_Ibeyaima</v>
      </c>
      <c r="C60" s="36" t="s">
        <v>6</v>
      </c>
      <c r="D60" s="38" t="str">
        <f>'[17]219'!$K$2</f>
        <v>L30000W17-Lanchenbi_Ibeyaima-N219</v>
      </c>
      <c r="E60" s="39">
        <f>'[17]219'!$K$7</f>
        <v>30000</v>
      </c>
      <c r="F60" s="36">
        <f>'[17]219'!$K$9</f>
        <v>2100</v>
      </c>
      <c r="G60" s="19">
        <f t="shared" si="4"/>
        <v>12</v>
      </c>
      <c r="H60" s="36">
        <f>'[17]219'!$K$10</f>
        <v>17</v>
      </c>
      <c r="I60" s="36">
        <f>'[17]219'!$K$12</f>
        <v>5</v>
      </c>
      <c r="J60" s="39">
        <f>'[17]219'!$K$13</f>
        <v>25200</v>
      </c>
      <c r="K60" s="39">
        <f>'[17]219'!$K$14</f>
        <v>22201.185647927028</v>
      </c>
      <c r="L60" s="40">
        <f>'[17]219'!$K$15</f>
        <v>7798.8143520729718</v>
      </c>
      <c r="M60" s="40" t="s">
        <v>68</v>
      </c>
      <c r="N60" s="20">
        <f>'[17]219'!$K$16</f>
        <v>46276</v>
      </c>
      <c r="O60" s="21">
        <f>'[17]219'!$K$17</f>
        <v>46395</v>
      </c>
      <c r="Q60" s="43">
        <v>2100</v>
      </c>
    </row>
    <row r="61" spans="1:19" ht="28.5" customHeight="1" x14ac:dyDescent="0.3">
      <c r="A61" s="33">
        <f t="shared" si="1"/>
        <v>220</v>
      </c>
      <c r="B61" s="33" t="str">
        <f>'[39]220'!$K$3</f>
        <v>Ashalata</v>
      </c>
      <c r="C61" s="33" t="s">
        <v>6</v>
      </c>
      <c r="D61" s="34" t="str">
        <f>'[39]220'!$K$2</f>
        <v>L5000W17-Ashalata-N220</v>
      </c>
      <c r="E61" s="35">
        <f>'[39]220'!$K$7</f>
        <v>5000</v>
      </c>
      <c r="F61" s="33">
        <f>'[39]220'!$K$9</f>
        <v>350</v>
      </c>
      <c r="G61" s="19">
        <f t="shared" si="4"/>
        <v>12</v>
      </c>
      <c r="H61" s="33">
        <f>'[39]220'!$K$10</f>
        <v>17</v>
      </c>
      <c r="I61" s="33">
        <f>'[39]220'!$K$12</f>
        <v>5</v>
      </c>
      <c r="J61" s="35">
        <f>'[39]220'!$K$13</f>
        <v>4200</v>
      </c>
      <c r="K61" s="35">
        <f>'[39]220'!$K$14</f>
        <v>3700.1976079878436</v>
      </c>
      <c r="L61" s="37">
        <f>'[39]220'!$K$15</f>
        <v>1299.8023920121564</v>
      </c>
      <c r="M61" s="37" t="s">
        <v>68</v>
      </c>
      <c r="N61" s="22">
        <f>'[39]220'!$K$16</f>
        <v>46276</v>
      </c>
      <c r="O61" s="23">
        <f>'[39]220'!$K$17</f>
        <v>46395</v>
      </c>
      <c r="Q61" s="43">
        <v>350</v>
      </c>
    </row>
    <row r="62" spans="1:19" ht="28.5" customHeight="1" x14ac:dyDescent="0.3">
      <c r="A62" s="36">
        <f t="shared" si="1"/>
        <v>221</v>
      </c>
      <c r="B62" s="36" t="str">
        <f>'[21]221'!$K$3</f>
        <v>Pratima</v>
      </c>
      <c r="C62" s="36" t="s">
        <v>6</v>
      </c>
      <c r="D62" s="38" t="str">
        <f>'[21]221'!$K$2</f>
        <v>L20000D120-Pratima-N221</v>
      </c>
      <c r="E62" s="39">
        <f>'[21]221'!$K$7</f>
        <v>20000</v>
      </c>
      <c r="F62" s="36">
        <f>'[21]221'!$K$9</f>
        <v>200</v>
      </c>
      <c r="G62" s="19">
        <f t="shared" si="4"/>
        <v>88</v>
      </c>
      <c r="H62" s="36">
        <f>'[21]221'!$K$10</f>
        <v>120</v>
      </c>
      <c r="I62" s="36">
        <f>'[21]221'!$K$12</f>
        <v>32</v>
      </c>
      <c r="J62" s="39">
        <f>'[21]221'!$K$13</f>
        <v>17600</v>
      </c>
      <c r="K62" s="39">
        <f>'[21]221'!$K$14</f>
        <v>15373.578293496203</v>
      </c>
      <c r="L62" s="40">
        <f>'[21]221'!$K$15</f>
        <v>4626.4217065037974</v>
      </c>
      <c r="M62" s="40" t="s">
        <v>77</v>
      </c>
      <c r="N62" s="20">
        <f>'[21]221'!$K$16</f>
        <v>46273</v>
      </c>
      <c r="O62" s="21">
        <f>'[21]221'!$K$17</f>
        <v>46393</v>
      </c>
      <c r="Q62" s="43">
        <v>1400</v>
      </c>
    </row>
    <row r="63" spans="1:19" ht="28.5" customHeight="1" x14ac:dyDescent="0.3">
      <c r="A63" s="33">
        <f t="shared" si="1"/>
        <v>222</v>
      </c>
      <c r="B63" s="33" t="str">
        <f>'[40]222'!$K$3</f>
        <v>Memi</v>
      </c>
      <c r="C63" s="33" t="s">
        <v>6</v>
      </c>
      <c r="D63" s="34" t="str">
        <f>'[40]222'!$K$2</f>
        <v>L10000D80-Memi-N222</v>
      </c>
      <c r="E63" s="35">
        <f>'[40]222'!$K$7</f>
        <v>10000</v>
      </c>
      <c r="F63" s="33">
        <f>'[40]222'!$K$9</f>
        <v>150</v>
      </c>
      <c r="G63" s="19">
        <f t="shared" si="4"/>
        <v>60</v>
      </c>
      <c r="H63" s="33">
        <f>'[40]222'!$K$10</f>
        <v>80</v>
      </c>
      <c r="I63" s="33">
        <f>'[40]222'!$K$12</f>
        <v>20</v>
      </c>
      <c r="J63" s="35">
        <f>'[40]222'!$K$13</f>
        <v>9000</v>
      </c>
      <c r="K63" s="35">
        <f>'[40]222'!$K$14</f>
        <v>7836.7755494887006</v>
      </c>
      <c r="L63" s="37">
        <f>'[40]222'!$K$15</f>
        <v>2163.2244505112994</v>
      </c>
      <c r="M63" s="37" t="s">
        <v>77</v>
      </c>
      <c r="N63" s="22">
        <f>'[40]222'!$K$16</f>
        <v>46273</v>
      </c>
      <c r="O63" s="23">
        <f>'[40]222'!$K$17</f>
        <v>46393</v>
      </c>
      <c r="Q63" s="43">
        <v>1050</v>
      </c>
    </row>
    <row r="64" spans="1:19" ht="28.5" customHeight="1" x14ac:dyDescent="0.3">
      <c r="A64" s="36">
        <f t="shared" si="1"/>
        <v>223</v>
      </c>
      <c r="B64" s="36" t="str">
        <f>'[41]223'!$K$3</f>
        <v>Chongtham_LeikaiGr</v>
      </c>
      <c r="C64" s="36" t="s">
        <v>6</v>
      </c>
      <c r="D64" s="38" t="str">
        <f>'[41]223'!$K$2</f>
        <v>L60000W17-Chongtham_LeikaiGr-N223</v>
      </c>
      <c r="E64" s="39">
        <f>'[41]223'!$K$7</f>
        <v>60000</v>
      </c>
      <c r="F64" s="36">
        <f>'[41]223'!$K$9</f>
        <v>4200</v>
      </c>
      <c r="G64" s="19">
        <f t="shared" si="4"/>
        <v>13</v>
      </c>
      <c r="H64" s="36">
        <f>'[41]223'!$K$10</f>
        <v>17</v>
      </c>
      <c r="I64" s="36">
        <f>'[41]223'!$K$12</f>
        <v>4</v>
      </c>
      <c r="J64" s="39">
        <f>'[41]223'!$K$13</f>
        <v>54600</v>
      </c>
      <c r="K64" s="39">
        <f>'[41]223'!$K$14</f>
        <v>47646.975018375277</v>
      </c>
      <c r="L64" s="40">
        <f>'[41]223'!$K$15</f>
        <v>12353.024981624723</v>
      </c>
      <c r="M64" s="40" t="s">
        <v>78</v>
      </c>
      <c r="N64" s="20">
        <f>'[41]223'!$K$16</f>
        <v>46281</v>
      </c>
      <c r="O64" s="21">
        <f>'[41]223'!$K$17</f>
        <v>46400</v>
      </c>
      <c r="Q64" s="43">
        <v>4200</v>
      </c>
    </row>
    <row r="65" spans="1:17" ht="28.5" customHeight="1" x14ac:dyDescent="0.3">
      <c r="A65" s="33">
        <f t="shared" si="1"/>
        <v>224</v>
      </c>
      <c r="B65" s="33" t="str">
        <f>'[4]224'!$K$3</f>
        <v>Kamala</v>
      </c>
      <c r="C65" s="33" t="s">
        <v>6</v>
      </c>
      <c r="D65" s="34" t="str">
        <f>'[4]224'!$K$2</f>
        <v>L50000D120-Kamala-N224</v>
      </c>
      <c r="E65" s="35">
        <f>'[4]224'!$K$7</f>
        <v>50000</v>
      </c>
      <c r="F65" s="33">
        <f>'[4]224'!$K$9</f>
        <v>500</v>
      </c>
      <c r="G65" s="19">
        <f t="shared" si="4"/>
        <v>99</v>
      </c>
      <c r="H65" s="33">
        <f>'[4]224'!$K$10</f>
        <v>120</v>
      </c>
      <c r="I65" s="33">
        <f>'[4]224'!$K$12</f>
        <v>21</v>
      </c>
      <c r="J65" s="35">
        <f>'[4]224'!$K$13</f>
        <v>49500</v>
      </c>
      <c r="K65" s="35">
        <f>'[4]224'!$K$14</f>
        <v>42540.228557637194</v>
      </c>
      <c r="L65" s="37">
        <f>'[4]224'!$K$15</f>
        <v>7459.7714423628058</v>
      </c>
      <c r="M65" s="37" t="s">
        <v>77</v>
      </c>
      <c r="N65" s="22">
        <f>'[4]224'!$K$16</f>
        <v>46288</v>
      </c>
      <c r="O65" s="23">
        <f>'[4]224'!$K$17</f>
        <v>46408</v>
      </c>
      <c r="Q65" s="43">
        <v>3500</v>
      </c>
    </row>
    <row r="66" spans="1:17" ht="28.5" customHeight="1" x14ac:dyDescent="0.3">
      <c r="A66" s="36">
        <f t="shared" si="1"/>
        <v>225</v>
      </c>
      <c r="B66" s="36" t="str">
        <f>'[16]225'!$K$3</f>
        <v>Lanchenbi_Samila</v>
      </c>
      <c r="C66" s="36" t="s">
        <v>6</v>
      </c>
      <c r="D66" s="38" t="str">
        <f>'[16]225'!$K$2</f>
        <v>L20000W17-Lanchenbi_Samila-N225</v>
      </c>
      <c r="E66" s="39">
        <f>'[16]225'!$K$7</f>
        <v>20000</v>
      </c>
      <c r="F66" s="36">
        <f>'[16]225'!$K$9</f>
        <v>1400</v>
      </c>
      <c r="G66" s="19">
        <f t="shared" si="4"/>
        <v>14</v>
      </c>
      <c r="H66" s="36">
        <f>'[16]225'!$K$10</f>
        <v>17</v>
      </c>
      <c r="I66" s="36">
        <f>'[16]225'!$K$12</f>
        <v>3</v>
      </c>
      <c r="J66" s="39">
        <f>'[16]225'!$K$13</f>
        <v>19600</v>
      </c>
      <c r="K66" s="39">
        <f>'[16]225'!$K$14</f>
        <v>16942.599422027139</v>
      </c>
      <c r="L66" s="40">
        <f>'[16]225'!$K$15</f>
        <v>3057.4005779728614</v>
      </c>
      <c r="M66" s="40" t="s">
        <v>68</v>
      </c>
      <c r="N66" s="20">
        <f>'[16]225'!$K$16</f>
        <v>46290</v>
      </c>
      <c r="O66" s="21">
        <f>'[16]225'!$K$17</f>
        <v>46409</v>
      </c>
      <c r="Q66" s="43">
        <v>1400</v>
      </c>
    </row>
    <row r="67" spans="1:17" ht="28.5" customHeight="1" x14ac:dyDescent="0.3">
      <c r="A67" s="33">
        <f t="shared" si="1"/>
        <v>226</v>
      </c>
      <c r="B67" s="33" t="str">
        <f>'[10]226'!$K$3</f>
        <v>Mutum_Sandhyarani</v>
      </c>
      <c r="C67" s="33" t="s">
        <v>6</v>
      </c>
      <c r="D67" s="34" t="str">
        <f>'[10]226'!$K$2</f>
        <v>L25000W17-Mutum_Sandhyarani-N226</v>
      </c>
      <c r="E67" s="35">
        <f>'[10]226'!$K$7</f>
        <v>25000</v>
      </c>
      <c r="F67" s="33">
        <f>'[10]226'!$K$9</f>
        <v>1750</v>
      </c>
      <c r="G67" s="19">
        <f t="shared" si="4"/>
        <v>14</v>
      </c>
      <c r="H67" s="33">
        <f>'[10]226'!$K$10</f>
        <v>17</v>
      </c>
      <c r="I67" s="33">
        <f>'[10]226'!$K$12</f>
        <v>3</v>
      </c>
      <c r="J67" s="35">
        <f>'[10]226'!$K$13</f>
        <v>24500</v>
      </c>
      <c r="K67" s="35">
        <f>'[10]226'!$K$14</f>
        <v>21178.249277533887</v>
      </c>
      <c r="L67" s="37">
        <f>'[10]226'!$K$15</f>
        <v>3821.7507224661131</v>
      </c>
      <c r="M67" s="37" t="s">
        <v>68</v>
      </c>
      <c r="N67" s="22">
        <f>'[10]226'!$K$16</f>
        <v>46287</v>
      </c>
      <c r="O67" s="23">
        <f>'[10]226'!$K$17</f>
        <v>46406</v>
      </c>
      <c r="Q67" s="43">
        <v>1750</v>
      </c>
    </row>
    <row r="68" spans="1:17" ht="28.5" customHeight="1" x14ac:dyDescent="0.3">
      <c r="A68" s="36">
        <f t="shared" si="1"/>
        <v>227</v>
      </c>
      <c r="B68" s="36" t="str">
        <f>'[42]227'!$K$3</f>
        <v>Tina_devi</v>
      </c>
      <c r="C68" s="36" t="s">
        <v>6</v>
      </c>
      <c r="D68" s="38" t="str">
        <f>'[42]227'!$K$2</f>
        <v>L10000D120-Tina_devi-N227</v>
      </c>
      <c r="E68" s="39">
        <f>'[42]227'!$K$7</f>
        <v>10000</v>
      </c>
      <c r="F68" s="36">
        <f>'[42]227'!$K$9</f>
        <v>100</v>
      </c>
      <c r="G68" s="19">
        <f t="shared" si="4"/>
        <v>103</v>
      </c>
      <c r="H68" s="36">
        <f>'[42]227'!$K$10</f>
        <v>120</v>
      </c>
      <c r="I68" s="36">
        <f>'[42]227'!$K$12</f>
        <v>17</v>
      </c>
      <c r="J68" s="39">
        <f>'[42]227'!$K$13</f>
        <v>10300</v>
      </c>
      <c r="K68" s="39">
        <f>'[42]227'!$K$14</f>
        <v>8799.7884212336685</v>
      </c>
      <c r="L68" s="40">
        <f>'[42]227'!$K$15</f>
        <v>1200.2115787663315</v>
      </c>
      <c r="M68" s="40" t="s">
        <v>77</v>
      </c>
      <c r="N68" s="20">
        <f>'[42]227'!$K$16</f>
        <v>46291</v>
      </c>
      <c r="O68" s="21">
        <f>'[42]227'!$K$17</f>
        <v>46411</v>
      </c>
      <c r="Q68" s="43">
        <v>700</v>
      </c>
    </row>
    <row r="69" spans="1:17" ht="28.5" customHeight="1" x14ac:dyDescent="0.3">
      <c r="A69" s="33">
        <f t="shared" si="1"/>
        <v>228</v>
      </c>
      <c r="B69" s="33" t="str">
        <f>'[22]228'!$K$3</f>
        <v>L_Gomti</v>
      </c>
      <c r="C69" s="33" t="s">
        <v>6</v>
      </c>
      <c r="D69" s="34" t="str">
        <f>'[22]228'!$K$2</f>
        <v>L30000W17-L_Gomti-N228</v>
      </c>
      <c r="E69" s="35">
        <f>'[22]228'!$K$7</f>
        <v>30000</v>
      </c>
      <c r="F69" s="33">
        <f>'[22]228'!$K$9</f>
        <v>2100</v>
      </c>
      <c r="G69" s="19">
        <f t="shared" si="4"/>
        <v>15</v>
      </c>
      <c r="H69" s="33">
        <f>'[22]228'!$K$10</f>
        <v>17</v>
      </c>
      <c r="I69" s="33">
        <f>'[22]228'!$K$12</f>
        <v>2</v>
      </c>
      <c r="J69" s="35">
        <f>'[22]228'!$K$13</f>
        <v>31500</v>
      </c>
      <c r="K69" s="35">
        <f>'[22]228'!$K$14</f>
        <v>26973.047398654715</v>
      </c>
      <c r="L69" s="37">
        <f>'[22]228'!$K$15</f>
        <v>3026.9526013452851</v>
      </c>
      <c r="M69" s="37" t="s">
        <v>68</v>
      </c>
      <c r="N69" s="22">
        <f>'[22]228'!$K$16</f>
        <v>46297</v>
      </c>
      <c r="O69" s="23">
        <f>'[22]228'!$K$17</f>
        <v>46416</v>
      </c>
      <c r="Q69" s="43">
        <v>2100</v>
      </c>
    </row>
    <row r="70" spans="1:17" ht="28.5" customHeight="1" x14ac:dyDescent="0.3">
      <c r="A70" s="36">
        <f t="shared" si="1"/>
        <v>229</v>
      </c>
      <c r="B70" s="36" t="str">
        <f>'[27]229'!$K$3</f>
        <v>Salam_Echal</v>
      </c>
      <c r="C70" s="36" t="s">
        <v>6</v>
      </c>
      <c r="D70" s="38" t="str">
        <f>'[27]229'!$K$2</f>
        <v>L30000W17-Salam_Echal-N229</v>
      </c>
      <c r="E70" s="39">
        <f>'[27]229'!$K$7</f>
        <v>30000</v>
      </c>
      <c r="F70" s="36">
        <f>'[27]229'!$K$9</f>
        <v>2100</v>
      </c>
      <c r="G70" s="19">
        <f t="shared" si="4"/>
        <v>15</v>
      </c>
      <c r="H70" s="36">
        <f>'[27]229'!$K$10</f>
        <v>17</v>
      </c>
      <c r="I70" s="36">
        <f>'[27]229'!$K$12</f>
        <v>2</v>
      </c>
      <c r="J70" s="39">
        <f>'[27]229'!$K$13</f>
        <v>31500</v>
      </c>
      <c r="K70" s="39">
        <f>'[27]229'!$K$14</f>
        <v>26973.047398654715</v>
      </c>
      <c r="L70" s="40">
        <f>'[27]229'!$K$15</f>
        <v>3026.9526013452851</v>
      </c>
      <c r="M70" s="40" t="s">
        <v>79</v>
      </c>
      <c r="N70" s="20">
        <f>'[27]229'!$K$16</f>
        <v>46300</v>
      </c>
      <c r="O70" s="21">
        <f>'[27]229'!$K$17</f>
        <v>46419</v>
      </c>
      <c r="Q70" s="43">
        <v>2100</v>
      </c>
    </row>
    <row r="71" spans="1:17" ht="28.5" customHeight="1" x14ac:dyDescent="0.3">
      <c r="A71" s="33">
        <f t="shared" si="1"/>
        <v>230</v>
      </c>
      <c r="B71" s="33" t="str">
        <f>'[44]230'!$K$3</f>
        <v>Moirangkhom_Group</v>
      </c>
      <c r="C71" s="33" t="s">
        <v>6</v>
      </c>
      <c r="D71" s="34" t="str">
        <f>'[44]230'!$K$2</f>
        <v>L60000W17-Moirangkhom_Group-N230</v>
      </c>
      <c r="E71" s="35">
        <f>'[44]230'!$K$7</f>
        <v>60000</v>
      </c>
      <c r="F71" s="33">
        <f>'[44]230'!$K$9</f>
        <v>4200</v>
      </c>
      <c r="G71" s="19">
        <f t="shared" si="4"/>
        <v>16</v>
      </c>
      <c r="H71" s="33">
        <f>'[44]230'!$K$10</f>
        <v>17</v>
      </c>
      <c r="I71" s="33">
        <f>'[44]230'!$K$12</f>
        <v>1</v>
      </c>
      <c r="J71" s="35">
        <f>'[44]230'!$K$13</f>
        <v>67200</v>
      </c>
      <c r="K71" s="35">
        <f>'[44]230'!$K$14</f>
        <v>57003.093724766775</v>
      </c>
      <c r="L71" s="37">
        <f>'[44]230'!$K$15</f>
        <v>2996.9062752332247</v>
      </c>
      <c r="M71" s="37" t="str">
        <f>'[44]230'!$K$16</f>
        <v>Saturday</v>
      </c>
      <c r="N71" s="22">
        <f>'[44]230'!$K$17</f>
        <v>46305</v>
      </c>
      <c r="O71" s="23">
        <f>'[44]230'!$K$18</f>
        <v>46424</v>
      </c>
      <c r="Q71" s="43">
        <v>4200</v>
      </c>
    </row>
    <row r="72" spans="1:17" ht="28.5" customHeight="1" x14ac:dyDescent="0.3">
      <c r="A72" s="36">
        <f t="shared" ref="A72:A135" si="5">A71+1</f>
        <v>231</v>
      </c>
      <c r="B72" s="36" t="str">
        <f>'[26]231'!$K$3</f>
        <v>Y_Seema</v>
      </c>
      <c r="C72" s="36" t="s">
        <v>6</v>
      </c>
      <c r="D72" s="38" t="str">
        <f>'[26]231'!$K$2</f>
        <v>L30000W17-Y_Seema-N231</v>
      </c>
      <c r="E72" s="39">
        <f>'[26]231'!$K$7</f>
        <v>30000</v>
      </c>
      <c r="F72" s="36">
        <f>'[26]231'!$K$9</f>
        <v>2100</v>
      </c>
      <c r="G72" s="19">
        <f t="shared" si="4"/>
        <v>16</v>
      </c>
      <c r="H72" s="36">
        <f>'[26]231'!$K$10</f>
        <v>17</v>
      </c>
      <c r="I72" s="36">
        <f>'[26]231'!$K$12</f>
        <v>1</v>
      </c>
      <c r="J72" s="39">
        <f>'[26]231'!$K$13</f>
        <v>33600</v>
      </c>
      <c r="K72" s="39">
        <f>'[26]231'!$K$14</f>
        <v>28501.546862383388</v>
      </c>
      <c r="L72" s="40">
        <f>'[26]231'!$K$15</f>
        <v>1498.4531376166124</v>
      </c>
      <c r="M72" s="40" t="str">
        <f>'[26]231'!$K$16</f>
        <v>Saturday</v>
      </c>
      <c r="N72" s="20">
        <f>'[26]231'!$K$17</f>
        <v>0</v>
      </c>
      <c r="O72" s="21">
        <f>'[26]231'!$K$18</f>
        <v>119</v>
      </c>
      <c r="Q72" s="43">
        <v>2100</v>
      </c>
    </row>
    <row r="73" spans="1:17" ht="28.5" customHeight="1" x14ac:dyDescent="0.3">
      <c r="A73" s="33">
        <f t="shared" si="5"/>
        <v>232</v>
      </c>
      <c r="B73" s="33" t="str">
        <f>'[24]232'!$K$3</f>
        <v>A_Ranita</v>
      </c>
      <c r="C73" s="33" t="s">
        <v>6</v>
      </c>
      <c r="D73" s="34" t="str">
        <f>'[24]232'!$K$2</f>
        <v>L30000W17-A_Ranita-N232</v>
      </c>
      <c r="E73" s="35">
        <f>'[24]232'!$K$7</f>
        <v>30000</v>
      </c>
      <c r="F73" s="33">
        <f>'[24]232'!$K$9</f>
        <v>2100</v>
      </c>
      <c r="G73" s="19">
        <f t="shared" si="4"/>
        <v>17</v>
      </c>
      <c r="H73" s="33">
        <f>'[24]232'!$K$10</f>
        <v>17</v>
      </c>
      <c r="I73" s="33">
        <f>'[24]232'!$K$12</f>
        <v>0</v>
      </c>
      <c r="J73" s="35">
        <f>'[24]232'!$K$13</f>
        <v>35700</v>
      </c>
      <c r="K73" s="35">
        <f>'[24]232'!$K$14</f>
        <v>35700</v>
      </c>
      <c r="L73" s="37">
        <f>'[24]232'!$K$15</f>
        <v>0</v>
      </c>
      <c r="M73" s="37" t="str">
        <f>'[24]232'!$K$16</f>
        <v>Saturday</v>
      </c>
      <c r="N73" s="22" t="str">
        <f>'[24]232'!$K$17</f>
        <v/>
      </c>
      <c r="O73" s="23" t="str">
        <f>'[24]232'!$K$18</f>
        <v/>
      </c>
      <c r="Q73" s="43">
        <v>2100</v>
      </c>
    </row>
    <row r="74" spans="1:17" ht="28.5" customHeight="1" x14ac:dyDescent="0.3">
      <c r="A74" s="36">
        <f t="shared" si="5"/>
        <v>233</v>
      </c>
      <c r="B74" s="36"/>
      <c r="C74" s="36"/>
      <c r="D74" s="38"/>
      <c r="E74" s="39"/>
      <c r="F74" s="36"/>
      <c r="G74" s="19" t="str">
        <f t="shared" si="4"/>
        <v/>
      </c>
      <c r="H74" s="36"/>
      <c r="I74" s="36"/>
      <c r="J74" s="39"/>
      <c r="K74" s="39"/>
      <c r="L74" s="40"/>
      <c r="M74" s="40"/>
      <c r="N74" s="20"/>
      <c r="O74" s="21"/>
    </row>
    <row r="75" spans="1:17" ht="28.5" customHeight="1" x14ac:dyDescent="0.3">
      <c r="A75" s="33">
        <f t="shared" si="5"/>
        <v>234</v>
      </c>
      <c r="B75" s="33"/>
      <c r="C75" s="33"/>
      <c r="D75" s="34"/>
      <c r="E75" s="35"/>
      <c r="F75" s="33"/>
      <c r="G75" s="19" t="str">
        <f t="shared" si="4"/>
        <v/>
      </c>
      <c r="H75" s="33"/>
      <c r="I75" s="33"/>
      <c r="J75" s="35"/>
      <c r="K75" s="35"/>
      <c r="L75" s="37"/>
      <c r="M75" s="37"/>
      <c r="N75" s="22"/>
      <c r="O75" s="23"/>
    </row>
    <row r="76" spans="1:17" ht="28.5" customHeight="1" x14ac:dyDescent="0.3">
      <c r="A76" s="36">
        <f t="shared" si="5"/>
        <v>235</v>
      </c>
      <c r="B76" s="36"/>
      <c r="C76" s="36"/>
      <c r="D76" s="38"/>
      <c r="E76" s="39"/>
      <c r="F76" s="36"/>
      <c r="G76" s="19" t="str">
        <f t="shared" si="4"/>
        <v/>
      </c>
      <c r="H76" s="36"/>
      <c r="I76" s="36"/>
      <c r="J76" s="39"/>
      <c r="K76" s="39"/>
      <c r="L76" s="40"/>
      <c r="M76" s="40"/>
      <c r="N76" s="20"/>
      <c r="O76" s="21"/>
    </row>
    <row r="77" spans="1:17" ht="28.5" customHeight="1" x14ac:dyDescent="0.3">
      <c r="A77" s="33">
        <f t="shared" si="5"/>
        <v>236</v>
      </c>
      <c r="B77" s="33"/>
      <c r="C77" s="33"/>
      <c r="D77" s="34"/>
      <c r="E77" s="35"/>
      <c r="F77" s="33"/>
      <c r="G77" s="19" t="str">
        <f t="shared" si="4"/>
        <v/>
      </c>
      <c r="H77" s="33"/>
      <c r="I77" s="33"/>
      <c r="J77" s="35"/>
      <c r="K77" s="35"/>
      <c r="L77" s="37"/>
      <c r="M77" s="37"/>
      <c r="N77" s="22"/>
      <c r="O77" s="23"/>
    </row>
    <row r="78" spans="1:17" ht="28.5" customHeight="1" x14ac:dyDescent="0.3">
      <c r="A78" s="36">
        <f t="shared" si="5"/>
        <v>237</v>
      </c>
      <c r="B78" s="36"/>
      <c r="C78" s="36"/>
      <c r="D78" s="38"/>
      <c r="E78" s="39"/>
      <c r="F78" s="36"/>
      <c r="G78" s="19" t="str">
        <f t="shared" si="4"/>
        <v/>
      </c>
      <c r="H78" s="36"/>
      <c r="I78" s="36"/>
      <c r="J78" s="39"/>
      <c r="K78" s="39"/>
      <c r="L78" s="40"/>
      <c r="M78" s="40"/>
      <c r="N78" s="20"/>
      <c r="O78" s="21"/>
    </row>
    <row r="79" spans="1:17" ht="28.5" customHeight="1" x14ac:dyDescent="0.3">
      <c r="A79" s="33">
        <f t="shared" si="5"/>
        <v>238</v>
      </c>
      <c r="B79" s="33"/>
      <c r="C79" s="33"/>
      <c r="D79" s="34"/>
      <c r="E79" s="35"/>
      <c r="F79" s="33"/>
      <c r="G79" s="19" t="str">
        <f t="shared" si="4"/>
        <v/>
      </c>
      <c r="H79" s="33"/>
      <c r="I79" s="33"/>
      <c r="J79" s="35"/>
      <c r="K79" s="35"/>
      <c r="L79" s="37"/>
      <c r="M79" s="37"/>
      <c r="N79" s="22"/>
      <c r="O79" s="23"/>
    </row>
    <row r="80" spans="1:17" ht="28.5" customHeight="1" x14ac:dyDescent="0.3">
      <c r="A80" s="36">
        <f t="shared" si="5"/>
        <v>239</v>
      </c>
      <c r="B80" s="36"/>
      <c r="C80" s="36"/>
      <c r="D80" s="38"/>
      <c r="E80" s="39"/>
      <c r="F80" s="36"/>
      <c r="G80" s="19" t="str">
        <f t="shared" si="4"/>
        <v/>
      </c>
      <c r="H80" s="36"/>
      <c r="I80" s="36"/>
      <c r="J80" s="39"/>
      <c r="K80" s="39"/>
      <c r="L80" s="40"/>
      <c r="M80" s="40"/>
      <c r="N80" s="20"/>
      <c r="O80" s="21"/>
    </row>
    <row r="81" spans="1:15" ht="28.5" customHeight="1" x14ac:dyDescent="0.3">
      <c r="A81" s="33">
        <f t="shared" si="5"/>
        <v>240</v>
      </c>
      <c r="B81" s="33"/>
      <c r="C81" s="33"/>
      <c r="D81" s="34"/>
      <c r="E81" s="35"/>
      <c r="F81" s="33"/>
      <c r="G81" s="19" t="str">
        <f t="shared" si="4"/>
        <v/>
      </c>
      <c r="H81" s="33"/>
      <c r="I81" s="33"/>
      <c r="J81" s="35"/>
      <c r="K81" s="35"/>
      <c r="L81" s="37"/>
      <c r="M81" s="37"/>
      <c r="N81" s="22"/>
      <c r="O81" s="23"/>
    </row>
    <row r="82" spans="1:15" ht="28.5" customHeight="1" x14ac:dyDescent="0.3">
      <c r="A82" s="36">
        <f t="shared" si="5"/>
        <v>241</v>
      </c>
      <c r="B82" s="36"/>
      <c r="C82" s="36"/>
      <c r="D82" s="38"/>
      <c r="E82" s="39"/>
      <c r="F82" s="36"/>
      <c r="G82" s="19" t="str">
        <f t="shared" si="4"/>
        <v/>
      </c>
      <c r="H82" s="36"/>
      <c r="I82" s="36"/>
      <c r="J82" s="39"/>
      <c r="K82" s="39"/>
      <c r="L82" s="40"/>
      <c r="M82" s="40"/>
      <c r="N82" s="20"/>
      <c r="O82" s="21"/>
    </row>
    <row r="83" spans="1:15" ht="28.5" customHeight="1" x14ac:dyDescent="0.3">
      <c r="A83" s="33">
        <f t="shared" si="5"/>
        <v>242</v>
      </c>
      <c r="B83" s="33"/>
      <c r="C83" s="33"/>
      <c r="D83" s="34"/>
      <c r="E83" s="35"/>
      <c r="F83" s="33"/>
      <c r="G83" s="19" t="str">
        <f t="shared" si="4"/>
        <v/>
      </c>
      <c r="H83" s="33"/>
      <c r="I83" s="33"/>
      <c r="J83" s="35"/>
      <c r="K83" s="35"/>
      <c r="L83" s="37"/>
      <c r="M83" s="37"/>
      <c r="N83" s="22"/>
      <c r="O83" s="23"/>
    </row>
    <row r="84" spans="1:15" ht="28.5" customHeight="1" x14ac:dyDescent="0.3">
      <c r="A84" s="36">
        <f t="shared" si="5"/>
        <v>243</v>
      </c>
      <c r="B84" s="36"/>
      <c r="C84" s="36"/>
      <c r="D84" s="38"/>
      <c r="E84" s="39"/>
      <c r="F84" s="36"/>
      <c r="G84" s="19" t="str">
        <f t="shared" si="4"/>
        <v/>
      </c>
      <c r="H84" s="36"/>
      <c r="I84" s="36"/>
      <c r="J84" s="39"/>
      <c r="K84" s="39"/>
      <c r="L84" s="40"/>
      <c r="M84" s="40"/>
      <c r="N84" s="20"/>
      <c r="O84" s="21"/>
    </row>
    <row r="85" spans="1:15" ht="28.5" customHeight="1" x14ac:dyDescent="0.3">
      <c r="A85" s="33">
        <f t="shared" si="5"/>
        <v>244</v>
      </c>
      <c r="B85" s="33"/>
      <c r="C85" s="33"/>
      <c r="D85" s="34"/>
      <c r="E85" s="35"/>
      <c r="F85" s="33"/>
      <c r="G85" s="19" t="str">
        <f t="shared" si="4"/>
        <v/>
      </c>
      <c r="H85" s="33"/>
      <c r="I85" s="33"/>
      <c r="J85" s="35"/>
      <c r="K85" s="35"/>
      <c r="L85" s="37"/>
      <c r="M85" s="37"/>
      <c r="N85" s="22"/>
      <c r="O85" s="23"/>
    </row>
    <row r="86" spans="1:15" ht="28.5" customHeight="1" x14ac:dyDescent="0.3">
      <c r="A86" s="36">
        <f t="shared" si="5"/>
        <v>245</v>
      </c>
      <c r="B86" s="36"/>
      <c r="C86" s="36"/>
      <c r="D86" s="38"/>
      <c r="E86" s="39"/>
      <c r="F86" s="36"/>
      <c r="G86" s="19" t="str">
        <f t="shared" si="4"/>
        <v/>
      </c>
      <c r="H86" s="36"/>
      <c r="I86" s="36"/>
      <c r="J86" s="39"/>
      <c r="K86" s="39"/>
      <c r="L86" s="40"/>
      <c r="M86" s="40"/>
      <c r="N86" s="20"/>
      <c r="O86" s="21"/>
    </row>
    <row r="87" spans="1:15" ht="28.5" customHeight="1" x14ac:dyDescent="0.3">
      <c r="A87" s="33">
        <f t="shared" si="5"/>
        <v>246</v>
      </c>
      <c r="B87" s="33"/>
      <c r="C87" s="33"/>
      <c r="D87" s="34"/>
      <c r="E87" s="35"/>
      <c r="F87" s="33"/>
      <c r="G87" s="19" t="str">
        <f t="shared" si="4"/>
        <v/>
      </c>
      <c r="H87" s="33"/>
      <c r="I87" s="33"/>
      <c r="J87" s="35"/>
      <c r="K87" s="35"/>
      <c r="L87" s="37"/>
      <c r="M87" s="37"/>
      <c r="N87" s="22"/>
      <c r="O87" s="23"/>
    </row>
    <row r="88" spans="1:15" ht="28.5" customHeight="1" x14ac:dyDescent="0.3">
      <c r="A88" s="36">
        <f t="shared" si="5"/>
        <v>247</v>
      </c>
      <c r="B88" s="36"/>
      <c r="C88" s="36"/>
      <c r="D88" s="38"/>
      <c r="E88" s="39"/>
      <c r="F88" s="36"/>
      <c r="G88" s="19" t="str">
        <f t="shared" si="4"/>
        <v/>
      </c>
      <c r="H88" s="36"/>
      <c r="I88" s="36"/>
      <c r="J88" s="39"/>
      <c r="K88" s="39"/>
      <c r="L88" s="40"/>
      <c r="M88" s="40"/>
      <c r="N88" s="20"/>
      <c r="O88" s="21"/>
    </row>
    <row r="89" spans="1:15" ht="28.5" customHeight="1" x14ac:dyDescent="0.3">
      <c r="A89" s="33">
        <f t="shared" si="5"/>
        <v>248</v>
      </c>
      <c r="B89" s="33"/>
      <c r="C89" s="33"/>
      <c r="D89" s="34"/>
      <c r="E89" s="35"/>
      <c r="F89" s="33"/>
      <c r="G89" s="19" t="str">
        <f t="shared" si="4"/>
        <v/>
      </c>
      <c r="H89" s="33"/>
      <c r="I89" s="33"/>
      <c r="J89" s="35"/>
      <c r="K89" s="35"/>
      <c r="L89" s="37"/>
      <c r="M89" s="37"/>
      <c r="N89" s="22"/>
      <c r="O89" s="23"/>
    </row>
    <row r="90" spans="1:15" ht="28.5" customHeight="1" x14ac:dyDescent="0.3">
      <c r="A90" s="36">
        <f t="shared" si="5"/>
        <v>249</v>
      </c>
      <c r="B90" s="36"/>
      <c r="C90" s="36"/>
      <c r="D90" s="38"/>
      <c r="E90" s="39"/>
      <c r="F90" s="36"/>
      <c r="G90" s="19" t="str">
        <f t="shared" ref="G90:G153" si="6">IF(H90,H90-I90,"")</f>
        <v/>
      </c>
      <c r="H90" s="36"/>
      <c r="I90" s="36"/>
      <c r="J90" s="39"/>
      <c r="K90" s="39"/>
      <c r="L90" s="40"/>
      <c r="M90" s="40"/>
      <c r="N90" s="20"/>
      <c r="O90" s="21"/>
    </row>
    <row r="91" spans="1:15" ht="28.5" customHeight="1" x14ac:dyDescent="0.3">
      <c r="A91" s="33">
        <f t="shared" si="5"/>
        <v>250</v>
      </c>
      <c r="B91" s="33"/>
      <c r="C91" s="33"/>
      <c r="D91" s="34"/>
      <c r="E91" s="35"/>
      <c r="F91" s="33"/>
      <c r="G91" s="19" t="str">
        <f t="shared" si="6"/>
        <v/>
      </c>
      <c r="H91" s="33"/>
      <c r="I91" s="33"/>
      <c r="J91" s="35"/>
      <c r="K91" s="35"/>
      <c r="L91" s="37"/>
      <c r="M91" s="37"/>
      <c r="N91" s="22"/>
      <c r="O91" s="23"/>
    </row>
    <row r="92" spans="1:15" ht="28.5" customHeight="1" x14ac:dyDescent="0.3">
      <c r="A92" s="36">
        <f t="shared" si="5"/>
        <v>251</v>
      </c>
      <c r="B92" s="36"/>
      <c r="C92" s="36"/>
      <c r="D92" s="38"/>
      <c r="E92" s="39"/>
      <c r="F92" s="36"/>
      <c r="G92" s="19" t="str">
        <f t="shared" si="6"/>
        <v/>
      </c>
      <c r="H92" s="36"/>
      <c r="I92" s="36"/>
      <c r="J92" s="39"/>
      <c r="K92" s="39"/>
      <c r="L92" s="40"/>
      <c r="M92" s="40"/>
      <c r="N92" s="20"/>
      <c r="O92" s="21"/>
    </row>
    <row r="93" spans="1:15" ht="28.5" customHeight="1" x14ac:dyDescent="0.3">
      <c r="A93" s="33">
        <f t="shared" si="5"/>
        <v>252</v>
      </c>
      <c r="B93" s="33"/>
      <c r="C93" s="33"/>
      <c r="D93" s="34"/>
      <c r="E93" s="35"/>
      <c r="F93" s="33"/>
      <c r="G93" s="19" t="str">
        <f t="shared" si="6"/>
        <v/>
      </c>
      <c r="H93" s="33"/>
      <c r="I93" s="33"/>
      <c r="J93" s="35"/>
      <c r="K93" s="35"/>
      <c r="L93" s="37"/>
      <c r="M93" s="37"/>
      <c r="N93" s="22"/>
      <c r="O93" s="23"/>
    </row>
    <row r="94" spans="1:15" ht="28.5" customHeight="1" x14ac:dyDescent="0.3">
      <c r="A94" s="36">
        <f t="shared" si="5"/>
        <v>253</v>
      </c>
      <c r="B94" s="36"/>
      <c r="C94" s="36"/>
      <c r="D94" s="38"/>
      <c r="E94" s="39"/>
      <c r="F94" s="36"/>
      <c r="G94" s="19" t="str">
        <f t="shared" si="6"/>
        <v/>
      </c>
      <c r="H94" s="36"/>
      <c r="I94" s="36"/>
      <c r="J94" s="39"/>
      <c r="K94" s="39"/>
      <c r="L94" s="40"/>
      <c r="M94" s="40"/>
      <c r="N94" s="20"/>
      <c r="O94" s="21"/>
    </row>
    <row r="95" spans="1:15" ht="28.5" customHeight="1" x14ac:dyDescent="0.3">
      <c r="A95" s="33">
        <f t="shared" si="5"/>
        <v>254</v>
      </c>
      <c r="B95" s="33"/>
      <c r="C95" s="33"/>
      <c r="D95" s="34"/>
      <c r="E95" s="35"/>
      <c r="F95" s="33"/>
      <c r="G95" s="19" t="str">
        <f t="shared" si="6"/>
        <v/>
      </c>
      <c r="H95" s="33"/>
      <c r="I95" s="33"/>
      <c r="J95" s="35"/>
      <c r="K95" s="35"/>
      <c r="L95" s="37"/>
      <c r="M95" s="37"/>
      <c r="N95" s="22"/>
      <c r="O95" s="23"/>
    </row>
    <row r="96" spans="1:15" ht="28.5" customHeight="1" x14ac:dyDescent="0.3">
      <c r="A96" s="36">
        <f t="shared" si="5"/>
        <v>255</v>
      </c>
      <c r="B96" s="36"/>
      <c r="C96" s="36"/>
      <c r="D96" s="38"/>
      <c r="E96" s="39"/>
      <c r="F96" s="36"/>
      <c r="G96" s="19" t="str">
        <f t="shared" si="6"/>
        <v/>
      </c>
      <c r="H96" s="36"/>
      <c r="I96" s="36"/>
      <c r="J96" s="39"/>
      <c r="K96" s="39"/>
      <c r="L96" s="40"/>
      <c r="M96" s="40"/>
      <c r="N96" s="20"/>
      <c r="O96" s="21"/>
    </row>
    <row r="97" spans="1:15" ht="28.5" customHeight="1" x14ac:dyDescent="0.3">
      <c r="A97" s="33">
        <f t="shared" si="5"/>
        <v>256</v>
      </c>
      <c r="B97" s="33"/>
      <c r="C97" s="33"/>
      <c r="D97" s="34"/>
      <c r="E97" s="35"/>
      <c r="F97" s="33"/>
      <c r="G97" s="19" t="str">
        <f t="shared" si="6"/>
        <v/>
      </c>
      <c r="H97" s="33"/>
      <c r="I97" s="33"/>
      <c r="J97" s="35"/>
      <c r="K97" s="35"/>
      <c r="L97" s="37"/>
      <c r="M97" s="37"/>
      <c r="N97" s="22"/>
      <c r="O97" s="23"/>
    </row>
    <row r="98" spans="1:15" ht="28.5" customHeight="1" x14ac:dyDescent="0.3">
      <c r="A98" s="36">
        <f t="shared" si="5"/>
        <v>257</v>
      </c>
      <c r="B98" s="36"/>
      <c r="C98" s="36"/>
      <c r="D98" s="38"/>
      <c r="E98" s="39"/>
      <c r="F98" s="36"/>
      <c r="G98" s="19" t="str">
        <f t="shared" si="6"/>
        <v/>
      </c>
      <c r="H98" s="36"/>
      <c r="I98" s="36"/>
      <c r="J98" s="39"/>
      <c r="K98" s="39"/>
      <c r="L98" s="40"/>
      <c r="M98" s="40"/>
      <c r="N98" s="20"/>
      <c r="O98" s="21"/>
    </row>
    <row r="99" spans="1:15" ht="28.5" customHeight="1" x14ac:dyDescent="0.3">
      <c r="A99" s="33">
        <f t="shared" si="5"/>
        <v>258</v>
      </c>
      <c r="B99" s="33"/>
      <c r="C99" s="33"/>
      <c r="D99" s="34"/>
      <c r="E99" s="35"/>
      <c r="F99" s="33"/>
      <c r="G99" s="19" t="str">
        <f t="shared" si="6"/>
        <v/>
      </c>
      <c r="H99" s="33"/>
      <c r="I99" s="33"/>
      <c r="J99" s="35"/>
      <c r="K99" s="35"/>
      <c r="L99" s="37"/>
      <c r="M99" s="37"/>
      <c r="N99" s="22"/>
      <c r="O99" s="23"/>
    </row>
    <row r="100" spans="1:15" ht="28.5" customHeight="1" x14ac:dyDescent="0.3">
      <c r="A100" s="36">
        <f t="shared" si="5"/>
        <v>259</v>
      </c>
      <c r="B100" s="36"/>
      <c r="C100" s="36"/>
      <c r="D100" s="38"/>
      <c r="E100" s="39"/>
      <c r="F100" s="36"/>
      <c r="G100" s="19" t="str">
        <f t="shared" si="6"/>
        <v/>
      </c>
      <c r="H100" s="36"/>
      <c r="I100" s="36"/>
      <c r="J100" s="39"/>
      <c r="K100" s="39"/>
      <c r="L100" s="40"/>
      <c r="M100" s="40"/>
      <c r="N100" s="20"/>
      <c r="O100" s="21"/>
    </row>
    <row r="101" spans="1:15" ht="28.5" customHeight="1" x14ac:dyDescent="0.3">
      <c r="A101" s="33">
        <f t="shared" si="5"/>
        <v>260</v>
      </c>
      <c r="B101" s="33"/>
      <c r="C101" s="33"/>
      <c r="D101" s="34"/>
      <c r="E101" s="35"/>
      <c r="F101" s="33"/>
      <c r="G101" s="19" t="str">
        <f t="shared" si="6"/>
        <v/>
      </c>
      <c r="H101" s="33"/>
      <c r="I101" s="33"/>
      <c r="J101" s="35"/>
      <c r="K101" s="35"/>
      <c r="L101" s="37"/>
      <c r="M101" s="37"/>
      <c r="N101" s="22"/>
      <c r="O101" s="23"/>
    </row>
    <row r="102" spans="1:15" ht="28.5" customHeight="1" x14ac:dyDescent="0.3">
      <c r="A102" s="36">
        <f t="shared" si="5"/>
        <v>261</v>
      </c>
      <c r="B102" s="36"/>
      <c r="C102" s="36"/>
      <c r="D102" s="38"/>
      <c r="E102" s="39"/>
      <c r="F102" s="36"/>
      <c r="G102" s="19" t="str">
        <f t="shared" si="6"/>
        <v/>
      </c>
      <c r="H102" s="36"/>
      <c r="I102" s="36"/>
      <c r="J102" s="39"/>
      <c r="K102" s="39"/>
      <c r="L102" s="40"/>
      <c r="M102" s="40"/>
      <c r="N102" s="20"/>
      <c r="O102" s="21"/>
    </row>
    <row r="103" spans="1:15" ht="28.5" customHeight="1" x14ac:dyDescent="0.3">
      <c r="A103" s="33">
        <f t="shared" si="5"/>
        <v>262</v>
      </c>
      <c r="B103" s="33"/>
      <c r="C103" s="33"/>
      <c r="D103" s="34"/>
      <c r="E103" s="35"/>
      <c r="F103" s="33"/>
      <c r="G103" s="19" t="str">
        <f t="shared" si="6"/>
        <v/>
      </c>
      <c r="H103" s="33"/>
      <c r="I103" s="33"/>
      <c r="J103" s="35"/>
      <c r="K103" s="35"/>
      <c r="L103" s="37"/>
      <c r="M103" s="37"/>
      <c r="N103" s="22"/>
      <c r="O103" s="23"/>
    </row>
    <row r="104" spans="1:15" ht="28.5" customHeight="1" x14ac:dyDescent="0.3">
      <c r="A104" s="36">
        <f t="shared" si="5"/>
        <v>263</v>
      </c>
      <c r="B104" s="36"/>
      <c r="C104" s="36"/>
      <c r="D104" s="38"/>
      <c r="E104" s="39"/>
      <c r="F104" s="36"/>
      <c r="G104" s="19" t="str">
        <f t="shared" si="6"/>
        <v/>
      </c>
      <c r="H104" s="36"/>
      <c r="I104" s="36"/>
      <c r="J104" s="39"/>
      <c r="K104" s="39"/>
      <c r="L104" s="40"/>
      <c r="M104" s="40"/>
      <c r="N104" s="20"/>
      <c r="O104" s="21"/>
    </row>
    <row r="105" spans="1:15" ht="28.5" customHeight="1" x14ac:dyDescent="0.3">
      <c r="A105" s="33">
        <f t="shared" si="5"/>
        <v>264</v>
      </c>
      <c r="B105" s="33"/>
      <c r="C105" s="33"/>
      <c r="D105" s="34"/>
      <c r="E105" s="35"/>
      <c r="F105" s="33"/>
      <c r="G105" s="19" t="str">
        <f t="shared" si="6"/>
        <v/>
      </c>
      <c r="H105" s="33"/>
      <c r="I105" s="33"/>
      <c r="J105" s="35"/>
      <c r="K105" s="35"/>
      <c r="L105" s="37"/>
      <c r="M105" s="37"/>
      <c r="N105" s="22"/>
      <c r="O105" s="23"/>
    </row>
    <row r="106" spans="1:15" ht="28.5" customHeight="1" x14ac:dyDescent="0.3">
      <c r="A106" s="36">
        <f t="shared" si="5"/>
        <v>265</v>
      </c>
      <c r="B106" s="36"/>
      <c r="C106" s="36"/>
      <c r="D106" s="38"/>
      <c r="E106" s="39"/>
      <c r="F106" s="36"/>
      <c r="G106" s="19" t="str">
        <f t="shared" si="6"/>
        <v/>
      </c>
      <c r="H106" s="36"/>
      <c r="I106" s="36"/>
      <c r="J106" s="39"/>
      <c r="K106" s="39"/>
      <c r="L106" s="40"/>
      <c r="M106" s="40"/>
      <c r="N106" s="20"/>
      <c r="O106" s="21"/>
    </row>
    <row r="107" spans="1:15" ht="28.5" customHeight="1" x14ac:dyDescent="0.3">
      <c r="A107" s="33">
        <f t="shared" si="5"/>
        <v>266</v>
      </c>
      <c r="B107" s="33"/>
      <c r="C107" s="33"/>
      <c r="D107" s="34"/>
      <c r="E107" s="35"/>
      <c r="F107" s="33"/>
      <c r="G107" s="19" t="str">
        <f t="shared" si="6"/>
        <v/>
      </c>
      <c r="H107" s="33"/>
      <c r="I107" s="33"/>
      <c r="J107" s="35"/>
      <c r="K107" s="35"/>
      <c r="L107" s="37"/>
      <c r="M107" s="37"/>
      <c r="N107" s="22"/>
      <c r="O107" s="23"/>
    </row>
    <row r="108" spans="1:15" ht="28.5" customHeight="1" x14ac:dyDescent="0.3">
      <c r="A108" s="36">
        <f t="shared" si="5"/>
        <v>267</v>
      </c>
      <c r="B108" s="36"/>
      <c r="C108" s="36"/>
      <c r="D108" s="38"/>
      <c r="E108" s="39"/>
      <c r="F108" s="36"/>
      <c r="G108" s="19" t="str">
        <f t="shared" si="6"/>
        <v/>
      </c>
      <c r="H108" s="36"/>
      <c r="I108" s="36"/>
      <c r="J108" s="39"/>
      <c r="K108" s="39"/>
      <c r="L108" s="40"/>
      <c r="M108" s="40"/>
      <c r="N108" s="20"/>
      <c r="O108" s="21"/>
    </row>
    <row r="109" spans="1:15" ht="28.5" customHeight="1" x14ac:dyDescent="0.3">
      <c r="A109" s="33">
        <f t="shared" si="5"/>
        <v>268</v>
      </c>
      <c r="B109" s="33"/>
      <c r="C109" s="33"/>
      <c r="D109" s="34"/>
      <c r="E109" s="35"/>
      <c r="F109" s="33"/>
      <c r="G109" s="19" t="str">
        <f t="shared" si="6"/>
        <v/>
      </c>
      <c r="H109" s="33"/>
      <c r="I109" s="33"/>
      <c r="J109" s="35"/>
      <c r="K109" s="35"/>
      <c r="L109" s="37"/>
      <c r="M109" s="37"/>
      <c r="N109" s="22"/>
      <c r="O109" s="23"/>
    </row>
    <row r="110" spans="1:15" ht="28.5" customHeight="1" x14ac:dyDescent="0.3">
      <c r="A110" s="36">
        <f t="shared" si="5"/>
        <v>269</v>
      </c>
      <c r="B110" s="36"/>
      <c r="C110" s="36"/>
      <c r="D110" s="38"/>
      <c r="E110" s="39"/>
      <c r="F110" s="36"/>
      <c r="G110" s="19" t="str">
        <f t="shared" si="6"/>
        <v/>
      </c>
      <c r="H110" s="36"/>
      <c r="I110" s="36"/>
      <c r="J110" s="39"/>
      <c r="K110" s="39"/>
      <c r="L110" s="40"/>
      <c r="M110" s="40"/>
      <c r="N110" s="20"/>
      <c r="O110" s="21"/>
    </row>
    <row r="111" spans="1:15" ht="28.5" customHeight="1" x14ac:dyDescent="0.3">
      <c r="A111" s="33">
        <f t="shared" si="5"/>
        <v>270</v>
      </c>
      <c r="B111" s="33"/>
      <c r="C111" s="33"/>
      <c r="D111" s="34"/>
      <c r="E111" s="35"/>
      <c r="F111" s="33"/>
      <c r="G111" s="19" t="str">
        <f t="shared" si="6"/>
        <v/>
      </c>
      <c r="H111" s="33"/>
      <c r="I111" s="33"/>
      <c r="J111" s="35"/>
      <c r="K111" s="35"/>
      <c r="L111" s="37"/>
      <c r="M111" s="37"/>
      <c r="N111" s="22"/>
      <c r="O111" s="23"/>
    </row>
    <row r="112" spans="1:15" ht="28.5" customHeight="1" x14ac:dyDescent="0.3">
      <c r="A112" s="36">
        <f t="shared" si="5"/>
        <v>271</v>
      </c>
      <c r="B112" s="36"/>
      <c r="C112" s="36"/>
      <c r="D112" s="38"/>
      <c r="E112" s="39"/>
      <c r="F112" s="36"/>
      <c r="G112" s="19" t="str">
        <f t="shared" si="6"/>
        <v/>
      </c>
      <c r="H112" s="36"/>
      <c r="I112" s="36"/>
      <c r="J112" s="39"/>
      <c r="K112" s="39"/>
      <c r="L112" s="40"/>
      <c r="M112" s="40"/>
      <c r="N112" s="20"/>
      <c r="O112" s="21"/>
    </row>
    <row r="113" spans="1:15" ht="28.5" customHeight="1" x14ac:dyDescent="0.3">
      <c r="A113" s="33">
        <f t="shared" si="5"/>
        <v>272</v>
      </c>
      <c r="B113" s="33"/>
      <c r="C113" s="33"/>
      <c r="D113" s="34"/>
      <c r="E113" s="35"/>
      <c r="F113" s="33"/>
      <c r="G113" s="19" t="str">
        <f t="shared" si="6"/>
        <v/>
      </c>
      <c r="H113" s="33"/>
      <c r="I113" s="33"/>
      <c r="J113" s="35"/>
      <c r="K113" s="35"/>
      <c r="L113" s="37"/>
      <c r="M113" s="37"/>
      <c r="N113" s="22"/>
      <c r="O113" s="23"/>
    </row>
    <row r="114" spans="1:15" ht="28.5" customHeight="1" x14ac:dyDescent="0.3">
      <c r="A114" s="36">
        <f t="shared" si="5"/>
        <v>273</v>
      </c>
      <c r="B114" s="36"/>
      <c r="C114" s="36"/>
      <c r="D114" s="38"/>
      <c r="E114" s="39"/>
      <c r="F114" s="36"/>
      <c r="G114" s="19" t="str">
        <f t="shared" si="6"/>
        <v/>
      </c>
      <c r="H114" s="36"/>
      <c r="I114" s="36"/>
      <c r="J114" s="39"/>
      <c r="K114" s="39"/>
      <c r="L114" s="40"/>
      <c r="M114" s="40"/>
      <c r="N114" s="20"/>
      <c r="O114" s="21"/>
    </row>
    <row r="115" spans="1:15" ht="28.5" customHeight="1" x14ac:dyDescent="0.3">
      <c r="A115" s="33">
        <f t="shared" si="5"/>
        <v>274</v>
      </c>
      <c r="B115" s="33"/>
      <c r="C115" s="33"/>
      <c r="D115" s="34"/>
      <c r="E115" s="35"/>
      <c r="F115" s="33"/>
      <c r="G115" s="19" t="str">
        <f t="shared" si="6"/>
        <v/>
      </c>
      <c r="H115" s="33"/>
      <c r="I115" s="33"/>
      <c r="J115" s="35"/>
      <c r="K115" s="35"/>
      <c r="L115" s="37"/>
      <c r="M115" s="37"/>
      <c r="N115" s="22"/>
      <c r="O115" s="23"/>
    </row>
    <row r="116" spans="1:15" ht="28.5" customHeight="1" x14ac:dyDescent="0.3">
      <c r="A116" s="36">
        <f t="shared" si="5"/>
        <v>275</v>
      </c>
      <c r="B116" s="36"/>
      <c r="C116" s="36"/>
      <c r="D116" s="38"/>
      <c r="E116" s="39"/>
      <c r="F116" s="36"/>
      <c r="G116" s="19" t="str">
        <f t="shared" si="6"/>
        <v/>
      </c>
      <c r="H116" s="36"/>
      <c r="I116" s="36"/>
      <c r="J116" s="39"/>
      <c r="K116" s="39"/>
      <c r="L116" s="40"/>
      <c r="M116" s="40"/>
      <c r="N116" s="20"/>
      <c r="O116" s="21"/>
    </row>
    <row r="117" spans="1:15" ht="28.5" customHeight="1" x14ac:dyDescent="0.3">
      <c r="A117" s="33">
        <f t="shared" si="5"/>
        <v>276</v>
      </c>
      <c r="B117" s="33"/>
      <c r="C117" s="33"/>
      <c r="D117" s="34"/>
      <c r="E117" s="35"/>
      <c r="F117" s="33"/>
      <c r="G117" s="19" t="str">
        <f t="shared" si="6"/>
        <v/>
      </c>
      <c r="H117" s="33"/>
      <c r="I117" s="33"/>
      <c r="J117" s="35"/>
      <c r="K117" s="35"/>
      <c r="L117" s="37"/>
      <c r="M117" s="37"/>
      <c r="N117" s="22"/>
      <c r="O117" s="23"/>
    </row>
    <row r="118" spans="1:15" ht="28.5" customHeight="1" x14ac:dyDescent="0.3">
      <c r="A118" s="36">
        <f t="shared" si="5"/>
        <v>277</v>
      </c>
      <c r="B118" s="36"/>
      <c r="C118" s="36"/>
      <c r="D118" s="38"/>
      <c r="E118" s="39"/>
      <c r="F118" s="36"/>
      <c r="G118" s="19" t="str">
        <f t="shared" si="6"/>
        <v/>
      </c>
      <c r="H118" s="36"/>
      <c r="I118" s="36"/>
      <c r="J118" s="39"/>
      <c r="K118" s="39"/>
      <c r="L118" s="40"/>
      <c r="M118" s="40"/>
      <c r="N118" s="20"/>
      <c r="O118" s="21"/>
    </row>
    <row r="119" spans="1:15" ht="28.5" customHeight="1" x14ac:dyDescent="0.3">
      <c r="A119" s="33">
        <f t="shared" si="5"/>
        <v>278</v>
      </c>
      <c r="B119" s="33"/>
      <c r="C119" s="33"/>
      <c r="D119" s="34"/>
      <c r="E119" s="35"/>
      <c r="F119" s="33"/>
      <c r="G119" s="19" t="str">
        <f t="shared" si="6"/>
        <v/>
      </c>
      <c r="H119" s="33"/>
      <c r="I119" s="33"/>
      <c r="J119" s="35"/>
      <c r="K119" s="35"/>
      <c r="L119" s="37"/>
      <c r="M119" s="37"/>
      <c r="N119" s="22"/>
      <c r="O119" s="23"/>
    </row>
    <row r="120" spans="1:15" ht="28.5" customHeight="1" x14ac:dyDescent="0.3">
      <c r="A120" s="36">
        <f t="shared" si="5"/>
        <v>279</v>
      </c>
      <c r="B120" s="36"/>
      <c r="C120" s="36"/>
      <c r="D120" s="38"/>
      <c r="E120" s="39"/>
      <c r="F120" s="36"/>
      <c r="G120" s="19" t="str">
        <f t="shared" si="6"/>
        <v/>
      </c>
      <c r="H120" s="36"/>
      <c r="I120" s="36"/>
      <c r="J120" s="39"/>
      <c r="K120" s="39"/>
      <c r="L120" s="40"/>
      <c r="M120" s="40"/>
      <c r="N120" s="20"/>
      <c r="O120" s="21"/>
    </row>
    <row r="121" spans="1:15" ht="28.5" customHeight="1" x14ac:dyDescent="0.3">
      <c r="A121" s="33">
        <f t="shared" si="5"/>
        <v>280</v>
      </c>
      <c r="B121" s="33"/>
      <c r="C121" s="33"/>
      <c r="D121" s="34"/>
      <c r="E121" s="35"/>
      <c r="F121" s="33"/>
      <c r="G121" s="19" t="str">
        <f t="shared" si="6"/>
        <v/>
      </c>
      <c r="H121" s="33"/>
      <c r="I121" s="33"/>
      <c r="J121" s="35"/>
      <c r="K121" s="35"/>
      <c r="L121" s="37"/>
      <c r="M121" s="37"/>
      <c r="N121" s="22"/>
      <c r="O121" s="23"/>
    </row>
    <row r="122" spans="1:15" ht="28.5" customHeight="1" x14ac:dyDescent="0.3">
      <c r="A122" s="36">
        <f t="shared" si="5"/>
        <v>281</v>
      </c>
      <c r="B122" s="36"/>
      <c r="C122" s="36"/>
      <c r="D122" s="38"/>
      <c r="E122" s="39"/>
      <c r="F122" s="36"/>
      <c r="G122" s="19" t="str">
        <f t="shared" si="6"/>
        <v/>
      </c>
      <c r="H122" s="36"/>
      <c r="I122" s="36"/>
      <c r="J122" s="39"/>
      <c r="K122" s="39"/>
      <c r="L122" s="40"/>
      <c r="M122" s="40"/>
      <c r="N122" s="20"/>
      <c r="O122" s="21"/>
    </row>
    <row r="123" spans="1:15" ht="28.5" customHeight="1" x14ac:dyDescent="0.3">
      <c r="A123" s="33">
        <f t="shared" si="5"/>
        <v>282</v>
      </c>
      <c r="B123" s="33"/>
      <c r="C123" s="33"/>
      <c r="D123" s="34"/>
      <c r="E123" s="35"/>
      <c r="F123" s="33"/>
      <c r="G123" s="19" t="str">
        <f t="shared" si="6"/>
        <v/>
      </c>
      <c r="H123" s="33"/>
      <c r="I123" s="33"/>
      <c r="J123" s="35"/>
      <c r="K123" s="35"/>
      <c r="L123" s="37"/>
      <c r="M123" s="37"/>
      <c r="N123" s="22"/>
      <c r="O123" s="23"/>
    </row>
    <row r="124" spans="1:15" ht="28.5" customHeight="1" x14ac:dyDescent="0.3">
      <c r="A124" s="36">
        <f t="shared" si="5"/>
        <v>283</v>
      </c>
      <c r="B124" s="36"/>
      <c r="C124" s="36"/>
      <c r="D124" s="38"/>
      <c r="E124" s="39"/>
      <c r="F124" s="36"/>
      <c r="G124" s="19" t="str">
        <f t="shared" si="6"/>
        <v/>
      </c>
      <c r="H124" s="36"/>
      <c r="I124" s="36"/>
      <c r="J124" s="39"/>
      <c r="K124" s="39"/>
      <c r="L124" s="40"/>
      <c r="M124" s="40"/>
      <c r="N124" s="20"/>
      <c r="O124" s="21"/>
    </row>
    <row r="125" spans="1:15" ht="28.5" customHeight="1" x14ac:dyDescent="0.3">
      <c r="A125" s="33">
        <f t="shared" si="5"/>
        <v>284</v>
      </c>
      <c r="B125" s="33"/>
      <c r="C125" s="33"/>
      <c r="D125" s="34"/>
      <c r="E125" s="35"/>
      <c r="F125" s="33"/>
      <c r="G125" s="19" t="str">
        <f t="shared" si="6"/>
        <v/>
      </c>
      <c r="H125" s="33"/>
      <c r="I125" s="33"/>
      <c r="J125" s="35"/>
      <c r="K125" s="35"/>
      <c r="L125" s="37"/>
      <c r="M125" s="37"/>
      <c r="N125" s="22"/>
      <c r="O125" s="23"/>
    </row>
    <row r="126" spans="1:15" ht="28.5" customHeight="1" x14ac:dyDescent="0.3">
      <c r="A126" s="36">
        <f t="shared" si="5"/>
        <v>285</v>
      </c>
      <c r="B126" s="36"/>
      <c r="C126" s="36"/>
      <c r="D126" s="38"/>
      <c r="E126" s="39"/>
      <c r="F126" s="36"/>
      <c r="G126" s="19" t="str">
        <f t="shared" si="6"/>
        <v/>
      </c>
      <c r="H126" s="36"/>
      <c r="I126" s="36"/>
      <c r="J126" s="39"/>
      <c r="K126" s="39"/>
      <c r="L126" s="40"/>
      <c r="M126" s="40"/>
      <c r="N126" s="20"/>
      <c r="O126" s="21"/>
    </row>
    <row r="127" spans="1:15" ht="28.5" customHeight="1" x14ac:dyDescent="0.3">
      <c r="A127" s="33">
        <f t="shared" si="5"/>
        <v>286</v>
      </c>
      <c r="B127" s="33"/>
      <c r="C127" s="33"/>
      <c r="D127" s="34"/>
      <c r="E127" s="35"/>
      <c r="F127" s="33"/>
      <c r="G127" s="19" t="str">
        <f t="shared" si="6"/>
        <v/>
      </c>
      <c r="H127" s="33"/>
      <c r="I127" s="33"/>
      <c r="J127" s="35"/>
      <c r="K127" s="35"/>
      <c r="L127" s="37"/>
      <c r="M127" s="37"/>
      <c r="N127" s="22"/>
      <c r="O127" s="23"/>
    </row>
    <row r="128" spans="1:15" ht="28.5" customHeight="1" x14ac:dyDescent="0.3">
      <c r="A128" s="36">
        <f t="shared" si="5"/>
        <v>287</v>
      </c>
      <c r="B128" s="36"/>
      <c r="C128" s="36"/>
      <c r="D128" s="38"/>
      <c r="E128" s="39"/>
      <c r="F128" s="36"/>
      <c r="G128" s="19" t="str">
        <f t="shared" si="6"/>
        <v/>
      </c>
      <c r="H128" s="36"/>
      <c r="I128" s="36"/>
      <c r="J128" s="39"/>
      <c r="K128" s="39"/>
      <c r="L128" s="40"/>
      <c r="M128" s="40"/>
      <c r="N128" s="20"/>
      <c r="O128" s="21"/>
    </row>
    <row r="129" spans="1:15" ht="28.5" customHeight="1" x14ac:dyDescent="0.3">
      <c r="A129" s="33">
        <f t="shared" si="5"/>
        <v>288</v>
      </c>
      <c r="B129" s="33"/>
      <c r="C129" s="33"/>
      <c r="D129" s="34"/>
      <c r="E129" s="35"/>
      <c r="F129" s="33"/>
      <c r="G129" s="19" t="str">
        <f t="shared" si="6"/>
        <v/>
      </c>
      <c r="H129" s="33"/>
      <c r="I129" s="33"/>
      <c r="J129" s="35"/>
      <c r="K129" s="35"/>
      <c r="L129" s="37"/>
      <c r="M129" s="37"/>
      <c r="N129" s="22"/>
      <c r="O129" s="23"/>
    </row>
    <row r="130" spans="1:15" ht="28.5" customHeight="1" x14ac:dyDescent="0.3">
      <c r="A130" s="36">
        <f t="shared" si="5"/>
        <v>289</v>
      </c>
      <c r="B130" s="36"/>
      <c r="C130" s="36"/>
      <c r="D130" s="38"/>
      <c r="E130" s="39"/>
      <c r="F130" s="36"/>
      <c r="G130" s="19" t="str">
        <f t="shared" si="6"/>
        <v/>
      </c>
      <c r="H130" s="36"/>
      <c r="I130" s="36"/>
      <c r="J130" s="39"/>
      <c r="K130" s="39"/>
      <c r="L130" s="40"/>
      <c r="M130" s="40"/>
      <c r="N130" s="20"/>
      <c r="O130" s="21"/>
    </row>
    <row r="131" spans="1:15" ht="28.5" customHeight="1" x14ac:dyDescent="0.3">
      <c r="A131" s="33">
        <f t="shared" si="5"/>
        <v>290</v>
      </c>
      <c r="B131" s="33"/>
      <c r="C131" s="33"/>
      <c r="D131" s="34"/>
      <c r="E131" s="35"/>
      <c r="F131" s="33"/>
      <c r="G131" s="19" t="str">
        <f t="shared" si="6"/>
        <v/>
      </c>
      <c r="H131" s="33"/>
      <c r="I131" s="33"/>
      <c r="J131" s="35"/>
      <c r="K131" s="35"/>
      <c r="L131" s="37"/>
      <c r="M131" s="37"/>
      <c r="N131" s="22"/>
      <c r="O131" s="23"/>
    </row>
    <row r="132" spans="1:15" ht="28.5" customHeight="1" x14ac:dyDescent="0.3">
      <c r="A132" s="36">
        <f t="shared" si="5"/>
        <v>291</v>
      </c>
      <c r="B132" s="36"/>
      <c r="C132" s="36"/>
      <c r="D132" s="38"/>
      <c r="E132" s="39"/>
      <c r="F132" s="36"/>
      <c r="G132" s="19" t="str">
        <f t="shared" si="6"/>
        <v/>
      </c>
      <c r="H132" s="36"/>
      <c r="I132" s="36"/>
      <c r="J132" s="39"/>
      <c r="K132" s="39"/>
      <c r="L132" s="40"/>
      <c r="M132" s="40"/>
      <c r="N132" s="20"/>
      <c r="O132" s="21"/>
    </row>
    <row r="133" spans="1:15" ht="28.5" customHeight="1" x14ac:dyDescent="0.3">
      <c r="A133" s="33">
        <f t="shared" si="5"/>
        <v>292</v>
      </c>
      <c r="B133" s="33"/>
      <c r="C133" s="33"/>
      <c r="D133" s="34"/>
      <c r="E133" s="35"/>
      <c r="F133" s="33"/>
      <c r="G133" s="19" t="str">
        <f t="shared" si="6"/>
        <v/>
      </c>
      <c r="H133" s="33"/>
      <c r="I133" s="33"/>
      <c r="J133" s="35"/>
      <c r="K133" s="35"/>
      <c r="L133" s="37"/>
      <c r="M133" s="37"/>
      <c r="N133" s="22"/>
      <c r="O133" s="23"/>
    </row>
    <row r="134" spans="1:15" ht="28.5" customHeight="1" x14ac:dyDescent="0.3">
      <c r="A134" s="36">
        <f t="shared" si="5"/>
        <v>293</v>
      </c>
      <c r="B134" s="36"/>
      <c r="C134" s="36"/>
      <c r="D134" s="38"/>
      <c r="E134" s="39"/>
      <c r="F134" s="36"/>
      <c r="G134" s="19" t="str">
        <f t="shared" si="6"/>
        <v/>
      </c>
      <c r="H134" s="36"/>
      <c r="I134" s="36"/>
      <c r="J134" s="39"/>
      <c r="K134" s="39"/>
      <c r="L134" s="40"/>
      <c r="M134" s="40"/>
      <c r="N134" s="20"/>
      <c r="O134" s="21"/>
    </row>
    <row r="135" spans="1:15" ht="28.5" customHeight="1" x14ac:dyDescent="0.3">
      <c r="A135" s="33">
        <f t="shared" si="5"/>
        <v>294</v>
      </c>
      <c r="B135" s="33"/>
      <c r="C135" s="33"/>
      <c r="D135" s="34"/>
      <c r="E135" s="35"/>
      <c r="F135" s="33"/>
      <c r="G135" s="19" t="str">
        <f t="shared" si="6"/>
        <v/>
      </c>
      <c r="H135" s="33"/>
      <c r="I135" s="33"/>
      <c r="J135" s="35"/>
      <c r="K135" s="35"/>
      <c r="L135" s="37"/>
      <c r="M135" s="37"/>
      <c r="N135" s="22"/>
      <c r="O135" s="23"/>
    </row>
    <row r="136" spans="1:15" ht="28.5" customHeight="1" x14ac:dyDescent="0.3">
      <c r="A136" s="36">
        <f t="shared" ref="A136:A199" si="7">A135+1</f>
        <v>295</v>
      </c>
      <c r="B136" s="36"/>
      <c r="C136" s="36"/>
      <c r="D136" s="38"/>
      <c r="E136" s="39"/>
      <c r="F136" s="36"/>
      <c r="G136" s="19" t="str">
        <f t="shared" si="6"/>
        <v/>
      </c>
      <c r="H136" s="36"/>
      <c r="I136" s="36"/>
      <c r="J136" s="39"/>
      <c r="K136" s="39"/>
      <c r="L136" s="40"/>
      <c r="M136" s="40"/>
      <c r="N136" s="20"/>
      <c r="O136" s="21"/>
    </row>
    <row r="137" spans="1:15" ht="28.5" customHeight="1" x14ac:dyDescent="0.3">
      <c r="A137" s="33">
        <f t="shared" si="7"/>
        <v>296</v>
      </c>
      <c r="B137" s="33"/>
      <c r="C137" s="33"/>
      <c r="D137" s="34"/>
      <c r="E137" s="35"/>
      <c r="F137" s="33"/>
      <c r="G137" s="19" t="str">
        <f t="shared" si="6"/>
        <v/>
      </c>
      <c r="H137" s="33"/>
      <c r="I137" s="33"/>
      <c r="J137" s="35"/>
      <c r="K137" s="35"/>
      <c r="L137" s="37"/>
      <c r="M137" s="37"/>
      <c r="N137" s="22"/>
      <c r="O137" s="23"/>
    </row>
    <row r="138" spans="1:15" ht="28.5" customHeight="1" x14ac:dyDescent="0.3">
      <c r="A138" s="36">
        <f t="shared" si="7"/>
        <v>297</v>
      </c>
      <c r="B138" s="36"/>
      <c r="C138" s="36"/>
      <c r="D138" s="38"/>
      <c r="E138" s="39"/>
      <c r="F138" s="36"/>
      <c r="G138" s="19" t="str">
        <f t="shared" si="6"/>
        <v/>
      </c>
      <c r="H138" s="36"/>
      <c r="I138" s="36"/>
      <c r="J138" s="39"/>
      <c r="K138" s="39"/>
      <c r="L138" s="40"/>
      <c r="M138" s="40"/>
      <c r="N138" s="20"/>
      <c r="O138" s="21"/>
    </row>
    <row r="139" spans="1:15" ht="28.5" customHeight="1" x14ac:dyDescent="0.3">
      <c r="A139" s="33">
        <f t="shared" si="7"/>
        <v>298</v>
      </c>
      <c r="B139" s="33"/>
      <c r="C139" s="33"/>
      <c r="D139" s="34"/>
      <c r="E139" s="35"/>
      <c r="F139" s="33"/>
      <c r="G139" s="19" t="str">
        <f t="shared" si="6"/>
        <v/>
      </c>
      <c r="H139" s="33"/>
      <c r="I139" s="33"/>
      <c r="J139" s="35"/>
      <c r="K139" s="35"/>
      <c r="L139" s="37"/>
      <c r="M139" s="37"/>
      <c r="N139" s="22"/>
      <c r="O139" s="23"/>
    </row>
    <row r="140" spans="1:15" ht="28.5" customHeight="1" x14ac:dyDescent="0.3">
      <c r="A140" s="36">
        <f t="shared" si="7"/>
        <v>299</v>
      </c>
      <c r="B140" s="36"/>
      <c r="C140" s="36"/>
      <c r="D140" s="38"/>
      <c r="E140" s="39"/>
      <c r="F140" s="36"/>
      <c r="G140" s="19" t="str">
        <f t="shared" si="6"/>
        <v/>
      </c>
      <c r="H140" s="36"/>
      <c r="I140" s="36"/>
      <c r="J140" s="39"/>
      <c r="K140" s="39"/>
      <c r="L140" s="40"/>
      <c r="M140" s="40"/>
      <c r="N140" s="20"/>
      <c r="O140" s="21"/>
    </row>
    <row r="141" spans="1:15" ht="28.5" customHeight="1" x14ac:dyDescent="0.3">
      <c r="A141" s="33">
        <f t="shared" si="7"/>
        <v>300</v>
      </c>
      <c r="B141" s="33"/>
      <c r="C141" s="33"/>
      <c r="D141" s="34"/>
      <c r="E141" s="35"/>
      <c r="F141" s="33"/>
      <c r="G141" s="19" t="str">
        <f t="shared" si="6"/>
        <v/>
      </c>
      <c r="H141" s="33"/>
      <c r="I141" s="33"/>
      <c r="J141" s="35"/>
      <c r="K141" s="35"/>
      <c r="L141" s="37"/>
      <c r="M141" s="37"/>
      <c r="N141" s="22"/>
      <c r="O141" s="23"/>
    </row>
    <row r="142" spans="1:15" ht="28.5" customHeight="1" x14ac:dyDescent="0.3">
      <c r="A142" s="36">
        <f t="shared" si="7"/>
        <v>301</v>
      </c>
      <c r="B142" s="36"/>
      <c r="C142" s="36"/>
      <c r="D142" s="38"/>
      <c r="E142" s="39"/>
      <c r="F142" s="36"/>
      <c r="G142" s="19" t="str">
        <f t="shared" si="6"/>
        <v/>
      </c>
      <c r="H142" s="36"/>
      <c r="I142" s="36"/>
      <c r="J142" s="39"/>
      <c r="K142" s="39"/>
      <c r="L142" s="40"/>
      <c r="M142" s="40"/>
      <c r="N142" s="20"/>
      <c r="O142" s="21"/>
    </row>
    <row r="143" spans="1:15" ht="28.5" customHeight="1" x14ac:dyDescent="0.3">
      <c r="A143" s="33">
        <f t="shared" si="7"/>
        <v>302</v>
      </c>
      <c r="B143" s="33"/>
      <c r="C143" s="33"/>
      <c r="D143" s="34"/>
      <c r="E143" s="35"/>
      <c r="F143" s="33"/>
      <c r="G143" s="19" t="str">
        <f t="shared" si="6"/>
        <v/>
      </c>
      <c r="H143" s="33"/>
      <c r="I143" s="33"/>
      <c r="J143" s="35"/>
      <c r="K143" s="35"/>
      <c r="L143" s="37"/>
      <c r="M143" s="37"/>
      <c r="N143" s="22"/>
      <c r="O143" s="23"/>
    </row>
    <row r="144" spans="1:15" ht="28.5" customHeight="1" x14ac:dyDescent="0.3">
      <c r="A144" s="36">
        <f t="shared" si="7"/>
        <v>303</v>
      </c>
      <c r="B144" s="36"/>
      <c r="C144" s="36"/>
      <c r="D144" s="38"/>
      <c r="E144" s="39"/>
      <c r="F144" s="36"/>
      <c r="G144" s="19" t="str">
        <f t="shared" si="6"/>
        <v/>
      </c>
      <c r="H144" s="36"/>
      <c r="I144" s="36"/>
      <c r="J144" s="39"/>
      <c r="K144" s="39"/>
      <c r="L144" s="40"/>
      <c r="M144" s="40"/>
      <c r="N144" s="20"/>
      <c r="O144" s="21"/>
    </row>
    <row r="145" spans="1:15" ht="28.5" customHeight="1" x14ac:dyDescent="0.3">
      <c r="A145" s="33">
        <f t="shared" si="7"/>
        <v>304</v>
      </c>
      <c r="B145" s="33"/>
      <c r="C145" s="33"/>
      <c r="D145" s="34"/>
      <c r="E145" s="35"/>
      <c r="F145" s="33"/>
      <c r="G145" s="19" t="str">
        <f t="shared" si="6"/>
        <v/>
      </c>
      <c r="H145" s="33"/>
      <c r="I145" s="33"/>
      <c r="J145" s="35"/>
      <c r="K145" s="35"/>
      <c r="L145" s="37"/>
      <c r="M145" s="37"/>
      <c r="N145" s="22"/>
      <c r="O145" s="23"/>
    </row>
    <row r="146" spans="1:15" ht="28.5" customHeight="1" x14ac:dyDescent="0.3">
      <c r="A146" s="36">
        <f t="shared" si="7"/>
        <v>305</v>
      </c>
      <c r="B146" s="36"/>
      <c r="C146" s="36"/>
      <c r="D146" s="38"/>
      <c r="E146" s="39"/>
      <c r="F146" s="36"/>
      <c r="G146" s="19" t="str">
        <f t="shared" si="6"/>
        <v/>
      </c>
      <c r="H146" s="36"/>
      <c r="I146" s="36"/>
      <c r="J146" s="39"/>
      <c r="K146" s="39"/>
      <c r="L146" s="40"/>
      <c r="M146" s="40"/>
      <c r="N146" s="20"/>
      <c r="O146" s="21"/>
    </row>
    <row r="147" spans="1:15" ht="28.5" customHeight="1" x14ac:dyDescent="0.3">
      <c r="A147" s="33">
        <f t="shared" si="7"/>
        <v>306</v>
      </c>
      <c r="B147" s="33"/>
      <c r="C147" s="33"/>
      <c r="D147" s="34"/>
      <c r="E147" s="35"/>
      <c r="F147" s="33"/>
      <c r="G147" s="19" t="str">
        <f t="shared" si="6"/>
        <v/>
      </c>
      <c r="H147" s="33"/>
      <c r="I147" s="33"/>
      <c r="J147" s="35"/>
      <c r="K147" s="35"/>
      <c r="L147" s="37"/>
      <c r="M147" s="37"/>
      <c r="N147" s="22"/>
      <c r="O147" s="23"/>
    </row>
    <row r="148" spans="1:15" ht="28.5" customHeight="1" x14ac:dyDescent="0.3">
      <c r="A148" s="36">
        <f t="shared" si="7"/>
        <v>307</v>
      </c>
      <c r="B148" s="36"/>
      <c r="C148" s="36"/>
      <c r="D148" s="38"/>
      <c r="E148" s="39"/>
      <c r="F148" s="36"/>
      <c r="G148" s="19" t="str">
        <f t="shared" si="6"/>
        <v/>
      </c>
      <c r="H148" s="36"/>
      <c r="I148" s="36"/>
      <c r="J148" s="39"/>
      <c r="K148" s="39"/>
      <c r="L148" s="40"/>
      <c r="M148" s="40"/>
      <c r="N148" s="20"/>
      <c r="O148" s="21"/>
    </row>
    <row r="149" spans="1:15" ht="28.5" customHeight="1" x14ac:dyDescent="0.3">
      <c r="A149" s="33">
        <f t="shared" si="7"/>
        <v>308</v>
      </c>
      <c r="B149" s="33"/>
      <c r="C149" s="33"/>
      <c r="D149" s="34"/>
      <c r="E149" s="35"/>
      <c r="F149" s="33"/>
      <c r="G149" s="19" t="str">
        <f t="shared" si="6"/>
        <v/>
      </c>
      <c r="H149" s="33"/>
      <c r="I149" s="33"/>
      <c r="J149" s="35"/>
      <c r="K149" s="35"/>
      <c r="L149" s="37"/>
      <c r="M149" s="37"/>
      <c r="N149" s="22"/>
      <c r="O149" s="23"/>
    </row>
    <row r="150" spans="1:15" ht="28.5" customHeight="1" x14ac:dyDescent="0.3">
      <c r="A150" s="36">
        <f t="shared" si="7"/>
        <v>309</v>
      </c>
      <c r="B150" s="36"/>
      <c r="C150" s="36"/>
      <c r="D150" s="38"/>
      <c r="E150" s="39"/>
      <c r="F150" s="36"/>
      <c r="G150" s="19" t="str">
        <f t="shared" si="6"/>
        <v/>
      </c>
      <c r="H150" s="36"/>
      <c r="I150" s="36"/>
      <c r="J150" s="39"/>
      <c r="K150" s="39"/>
      <c r="L150" s="40"/>
      <c r="M150" s="40"/>
      <c r="N150" s="20"/>
      <c r="O150" s="21"/>
    </row>
    <row r="151" spans="1:15" ht="28.5" customHeight="1" x14ac:dyDescent="0.3">
      <c r="A151" s="33">
        <f t="shared" si="7"/>
        <v>310</v>
      </c>
      <c r="B151" s="33"/>
      <c r="C151" s="33"/>
      <c r="D151" s="34"/>
      <c r="E151" s="35"/>
      <c r="F151" s="33"/>
      <c r="G151" s="19" t="str">
        <f t="shared" si="6"/>
        <v/>
      </c>
      <c r="H151" s="33"/>
      <c r="I151" s="33"/>
      <c r="J151" s="35"/>
      <c r="K151" s="35"/>
      <c r="L151" s="37"/>
      <c r="M151" s="37"/>
      <c r="N151" s="22"/>
      <c r="O151" s="23"/>
    </row>
    <row r="152" spans="1:15" ht="28.5" customHeight="1" x14ac:dyDescent="0.3">
      <c r="A152" s="36">
        <f t="shared" si="7"/>
        <v>311</v>
      </c>
      <c r="B152" s="36"/>
      <c r="C152" s="36"/>
      <c r="D152" s="38"/>
      <c r="E152" s="39"/>
      <c r="F152" s="36"/>
      <c r="G152" s="19" t="str">
        <f t="shared" si="6"/>
        <v/>
      </c>
      <c r="H152" s="36"/>
      <c r="I152" s="36"/>
      <c r="J152" s="39"/>
      <c r="K152" s="39"/>
      <c r="L152" s="40"/>
      <c r="M152" s="40"/>
      <c r="N152" s="20"/>
      <c r="O152" s="21"/>
    </row>
    <row r="153" spans="1:15" ht="28.5" customHeight="1" x14ac:dyDescent="0.3">
      <c r="A153" s="33">
        <f t="shared" si="7"/>
        <v>312</v>
      </c>
      <c r="B153" s="33"/>
      <c r="C153" s="33"/>
      <c r="D153" s="34"/>
      <c r="E153" s="35"/>
      <c r="F153" s="33"/>
      <c r="G153" s="19" t="str">
        <f t="shared" si="6"/>
        <v/>
      </c>
      <c r="H153" s="33"/>
      <c r="I153" s="33"/>
      <c r="J153" s="35"/>
      <c r="K153" s="35"/>
      <c r="L153" s="37"/>
      <c r="M153" s="37"/>
      <c r="N153" s="22"/>
      <c r="O153" s="23"/>
    </row>
    <row r="154" spans="1:15" ht="28.5" customHeight="1" x14ac:dyDescent="0.3">
      <c r="A154" s="36">
        <f t="shared" si="7"/>
        <v>313</v>
      </c>
      <c r="B154" s="36"/>
      <c r="C154" s="36"/>
      <c r="D154" s="38"/>
      <c r="E154" s="39"/>
      <c r="F154" s="36"/>
      <c r="G154" s="19" t="str">
        <f t="shared" ref="G154:G217" si="8">IF(H154,H154-I154,"")</f>
        <v/>
      </c>
      <c r="H154" s="36"/>
      <c r="I154" s="36"/>
      <c r="J154" s="39"/>
      <c r="K154" s="39"/>
      <c r="L154" s="40"/>
      <c r="M154" s="40"/>
      <c r="N154" s="20"/>
      <c r="O154" s="21"/>
    </row>
    <row r="155" spans="1:15" ht="28.5" customHeight="1" x14ac:dyDescent="0.3">
      <c r="A155" s="33">
        <f t="shared" si="7"/>
        <v>314</v>
      </c>
      <c r="B155" s="33"/>
      <c r="C155" s="33"/>
      <c r="D155" s="34"/>
      <c r="E155" s="35"/>
      <c r="F155" s="33"/>
      <c r="G155" s="19" t="str">
        <f t="shared" si="8"/>
        <v/>
      </c>
      <c r="H155" s="33"/>
      <c r="I155" s="33"/>
      <c r="J155" s="35"/>
      <c r="K155" s="35"/>
      <c r="L155" s="37"/>
      <c r="M155" s="37"/>
      <c r="N155" s="22"/>
      <c r="O155" s="23"/>
    </row>
    <row r="156" spans="1:15" ht="28.5" customHeight="1" x14ac:dyDescent="0.3">
      <c r="A156" s="36">
        <f t="shared" si="7"/>
        <v>315</v>
      </c>
      <c r="B156" s="36"/>
      <c r="C156" s="36"/>
      <c r="D156" s="38"/>
      <c r="E156" s="39"/>
      <c r="F156" s="36"/>
      <c r="G156" s="19" t="str">
        <f t="shared" si="8"/>
        <v/>
      </c>
      <c r="H156" s="36"/>
      <c r="I156" s="36"/>
      <c r="J156" s="39"/>
      <c r="K156" s="39"/>
      <c r="L156" s="40"/>
      <c r="M156" s="40"/>
      <c r="N156" s="20"/>
      <c r="O156" s="21"/>
    </row>
    <row r="157" spans="1:15" ht="28.5" customHeight="1" x14ac:dyDescent="0.3">
      <c r="A157" s="33">
        <f t="shared" si="7"/>
        <v>316</v>
      </c>
      <c r="B157" s="33"/>
      <c r="C157" s="33"/>
      <c r="D157" s="34"/>
      <c r="E157" s="35"/>
      <c r="F157" s="33"/>
      <c r="G157" s="19" t="str">
        <f t="shared" si="8"/>
        <v/>
      </c>
      <c r="H157" s="33"/>
      <c r="I157" s="33"/>
      <c r="J157" s="35"/>
      <c r="K157" s="35"/>
      <c r="L157" s="37"/>
      <c r="M157" s="37"/>
      <c r="N157" s="22"/>
      <c r="O157" s="23"/>
    </row>
    <row r="158" spans="1:15" ht="28.5" customHeight="1" x14ac:dyDescent="0.3">
      <c r="A158" s="36">
        <f t="shared" si="7"/>
        <v>317</v>
      </c>
      <c r="B158" s="36"/>
      <c r="C158" s="36"/>
      <c r="D158" s="38"/>
      <c r="E158" s="39"/>
      <c r="F158" s="36"/>
      <c r="G158" s="19" t="str">
        <f t="shared" si="8"/>
        <v/>
      </c>
      <c r="H158" s="36"/>
      <c r="I158" s="36"/>
      <c r="J158" s="39"/>
      <c r="K158" s="39"/>
      <c r="L158" s="40"/>
      <c r="M158" s="40"/>
      <c r="N158" s="20"/>
      <c r="O158" s="21"/>
    </row>
    <row r="159" spans="1:15" ht="28.5" customHeight="1" x14ac:dyDescent="0.3">
      <c r="A159" s="33">
        <f t="shared" si="7"/>
        <v>318</v>
      </c>
      <c r="B159" s="33"/>
      <c r="C159" s="33"/>
      <c r="D159" s="34"/>
      <c r="E159" s="35"/>
      <c r="F159" s="33"/>
      <c r="G159" s="19" t="str">
        <f t="shared" si="8"/>
        <v/>
      </c>
      <c r="H159" s="33"/>
      <c r="I159" s="33"/>
      <c r="J159" s="35"/>
      <c r="K159" s="35"/>
      <c r="L159" s="37"/>
      <c r="M159" s="37"/>
      <c r="N159" s="22"/>
      <c r="O159" s="23"/>
    </row>
    <row r="160" spans="1:15" ht="28.5" customHeight="1" x14ac:dyDescent="0.3">
      <c r="A160" s="36">
        <f t="shared" si="7"/>
        <v>319</v>
      </c>
      <c r="B160" s="36"/>
      <c r="C160" s="36"/>
      <c r="D160" s="38"/>
      <c r="E160" s="39"/>
      <c r="F160" s="36"/>
      <c r="G160" s="19" t="str">
        <f t="shared" si="8"/>
        <v/>
      </c>
      <c r="H160" s="36"/>
      <c r="I160" s="36"/>
      <c r="J160" s="39"/>
      <c r="K160" s="39"/>
      <c r="L160" s="40"/>
      <c r="M160" s="40"/>
      <c r="N160" s="20"/>
      <c r="O160" s="21"/>
    </row>
    <row r="161" spans="1:15" ht="28.5" customHeight="1" x14ac:dyDescent="0.3">
      <c r="A161" s="33">
        <f t="shared" si="7"/>
        <v>320</v>
      </c>
      <c r="B161" s="33"/>
      <c r="C161" s="33"/>
      <c r="D161" s="34"/>
      <c r="E161" s="35"/>
      <c r="F161" s="33"/>
      <c r="G161" s="19" t="str">
        <f t="shared" si="8"/>
        <v/>
      </c>
      <c r="H161" s="33"/>
      <c r="I161" s="33"/>
      <c r="J161" s="35"/>
      <c r="K161" s="35"/>
      <c r="L161" s="37"/>
      <c r="M161" s="37"/>
      <c r="N161" s="22"/>
      <c r="O161" s="23"/>
    </row>
    <row r="162" spans="1:15" ht="28.5" customHeight="1" x14ac:dyDescent="0.3">
      <c r="A162" s="36">
        <f t="shared" si="7"/>
        <v>321</v>
      </c>
      <c r="B162" s="36"/>
      <c r="C162" s="36"/>
      <c r="D162" s="38"/>
      <c r="E162" s="39"/>
      <c r="F162" s="36"/>
      <c r="G162" s="19" t="str">
        <f t="shared" si="8"/>
        <v/>
      </c>
      <c r="H162" s="36"/>
      <c r="I162" s="36"/>
      <c r="J162" s="39"/>
      <c r="K162" s="39"/>
      <c r="L162" s="40"/>
      <c r="M162" s="40"/>
      <c r="N162" s="20"/>
      <c r="O162" s="21"/>
    </row>
    <row r="163" spans="1:15" ht="28.5" customHeight="1" x14ac:dyDescent="0.3">
      <c r="A163" s="33">
        <f t="shared" si="7"/>
        <v>322</v>
      </c>
      <c r="B163" s="33"/>
      <c r="C163" s="33"/>
      <c r="D163" s="34"/>
      <c r="E163" s="35"/>
      <c r="F163" s="33"/>
      <c r="G163" s="19" t="str">
        <f t="shared" si="8"/>
        <v/>
      </c>
      <c r="H163" s="33"/>
      <c r="I163" s="33"/>
      <c r="J163" s="35"/>
      <c r="K163" s="35"/>
      <c r="L163" s="37"/>
      <c r="M163" s="37"/>
      <c r="N163" s="22"/>
      <c r="O163" s="23"/>
    </row>
    <row r="164" spans="1:15" ht="28.5" customHeight="1" x14ac:dyDescent="0.3">
      <c r="A164" s="36">
        <f t="shared" si="7"/>
        <v>323</v>
      </c>
      <c r="B164" s="36"/>
      <c r="C164" s="36"/>
      <c r="D164" s="38"/>
      <c r="E164" s="39"/>
      <c r="F164" s="36"/>
      <c r="G164" s="19" t="str">
        <f t="shared" si="8"/>
        <v/>
      </c>
      <c r="H164" s="36"/>
      <c r="I164" s="36"/>
      <c r="J164" s="39"/>
      <c r="K164" s="39"/>
      <c r="L164" s="40"/>
      <c r="M164" s="40"/>
      <c r="N164" s="20"/>
      <c r="O164" s="21"/>
    </row>
    <row r="165" spans="1:15" ht="28.5" customHeight="1" x14ac:dyDescent="0.3">
      <c r="A165" s="33">
        <f t="shared" si="7"/>
        <v>324</v>
      </c>
      <c r="B165" s="33"/>
      <c r="C165" s="33"/>
      <c r="D165" s="34"/>
      <c r="E165" s="35"/>
      <c r="F165" s="33"/>
      <c r="G165" s="19" t="str">
        <f t="shared" si="8"/>
        <v/>
      </c>
      <c r="H165" s="33"/>
      <c r="I165" s="33"/>
      <c r="J165" s="35"/>
      <c r="K165" s="35"/>
      <c r="L165" s="37"/>
      <c r="M165" s="37"/>
      <c r="N165" s="22"/>
      <c r="O165" s="23"/>
    </row>
    <row r="166" spans="1:15" ht="28.5" customHeight="1" x14ac:dyDescent="0.3">
      <c r="A166" s="36">
        <f t="shared" si="7"/>
        <v>325</v>
      </c>
      <c r="B166" s="36"/>
      <c r="C166" s="36"/>
      <c r="D166" s="38"/>
      <c r="E166" s="39"/>
      <c r="F166" s="36"/>
      <c r="G166" s="19" t="str">
        <f t="shared" si="8"/>
        <v/>
      </c>
      <c r="H166" s="36"/>
      <c r="I166" s="36"/>
      <c r="J166" s="39"/>
      <c r="K166" s="39"/>
      <c r="L166" s="40"/>
      <c r="M166" s="40"/>
      <c r="N166" s="20"/>
      <c r="O166" s="21"/>
    </row>
    <row r="167" spans="1:15" ht="28.5" customHeight="1" x14ac:dyDescent="0.3">
      <c r="A167" s="33">
        <f t="shared" si="7"/>
        <v>326</v>
      </c>
      <c r="B167" s="33"/>
      <c r="C167" s="33"/>
      <c r="D167" s="34"/>
      <c r="E167" s="35"/>
      <c r="F167" s="33"/>
      <c r="G167" s="19" t="str">
        <f t="shared" si="8"/>
        <v/>
      </c>
      <c r="H167" s="33"/>
      <c r="I167" s="33"/>
      <c r="J167" s="35"/>
      <c r="K167" s="35"/>
      <c r="L167" s="37"/>
      <c r="M167" s="37"/>
      <c r="N167" s="22"/>
      <c r="O167" s="23"/>
    </row>
    <row r="168" spans="1:15" ht="28.5" customHeight="1" x14ac:dyDescent="0.3">
      <c r="A168" s="36">
        <f t="shared" si="7"/>
        <v>327</v>
      </c>
      <c r="B168" s="36"/>
      <c r="C168" s="36"/>
      <c r="D168" s="38"/>
      <c r="E168" s="39"/>
      <c r="F168" s="36"/>
      <c r="G168" s="19" t="str">
        <f t="shared" si="8"/>
        <v/>
      </c>
      <c r="H168" s="36"/>
      <c r="I168" s="36"/>
      <c r="J168" s="39"/>
      <c r="K168" s="39"/>
      <c r="L168" s="40"/>
      <c r="M168" s="40"/>
      <c r="N168" s="20"/>
      <c r="O168" s="21"/>
    </row>
    <row r="169" spans="1:15" ht="28.5" customHeight="1" x14ac:dyDescent="0.3">
      <c r="A169" s="33">
        <f t="shared" si="7"/>
        <v>328</v>
      </c>
      <c r="B169" s="33"/>
      <c r="C169" s="33"/>
      <c r="D169" s="34"/>
      <c r="E169" s="35"/>
      <c r="F169" s="33"/>
      <c r="G169" s="19" t="str">
        <f t="shared" si="8"/>
        <v/>
      </c>
      <c r="H169" s="33"/>
      <c r="I169" s="33"/>
      <c r="J169" s="35"/>
      <c r="K169" s="35"/>
      <c r="L169" s="37"/>
      <c r="M169" s="37"/>
      <c r="N169" s="22"/>
      <c r="O169" s="23"/>
    </row>
    <row r="170" spans="1:15" ht="28.5" customHeight="1" x14ac:dyDescent="0.3">
      <c r="A170" s="36">
        <f t="shared" si="7"/>
        <v>329</v>
      </c>
      <c r="B170" s="36"/>
      <c r="C170" s="36"/>
      <c r="D170" s="38"/>
      <c r="E170" s="39"/>
      <c r="F170" s="36"/>
      <c r="G170" s="19" t="str">
        <f t="shared" si="8"/>
        <v/>
      </c>
      <c r="H170" s="36"/>
      <c r="I170" s="36"/>
      <c r="J170" s="39"/>
      <c r="K170" s="39"/>
      <c r="L170" s="40"/>
      <c r="M170" s="40"/>
      <c r="N170" s="20"/>
      <c r="O170" s="21"/>
    </row>
    <row r="171" spans="1:15" ht="28.5" customHeight="1" x14ac:dyDescent="0.3">
      <c r="A171" s="33">
        <f t="shared" si="7"/>
        <v>330</v>
      </c>
      <c r="B171" s="33"/>
      <c r="C171" s="33"/>
      <c r="D171" s="34"/>
      <c r="E171" s="35"/>
      <c r="F171" s="33"/>
      <c r="G171" s="19" t="str">
        <f t="shared" si="8"/>
        <v/>
      </c>
      <c r="H171" s="33"/>
      <c r="I171" s="33"/>
      <c r="J171" s="35"/>
      <c r="K171" s="35"/>
      <c r="L171" s="37"/>
      <c r="M171" s="37"/>
      <c r="N171" s="22"/>
      <c r="O171" s="23"/>
    </row>
    <row r="172" spans="1:15" ht="28.5" customHeight="1" x14ac:dyDescent="0.3">
      <c r="A172" s="36">
        <f t="shared" si="7"/>
        <v>331</v>
      </c>
      <c r="B172" s="36"/>
      <c r="C172" s="36"/>
      <c r="D172" s="38"/>
      <c r="E172" s="39"/>
      <c r="F172" s="36"/>
      <c r="G172" s="19" t="str">
        <f t="shared" si="8"/>
        <v/>
      </c>
      <c r="H172" s="36"/>
      <c r="I172" s="36"/>
      <c r="J172" s="39"/>
      <c r="K172" s="39"/>
      <c r="L172" s="40"/>
      <c r="M172" s="40"/>
      <c r="N172" s="20"/>
      <c r="O172" s="21"/>
    </row>
    <row r="173" spans="1:15" ht="28.5" customHeight="1" x14ac:dyDescent="0.3">
      <c r="A173" s="33">
        <f t="shared" si="7"/>
        <v>332</v>
      </c>
      <c r="B173" s="33"/>
      <c r="C173" s="33"/>
      <c r="D173" s="34"/>
      <c r="E173" s="35"/>
      <c r="F173" s="33"/>
      <c r="G173" s="19" t="str">
        <f t="shared" si="8"/>
        <v/>
      </c>
      <c r="H173" s="33"/>
      <c r="I173" s="33"/>
      <c r="J173" s="35"/>
      <c r="K173" s="35"/>
      <c r="L173" s="37"/>
      <c r="M173" s="37"/>
      <c r="N173" s="22"/>
      <c r="O173" s="23"/>
    </row>
    <row r="174" spans="1:15" ht="28.5" customHeight="1" x14ac:dyDescent="0.3">
      <c r="A174" s="36">
        <f t="shared" si="7"/>
        <v>333</v>
      </c>
      <c r="B174" s="36"/>
      <c r="C174" s="36"/>
      <c r="D174" s="38"/>
      <c r="E174" s="39"/>
      <c r="F174" s="36"/>
      <c r="G174" s="19" t="str">
        <f t="shared" si="8"/>
        <v/>
      </c>
      <c r="H174" s="36"/>
      <c r="I174" s="36"/>
      <c r="J174" s="39"/>
      <c r="K174" s="39"/>
      <c r="L174" s="40"/>
      <c r="M174" s="40"/>
      <c r="N174" s="20"/>
      <c r="O174" s="21"/>
    </row>
    <row r="175" spans="1:15" ht="28.5" customHeight="1" x14ac:dyDescent="0.3">
      <c r="A175" s="33">
        <f t="shared" si="7"/>
        <v>334</v>
      </c>
      <c r="B175" s="33"/>
      <c r="C175" s="33"/>
      <c r="D175" s="34"/>
      <c r="E175" s="35"/>
      <c r="F175" s="33"/>
      <c r="G175" s="19" t="str">
        <f t="shared" si="8"/>
        <v/>
      </c>
      <c r="H175" s="33"/>
      <c r="I175" s="33"/>
      <c r="J175" s="35"/>
      <c r="K175" s="35"/>
      <c r="L175" s="37"/>
      <c r="M175" s="37"/>
      <c r="N175" s="22"/>
      <c r="O175" s="23"/>
    </row>
    <row r="176" spans="1:15" ht="28.5" customHeight="1" x14ac:dyDescent="0.3">
      <c r="A176" s="36">
        <f t="shared" si="7"/>
        <v>335</v>
      </c>
      <c r="B176" s="36"/>
      <c r="C176" s="36"/>
      <c r="D176" s="38"/>
      <c r="E176" s="39"/>
      <c r="F176" s="36"/>
      <c r="G176" s="19" t="str">
        <f t="shared" si="8"/>
        <v/>
      </c>
      <c r="H176" s="36"/>
      <c r="I176" s="36"/>
      <c r="J176" s="39"/>
      <c r="K176" s="39"/>
      <c r="L176" s="40"/>
      <c r="M176" s="40"/>
      <c r="N176" s="20"/>
      <c r="O176" s="21"/>
    </row>
    <row r="177" spans="1:15" ht="28.5" customHeight="1" x14ac:dyDescent="0.3">
      <c r="A177" s="33">
        <f t="shared" si="7"/>
        <v>336</v>
      </c>
      <c r="B177" s="33"/>
      <c r="C177" s="33"/>
      <c r="D177" s="34"/>
      <c r="E177" s="35"/>
      <c r="F177" s="33"/>
      <c r="G177" s="19" t="str">
        <f t="shared" si="8"/>
        <v/>
      </c>
      <c r="H177" s="33"/>
      <c r="I177" s="33"/>
      <c r="J177" s="35"/>
      <c r="K177" s="35"/>
      <c r="L177" s="37"/>
      <c r="M177" s="37"/>
      <c r="N177" s="22"/>
      <c r="O177" s="23"/>
    </row>
    <row r="178" spans="1:15" ht="28.5" customHeight="1" x14ac:dyDescent="0.3">
      <c r="A178" s="36">
        <f t="shared" si="7"/>
        <v>337</v>
      </c>
      <c r="B178" s="36"/>
      <c r="C178" s="36"/>
      <c r="D178" s="38"/>
      <c r="E178" s="39"/>
      <c r="F178" s="36"/>
      <c r="G178" s="19" t="str">
        <f t="shared" si="8"/>
        <v/>
      </c>
      <c r="H178" s="36"/>
      <c r="I178" s="36"/>
      <c r="J178" s="39"/>
      <c r="K178" s="39"/>
      <c r="L178" s="40"/>
      <c r="M178" s="40"/>
      <c r="N178" s="20"/>
      <c r="O178" s="21"/>
    </row>
    <row r="179" spans="1:15" ht="28.5" customHeight="1" x14ac:dyDescent="0.3">
      <c r="A179" s="33">
        <f t="shared" si="7"/>
        <v>338</v>
      </c>
      <c r="B179" s="33"/>
      <c r="C179" s="33"/>
      <c r="D179" s="34"/>
      <c r="E179" s="35"/>
      <c r="F179" s="33"/>
      <c r="G179" s="19" t="str">
        <f t="shared" si="8"/>
        <v/>
      </c>
      <c r="H179" s="33"/>
      <c r="I179" s="33"/>
      <c r="J179" s="35"/>
      <c r="K179" s="35"/>
      <c r="L179" s="37"/>
      <c r="M179" s="37"/>
      <c r="N179" s="22"/>
      <c r="O179" s="23"/>
    </row>
    <row r="180" spans="1:15" ht="28.5" customHeight="1" x14ac:dyDescent="0.3">
      <c r="A180" s="36">
        <f t="shared" si="7"/>
        <v>339</v>
      </c>
      <c r="B180" s="36"/>
      <c r="C180" s="36"/>
      <c r="D180" s="38"/>
      <c r="E180" s="39"/>
      <c r="F180" s="36"/>
      <c r="G180" s="19" t="str">
        <f t="shared" si="8"/>
        <v/>
      </c>
      <c r="H180" s="36"/>
      <c r="I180" s="36"/>
      <c r="J180" s="39"/>
      <c r="K180" s="39"/>
      <c r="L180" s="40"/>
      <c r="M180" s="40"/>
      <c r="N180" s="20"/>
      <c r="O180" s="21"/>
    </row>
    <row r="181" spans="1:15" ht="28.5" customHeight="1" x14ac:dyDescent="0.3">
      <c r="A181" s="33">
        <f t="shared" si="7"/>
        <v>340</v>
      </c>
      <c r="B181" s="33"/>
      <c r="C181" s="33"/>
      <c r="D181" s="34"/>
      <c r="E181" s="35"/>
      <c r="F181" s="33"/>
      <c r="G181" s="19" t="str">
        <f t="shared" si="8"/>
        <v/>
      </c>
      <c r="H181" s="33"/>
      <c r="I181" s="33"/>
      <c r="J181" s="35"/>
      <c r="K181" s="35"/>
      <c r="L181" s="37"/>
      <c r="M181" s="37"/>
      <c r="N181" s="22"/>
      <c r="O181" s="23"/>
    </row>
    <row r="182" spans="1:15" ht="28.5" customHeight="1" x14ac:dyDescent="0.3">
      <c r="A182" s="36">
        <f t="shared" si="7"/>
        <v>341</v>
      </c>
      <c r="B182" s="36"/>
      <c r="C182" s="36"/>
      <c r="D182" s="38"/>
      <c r="E182" s="39"/>
      <c r="F182" s="36"/>
      <c r="G182" s="19" t="str">
        <f t="shared" si="8"/>
        <v/>
      </c>
      <c r="H182" s="36"/>
      <c r="I182" s="36"/>
      <c r="J182" s="39"/>
      <c r="K182" s="39"/>
      <c r="L182" s="40"/>
      <c r="M182" s="40"/>
      <c r="N182" s="20"/>
      <c r="O182" s="21"/>
    </row>
    <row r="183" spans="1:15" ht="28.5" customHeight="1" x14ac:dyDescent="0.3">
      <c r="A183" s="33">
        <f t="shared" si="7"/>
        <v>342</v>
      </c>
      <c r="B183" s="33"/>
      <c r="C183" s="33"/>
      <c r="D183" s="34"/>
      <c r="E183" s="35"/>
      <c r="F183" s="33"/>
      <c r="G183" s="19" t="str">
        <f t="shared" si="8"/>
        <v/>
      </c>
      <c r="H183" s="33"/>
      <c r="I183" s="33"/>
      <c r="J183" s="35"/>
      <c r="K183" s="35"/>
      <c r="L183" s="37"/>
      <c r="M183" s="37"/>
      <c r="N183" s="22"/>
      <c r="O183" s="23"/>
    </row>
    <row r="184" spans="1:15" ht="28.5" customHeight="1" x14ac:dyDescent="0.3">
      <c r="A184" s="36">
        <f t="shared" si="7"/>
        <v>343</v>
      </c>
      <c r="B184" s="36"/>
      <c r="C184" s="36"/>
      <c r="D184" s="38"/>
      <c r="E184" s="39"/>
      <c r="F184" s="36"/>
      <c r="G184" s="19" t="str">
        <f t="shared" si="8"/>
        <v/>
      </c>
      <c r="H184" s="36"/>
      <c r="I184" s="36"/>
      <c r="J184" s="39"/>
      <c r="K184" s="39"/>
      <c r="L184" s="40"/>
      <c r="M184" s="40"/>
      <c r="N184" s="20"/>
      <c r="O184" s="21"/>
    </row>
    <row r="185" spans="1:15" ht="28.5" customHeight="1" x14ac:dyDescent="0.3">
      <c r="A185" s="33">
        <f t="shared" si="7"/>
        <v>344</v>
      </c>
      <c r="B185" s="33"/>
      <c r="C185" s="33"/>
      <c r="D185" s="34"/>
      <c r="E185" s="35"/>
      <c r="F185" s="33"/>
      <c r="G185" s="19" t="str">
        <f t="shared" si="8"/>
        <v/>
      </c>
      <c r="H185" s="33"/>
      <c r="I185" s="33"/>
      <c r="J185" s="35"/>
      <c r="K185" s="35"/>
      <c r="L185" s="37"/>
      <c r="M185" s="37"/>
      <c r="N185" s="22"/>
      <c r="O185" s="23"/>
    </row>
    <row r="186" spans="1:15" ht="28.5" customHeight="1" x14ac:dyDescent="0.3">
      <c r="A186" s="36">
        <f t="shared" si="7"/>
        <v>345</v>
      </c>
      <c r="B186" s="36"/>
      <c r="C186" s="36"/>
      <c r="D186" s="38"/>
      <c r="E186" s="39"/>
      <c r="F186" s="36"/>
      <c r="G186" s="19" t="str">
        <f t="shared" si="8"/>
        <v/>
      </c>
      <c r="H186" s="36"/>
      <c r="I186" s="36"/>
      <c r="J186" s="39"/>
      <c r="K186" s="39"/>
      <c r="L186" s="40"/>
      <c r="M186" s="40"/>
      <c r="N186" s="20"/>
      <c r="O186" s="21"/>
    </row>
    <row r="187" spans="1:15" ht="28.5" customHeight="1" x14ac:dyDescent="0.3">
      <c r="A187" s="33">
        <f t="shared" si="7"/>
        <v>346</v>
      </c>
      <c r="B187" s="33"/>
      <c r="C187" s="33"/>
      <c r="D187" s="34"/>
      <c r="E187" s="35"/>
      <c r="F187" s="33"/>
      <c r="G187" s="19" t="str">
        <f t="shared" si="8"/>
        <v/>
      </c>
      <c r="H187" s="33"/>
      <c r="I187" s="33"/>
      <c r="J187" s="35"/>
      <c r="K187" s="35"/>
      <c r="L187" s="37"/>
      <c r="M187" s="37"/>
      <c r="N187" s="22"/>
      <c r="O187" s="23"/>
    </row>
    <row r="188" spans="1:15" ht="28.5" customHeight="1" x14ac:dyDescent="0.3">
      <c r="A188" s="36">
        <f t="shared" si="7"/>
        <v>347</v>
      </c>
      <c r="B188" s="36"/>
      <c r="C188" s="36"/>
      <c r="D188" s="38"/>
      <c r="E188" s="39"/>
      <c r="F188" s="36"/>
      <c r="G188" s="19" t="str">
        <f t="shared" si="8"/>
        <v/>
      </c>
      <c r="H188" s="36"/>
      <c r="I188" s="36"/>
      <c r="J188" s="39"/>
      <c r="K188" s="39"/>
      <c r="L188" s="40"/>
      <c r="M188" s="40"/>
      <c r="N188" s="20"/>
      <c r="O188" s="21"/>
    </row>
    <row r="189" spans="1:15" ht="28.5" customHeight="1" x14ac:dyDescent="0.3">
      <c r="A189" s="33">
        <f t="shared" si="7"/>
        <v>348</v>
      </c>
      <c r="B189" s="33"/>
      <c r="C189" s="33"/>
      <c r="D189" s="34"/>
      <c r="E189" s="35"/>
      <c r="F189" s="33"/>
      <c r="G189" s="19" t="str">
        <f t="shared" si="8"/>
        <v/>
      </c>
      <c r="H189" s="33"/>
      <c r="I189" s="33"/>
      <c r="J189" s="35"/>
      <c r="K189" s="35"/>
      <c r="L189" s="37"/>
      <c r="M189" s="37"/>
      <c r="N189" s="22"/>
      <c r="O189" s="23"/>
    </row>
    <row r="190" spans="1:15" ht="28.5" customHeight="1" x14ac:dyDescent="0.3">
      <c r="A190" s="36">
        <f t="shared" si="7"/>
        <v>349</v>
      </c>
      <c r="B190" s="36"/>
      <c r="C190" s="36"/>
      <c r="D190" s="38"/>
      <c r="E190" s="39"/>
      <c r="F190" s="36"/>
      <c r="G190" s="19" t="str">
        <f t="shared" si="8"/>
        <v/>
      </c>
      <c r="H190" s="36"/>
      <c r="I190" s="36"/>
      <c r="J190" s="39"/>
      <c r="K190" s="39"/>
      <c r="L190" s="40"/>
      <c r="M190" s="40"/>
      <c r="N190" s="20"/>
      <c r="O190" s="21"/>
    </row>
    <row r="191" spans="1:15" ht="28.5" customHeight="1" x14ac:dyDescent="0.3">
      <c r="A191" s="33">
        <f t="shared" si="7"/>
        <v>350</v>
      </c>
      <c r="B191" s="33"/>
      <c r="C191" s="33"/>
      <c r="D191" s="34"/>
      <c r="E191" s="35"/>
      <c r="F191" s="33"/>
      <c r="G191" s="19" t="str">
        <f t="shared" si="8"/>
        <v/>
      </c>
      <c r="H191" s="33"/>
      <c r="I191" s="33"/>
      <c r="J191" s="35"/>
      <c r="K191" s="35"/>
      <c r="L191" s="37"/>
      <c r="M191" s="37"/>
      <c r="N191" s="22"/>
      <c r="O191" s="23"/>
    </row>
    <row r="192" spans="1:15" ht="28.5" customHeight="1" x14ac:dyDescent="0.3">
      <c r="A192" s="36">
        <f t="shared" si="7"/>
        <v>351</v>
      </c>
      <c r="B192" s="36"/>
      <c r="C192" s="36"/>
      <c r="D192" s="38"/>
      <c r="E192" s="39"/>
      <c r="F192" s="36"/>
      <c r="G192" s="19" t="str">
        <f t="shared" si="8"/>
        <v/>
      </c>
      <c r="H192" s="36"/>
      <c r="I192" s="36"/>
      <c r="J192" s="39"/>
      <c r="K192" s="39"/>
      <c r="L192" s="40"/>
      <c r="M192" s="40"/>
      <c r="N192" s="20"/>
      <c r="O192" s="21"/>
    </row>
    <row r="193" spans="1:15" ht="28.5" customHeight="1" x14ac:dyDescent="0.3">
      <c r="A193" s="33">
        <f t="shared" si="7"/>
        <v>352</v>
      </c>
      <c r="B193" s="33"/>
      <c r="C193" s="33"/>
      <c r="D193" s="34"/>
      <c r="E193" s="35"/>
      <c r="F193" s="33"/>
      <c r="G193" s="19" t="str">
        <f t="shared" si="8"/>
        <v/>
      </c>
      <c r="H193" s="33"/>
      <c r="I193" s="33"/>
      <c r="J193" s="35"/>
      <c r="K193" s="35"/>
      <c r="L193" s="37"/>
      <c r="M193" s="37"/>
      <c r="N193" s="22"/>
      <c r="O193" s="23"/>
    </row>
    <row r="194" spans="1:15" ht="28.5" customHeight="1" x14ac:dyDescent="0.3">
      <c r="A194" s="36">
        <f t="shared" si="7"/>
        <v>353</v>
      </c>
      <c r="B194" s="36"/>
      <c r="C194" s="36"/>
      <c r="D194" s="38"/>
      <c r="E194" s="39"/>
      <c r="F194" s="36"/>
      <c r="G194" s="19" t="str">
        <f t="shared" si="8"/>
        <v/>
      </c>
      <c r="H194" s="36"/>
      <c r="I194" s="36"/>
      <c r="J194" s="39"/>
      <c r="K194" s="39"/>
      <c r="L194" s="40"/>
      <c r="M194" s="40"/>
      <c r="N194" s="20"/>
      <c r="O194" s="21"/>
    </row>
    <row r="195" spans="1:15" ht="28.5" customHeight="1" x14ac:dyDescent="0.3">
      <c r="A195" s="33">
        <f t="shared" si="7"/>
        <v>354</v>
      </c>
      <c r="B195" s="33"/>
      <c r="C195" s="33"/>
      <c r="D195" s="34"/>
      <c r="E195" s="35"/>
      <c r="F195" s="33"/>
      <c r="G195" s="19" t="str">
        <f t="shared" si="8"/>
        <v/>
      </c>
      <c r="H195" s="33"/>
      <c r="I195" s="33"/>
      <c r="J195" s="35"/>
      <c r="K195" s="35"/>
      <c r="L195" s="37"/>
      <c r="M195" s="37"/>
      <c r="N195" s="22"/>
      <c r="O195" s="23"/>
    </row>
    <row r="196" spans="1:15" ht="28.5" customHeight="1" x14ac:dyDescent="0.3">
      <c r="A196" s="36">
        <f t="shared" si="7"/>
        <v>355</v>
      </c>
      <c r="B196" s="36"/>
      <c r="C196" s="36"/>
      <c r="D196" s="38"/>
      <c r="E196" s="39"/>
      <c r="F196" s="36"/>
      <c r="G196" s="19" t="str">
        <f t="shared" si="8"/>
        <v/>
      </c>
      <c r="H196" s="36"/>
      <c r="I196" s="36"/>
      <c r="J196" s="39"/>
      <c r="K196" s="39"/>
      <c r="L196" s="40"/>
      <c r="M196" s="40"/>
      <c r="N196" s="20"/>
      <c r="O196" s="21"/>
    </row>
    <row r="197" spans="1:15" ht="28.5" customHeight="1" x14ac:dyDescent="0.3">
      <c r="A197" s="33">
        <f t="shared" si="7"/>
        <v>356</v>
      </c>
      <c r="B197" s="33"/>
      <c r="C197" s="33"/>
      <c r="D197" s="34"/>
      <c r="E197" s="35"/>
      <c r="F197" s="33"/>
      <c r="G197" s="19" t="str">
        <f t="shared" si="8"/>
        <v/>
      </c>
      <c r="H197" s="33"/>
      <c r="I197" s="33"/>
      <c r="J197" s="35"/>
      <c r="K197" s="35"/>
      <c r="L197" s="37"/>
      <c r="M197" s="37"/>
      <c r="N197" s="22"/>
      <c r="O197" s="23"/>
    </row>
    <row r="198" spans="1:15" ht="28.5" customHeight="1" x14ac:dyDescent="0.3">
      <c r="A198" s="36">
        <f t="shared" si="7"/>
        <v>357</v>
      </c>
      <c r="B198" s="36"/>
      <c r="C198" s="36"/>
      <c r="D198" s="38"/>
      <c r="E198" s="39"/>
      <c r="F198" s="36"/>
      <c r="G198" s="19" t="str">
        <f t="shared" si="8"/>
        <v/>
      </c>
      <c r="H198" s="36"/>
      <c r="I198" s="36"/>
      <c r="J198" s="39"/>
      <c r="K198" s="39"/>
      <c r="L198" s="40"/>
      <c r="M198" s="40"/>
      <c r="N198" s="20"/>
      <c r="O198" s="21"/>
    </row>
    <row r="199" spans="1:15" ht="28.5" customHeight="1" x14ac:dyDescent="0.3">
      <c r="A199" s="33">
        <f t="shared" si="7"/>
        <v>358</v>
      </c>
      <c r="B199" s="33"/>
      <c r="C199" s="33"/>
      <c r="D199" s="34"/>
      <c r="E199" s="35"/>
      <c r="F199" s="33"/>
      <c r="G199" s="19" t="str">
        <f t="shared" si="8"/>
        <v/>
      </c>
      <c r="H199" s="33"/>
      <c r="I199" s="33"/>
      <c r="J199" s="35"/>
      <c r="K199" s="35"/>
      <c r="L199" s="37"/>
      <c r="M199" s="37"/>
      <c r="N199" s="22"/>
      <c r="O199" s="23"/>
    </row>
    <row r="200" spans="1:15" ht="28.5" customHeight="1" x14ac:dyDescent="0.3">
      <c r="A200" s="36">
        <f t="shared" ref="A200:A263" si="9">A199+1</f>
        <v>359</v>
      </c>
      <c r="B200" s="36"/>
      <c r="C200" s="36"/>
      <c r="D200" s="38"/>
      <c r="E200" s="39"/>
      <c r="F200" s="36"/>
      <c r="G200" s="19" t="str">
        <f t="shared" si="8"/>
        <v/>
      </c>
      <c r="H200" s="36"/>
      <c r="I200" s="36"/>
      <c r="J200" s="39"/>
      <c r="K200" s="39"/>
      <c r="L200" s="40"/>
      <c r="M200" s="40"/>
      <c r="N200" s="20"/>
      <c r="O200" s="21"/>
    </row>
    <row r="201" spans="1:15" ht="28.5" customHeight="1" x14ac:dyDescent="0.3">
      <c r="A201" s="33">
        <f t="shared" si="9"/>
        <v>360</v>
      </c>
      <c r="B201" s="33"/>
      <c r="C201" s="33"/>
      <c r="D201" s="34"/>
      <c r="E201" s="35"/>
      <c r="F201" s="33"/>
      <c r="G201" s="19" t="str">
        <f t="shared" si="8"/>
        <v/>
      </c>
      <c r="H201" s="33"/>
      <c r="I201" s="33"/>
      <c r="J201" s="35"/>
      <c r="K201" s="35"/>
      <c r="L201" s="37"/>
      <c r="M201" s="37"/>
      <c r="N201" s="22"/>
      <c r="O201" s="23"/>
    </row>
    <row r="202" spans="1:15" ht="28.5" customHeight="1" x14ac:dyDescent="0.3">
      <c r="A202" s="36">
        <f t="shared" si="9"/>
        <v>361</v>
      </c>
      <c r="B202" s="36"/>
      <c r="C202" s="36"/>
      <c r="D202" s="38"/>
      <c r="E202" s="39"/>
      <c r="F202" s="36"/>
      <c r="G202" s="19" t="str">
        <f t="shared" si="8"/>
        <v/>
      </c>
      <c r="H202" s="36"/>
      <c r="I202" s="36"/>
      <c r="J202" s="39"/>
      <c r="K202" s="39"/>
      <c r="L202" s="40"/>
      <c r="M202" s="40"/>
      <c r="N202" s="20"/>
      <c r="O202" s="21"/>
    </row>
    <row r="203" spans="1:15" ht="28.5" customHeight="1" x14ac:dyDescent="0.3">
      <c r="A203" s="33">
        <f t="shared" si="9"/>
        <v>362</v>
      </c>
      <c r="B203" s="33"/>
      <c r="C203" s="33"/>
      <c r="D203" s="34"/>
      <c r="E203" s="35"/>
      <c r="F203" s="33"/>
      <c r="G203" s="19" t="str">
        <f t="shared" si="8"/>
        <v/>
      </c>
      <c r="H203" s="33"/>
      <c r="I203" s="33"/>
      <c r="J203" s="35"/>
      <c r="K203" s="35"/>
      <c r="L203" s="37"/>
      <c r="M203" s="37"/>
      <c r="N203" s="22"/>
      <c r="O203" s="23"/>
    </row>
    <row r="204" spans="1:15" ht="28.5" customHeight="1" x14ac:dyDescent="0.3">
      <c r="A204" s="36">
        <f t="shared" si="9"/>
        <v>363</v>
      </c>
      <c r="B204" s="36"/>
      <c r="C204" s="36"/>
      <c r="D204" s="38"/>
      <c r="E204" s="39"/>
      <c r="F204" s="36"/>
      <c r="G204" s="19" t="str">
        <f t="shared" si="8"/>
        <v/>
      </c>
      <c r="H204" s="36"/>
      <c r="I204" s="36"/>
      <c r="J204" s="39"/>
      <c r="K204" s="39"/>
      <c r="L204" s="40"/>
      <c r="M204" s="40"/>
      <c r="N204" s="20"/>
      <c r="O204" s="21"/>
    </row>
    <row r="205" spans="1:15" ht="28.5" customHeight="1" x14ac:dyDescent="0.3">
      <c r="A205" s="33">
        <f t="shared" si="9"/>
        <v>364</v>
      </c>
      <c r="B205" s="33"/>
      <c r="C205" s="33"/>
      <c r="D205" s="34"/>
      <c r="E205" s="35"/>
      <c r="F205" s="33"/>
      <c r="G205" s="19" t="str">
        <f t="shared" si="8"/>
        <v/>
      </c>
      <c r="H205" s="33"/>
      <c r="I205" s="33"/>
      <c r="J205" s="35"/>
      <c r="K205" s="35"/>
      <c r="L205" s="37"/>
      <c r="M205" s="37"/>
      <c r="N205" s="22"/>
      <c r="O205" s="23"/>
    </row>
    <row r="206" spans="1:15" ht="28.5" customHeight="1" x14ac:dyDescent="0.3">
      <c r="A206" s="36">
        <f t="shared" si="9"/>
        <v>365</v>
      </c>
      <c r="B206" s="36"/>
      <c r="C206" s="36"/>
      <c r="D206" s="38"/>
      <c r="E206" s="39"/>
      <c r="F206" s="36"/>
      <c r="G206" s="19" t="str">
        <f t="shared" si="8"/>
        <v/>
      </c>
      <c r="H206" s="36"/>
      <c r="I206" s="36"/>
      <c r="J206" s="39"/>
      <c r="K206" s="39"/>
      <c r="L206" s="40"/>
      <c r="M206" s="40"/>
      <c r="N206" s="20"/>
      <c r="O206" s="21"/>
    </row>
    <row r="207" spans="1:15" ht="28.5" customHeight="1" x14ac:dyDescent="0.3">
      <c r="A207" s="33">
        <f t="shared" si="9"/>
        <v>366</v>
      </c>
      <c r="B207" s="33"/>
      <c r="C207" s="33"/>
      <c r="D207" s="34"/>
      <c r="E207" s="35"/>
      <c r="F207" s="33"/>
      <c r="G207" s="19" t="str">
        <f t="shared" si="8"/>
        <v/>
      </c>
      <c r="H207" s="33"/>
      <c r="I207" s="33"/>
      <c r="J207" s="35"/>
      <c r="K207" s="35"/>
      <c r="L207" s="37"/>
      <c r="M207" s="37"/>
      <c r="N207" s="22"/>
      <c r="O207" s="23"/>
    </row>
    <row r="208" spans="1:15" ht="28.5" customHeight="1" x14ac:dyDescent="0.3">
      <c r="A208" s="36">
        <f t="shared" si="9"/>
        <v>367</v>
      </c>
      <c r="B208" s="36"/>
      <c r="C208" s="36"/>
      <c r="D208" s="38"/>
      <c r="E208" s="39"/>
      <c r="F208" s="36"/>
      <c r="G208" s="19" t="str">
        <f t="shared" si="8"/>
        <v/>
      </c>
      <c r="H208" s="36"/>
      <c r="I208" s="36"/>
      <c r="J208" s="39"/>
      <c r="K208" s="39"/>
      <c r="L208" s="40"/>
      <c r="M208" s="40"/>
      <c r="N208" s="20"/>
      <c r="O208" s="21"/>
    </row>
    <row r="209" spans="1:15" ht="28.5" customHeight="1" x14ac:dyDescent="0.3">
      <c r="A209" s="33">
        <f t="shared" si="9"/>
        <v>368</v>
      </c>
      <c r="B209" s="33"/>
      <c r="C209" s="33"/>
      <c r="D209" s="34"/>
      <c r="E209" s="35"/>
      <c r="F209" s="33"/>
      <c r="G209" s="19" t="str">
        <f t="shared" si="8"/>
        <v/>
      </c>
      <c r="H209" s="33"/>
      <c r="I209" s="33"/>
      <c r="J209" s="35"/>
      <c r="K209" s="35"/>
      <c r="L209" s="37"/>
      <c r="M209" s="37"/>
      <c r="N209" s="22"/>
      <c r="O209" s="23"/>
    </row>
    <row r="210" spans="1:15" ht="28.5" customHeight="1" x14ac:dyDescent="0.3">
      <c r="A210" s="36">
        <f t="shared" si="9"/>
        <v>369</v>
      </c>
      <c r="B210" s="36"/>
      <c r="C210" s="36"/>
      <c r="D210" s="38"/>
      <c r="E210" s="39"/>
      <c r="F210" s="36"/>
      <c r="G210" s="19" t="str">
        <f t="shared" si="8"/>
        <v/>
      </c>
      <c r="H210" s="36"/>
      <c r="I210" s="36"/>
      <c r="J210" s="39"/>
      <c r="K210" s="39"/>
      <c r="L210" s="40"/>
      <c r="M210" s="40"/>
      <c r="N210" s="20"/>
      <c r="O210" s="21"/>
    </row>
    <row r="211" spans="1:15" ht="28.5" customHeight="1" x14ac:dyDescent="0.3">
      <c r="A211" s="33">
        <f t="shared" si="9"/>
        <v>370</v>
      </c>
      <c r="B211" s="33"/>
      <c r="C211" s="33"/>
      <c r="D211" s="34"/>
      <c r="E211" s="35"/>
      <c r="F211" s="33"/>
      <c r="G211" s="19" t="str">
        <f t="shared" si="8"/>
        <v/>
      </c>
      <c r="H211" s="33"/>
      <c r="I211" s="33"/>
      <c r="J211" s="35"/>
      <c r="K211" s="35"/>
      <c r="L211" s="37"/>
      <c r="M211" s="37"/>
      <c r="N211" s="22"/>
      <c r="O211" s="23"/>
    </row>
    <row r="212" spans="1:15" ht="28.5" customHeight="1" x14ac:dyDescent="0.3">
      <c r="A212" s="36">
        <f t="shared" si="9"/>
        <v>371</v>
      </c>
      <c r="B212" s="36"/>
      <c r="C212" s="36"/>
      <c r="D212" s="38"/>
      <c r="E212" s="39"/>
      <c r="F212" s="36"/>
      <c r="G212" s="19" t="str">
        <f t="shared" si="8"/>
        <v/>
      </c>
      <c r="H212" s="36"/>
      <c r="I212" s="36"/>
      <c r="J212" s="39"/>
      <c r="K212" s="39"/>
      <c r="L212" s="40"/>
      <c r="M212" s="40"/>
      <c r="N212" s="20"/>
      <c r="O212" s="21"/>
    </row>
    <row r="213" spans="1:15" ht="28.5" customHeight="1" x14ac:dyDescent="0.3">
      <c r="A213" s="33">
        <f t="shared" si="9"/>
        <v>372</v>
      </c>
      <c r="B213" s="33"/>
      <c r="C213" s="33"/>
      <c r="D213" s="34"/>
      <c r="E213" s="35"/>
      <c r="F213" s="33"/>
      <c r="G213" s="19" t="str">
        <f t="shared" si="8"/>
        <v/>
      </c>
      <c r="H213" s="33"/>
      <c r="I213" s="33"/>
      <c r="J213" s="35"/>
      <c r="K213" s="35"/>
      <c r="L213" s="37"/>
      <c r="M213" s="37"/>
      <c r="N213" s="22"/>
      <c r="O213" s="23"/>
    </row>
    <row r="214" spans="1:15" ht="28.5" customHeight="1" x14ac:dyDescent="0.3">
      <c r="A214" s="36">
        <f t="shared" si="9"/>
        <v>373</v>
      </c>
      <c r="B214" s="36"/>
      <c r="C214" s="36"/>
      <c r="D214" s="38"/>
      <c r="E214" s="39"/>
      <c r="F214" s="36"/>
      <c r="G214" s="19" t="str">
        <f t="shared" si="8"/>
        <v/>
      </c>
      <c r="H214" s="36"/>
      <c r="I214" s="36"/>
      <c r="J214" s="39"/>
      <c r="K214" s="39"/>
      <c r="L214" s="40"/>
      <c r="M214" s="40"/>
      <c r="N214" s="20"/>
      <c r="O214" s="21"/>
    </row>
    <row r="215" spans="1:15" ht="28.5" customHeight="1" x14ac:dyDescent="0.3">
      <c r="A215" s="33">
        <f t="shared" si="9"/>
        <v>374</v>
      </c>
      <c r="B215" s="33"/>
      <c r="C215" s="33"/>
      <c r="D215" s="34"/>
      <c r="E215" s="35"/>
      <c r="F215" s="33"/>
      <c r="G215" s="19" t="str">
        <f t="shared" si="8"/>
        <v/>
      </c>
      <c r="H215" s="33"/>
      <c r="I215" s="33"/>
      <c r="J215" s="35"/>
      <c r="K215" s="35"/>
      <c r="L215" s="37"/>
      <c r="M215" s="37"/>
      <c r="N215" s="22"/>
      <c r="O215" s="23"/>
    </row>
    <row r="216" spans="1:15" ht="28.5" customHeight="1" x14ac:dyDescent="0.3">
      <c r="A216" s="36">
        <f t="shared" si="9"/>
        <v>375</v>
      </c>
      <c r="B216" s="36"/>
      <c r="C216" s="36"/>
      <c r="D216" s="38"/>
      <c r="E216" s="39"/>
      <c r="F216" s="36"/>
      <c r="G216" s="19" t="str">
        <f t="shared" si="8"/>
        <v/>
      </c>
      <c r="H216" s="36"/>
      <c r="I216" s="36"/>
      <c r="J216" s="39"/>
      <c r="K216" s="39"/>
      <c r="L216" s="40"/>
      <c r="M216" s="40"/>
      <c r="N216" s="20"/>
      <c r="O216" s="21"/>
    </row>
    <row r="217" spans="1:15" ht="28.5" customHeight="1" x14ac:dyDescent="0.3">
      <c r="A217" s="33">
        <f t="shared" si="9"/>
        <v>376</v>
      </c>
      <c r="B217" s="33"/>
      <c r="C217" s="33"/>
      <c r="D217" s="34"/>
      <c r="E217" s="35"/>
      <c r="F217" s="33"/>
      <c r="G217" s="19" t="str">
        <f t="shared" si="8"/>
        <v/>
      </c>
      <c r="H217" s="33"/>
      <c r="I217" s="33"/>
      <c r="J217" s="35"/>
      <c r="K217" s="35"/>
      <c r="L217" s="37"/>
      <c r="M217" s="37"/>
      <c r="N217" s="22"/>
      <c r="O217" s="23"/>
    </row>
    <row r="218" spans="1:15" ht="28.5" customHeight="1" x14ac:dyDescent="0.3">
      <c r="A218" s="36">
        <f t="shared" si="9"/>
        <v>377</v>
      </c>
      <c r="B218" s="36"/>
      <c r="C218" s="36"/>
      <c r="D218" s="38"/>
      <c r="E218" s="39"/>
      <c r="F218" s="36"/>
      <c r="G218" s="19" t="str">
        <f t="shared" ref="G218:G281" si="10">IF(H218,H218-I218,"")</f>
        <v/>
      </c>
      <c r="H218" s="36"/>
      <c r="I218" s="36"/>
      <c r="J218" s="39"/>
      <c r="K218" s="39"/>
      <c r="L218" s="40"/>
      <c r="M218" s="40"/>
      <c r="N218" s="20"/>
      <c r="O218" s="21"/>
    </row>
    <row r="219" spans="1:15" ht="28.5" customHeight="1" x14ac:dyDescent="0.3">
      <c r="A219" s="33">
        <f t="shared" si="9"/>
        <v>378</v>
      </c>
      <c r="B219" s="33"/>
      <c r="C219" s="33"/>
      <c r="D219" s="34"/>
      <c r="E219" s="35"/>
      <c r="F219" s="33"/>
      <c r="G219" s="19" t="str">
        <f t="shared" si="10"/>
        <v/>
      </c>
      <c r="H219" s="33"/>
      <c r="I219" s="33"/>
      <c r="J219" s="35"/>
      <c r="K219" s="35"/>
      <c r="L219" s="37"/>
      <c r="M219" s="37"/>
      <c r="N219" s="22"/>
      <c r="O219" s="23"/>
    </row>
    <row r="220" spans="1:15" ht="28.5" customHeight="1" x14ac:dyDescent="0.3">
      <c r="A220" s="36">
        <f t="shared" si="9"/>
        <v>379</v>
      </c>
      <c r="B220" s="36"/>
      <c r="C220" s="36"/>
      <c r="D220" s="38"/>
      <c r="E220" s="39"/>
      <c r="F220" s="36"/>
      <c r="G220" s="19" t="str">
        <f t="shared" si="10"/>
        <v/>
      </c>
      <c r="H220" s="36"/>
      <c r="I220" s="36"/>
      <c r="J220" s="39"/>
      <c r="K220" s="39"/>
      <c r="L220" s="40"/>
      <c r="M220" s="40"/>
      <c r="N220" s="20"/>
      <c r="O220" s="21"/>
    </row>
    <row r="221" spans="1:15" ht="28.5" customHeight="1" x14ac:dyDescent="0.3">
      <c r="A221" s="33">
        <f t="shared" si="9"/>
        <v>380</v>
      </c>
      <c r="B221" s="33"/>
      <c r="C221" s="33"/>
      <c r="D221" s="34"/>
      <c r="E221" s="35"/>
      <c r="F221" s="33"/>
      <c r="G221" s="19" t="str">
        <f t="shared" si="10"/>
        <v/>
      </c>
      <c r="H221" s="33"/>
      <c r="I221" s="33"/>
      <c r="J221" s="35"/>
      <c r="K221" s="35"/>
      <c r="L221" s="37"/>
      <c r="M221" s="37"/>
      <c r="N221" s="22"/>
      <c r="O221" s="23"/>
    </row>
    <row r="222" spans="1:15" ht="28.5" customHeight="1" x14ac:dyDescent="0.3">
      <c r="A222" s="36">
        <f t="shared" si="9"/>
        <v>381</v>
      </c>
      <c r="B222" s="36"/>
      <c r="C222" s="36"/>
      <c r="D222" s="38"/>
      <c r="E222" s="39"/>
      <c r="F222" s="36"/>
      <c r="G222" s="19" t="str">
        <f t="shared" si="10"/>
        <v/>
      </c>
      <c r="H222" s="36"/>
      <c r="I222" s="36"/>
      <c r="J222" s="39"/>
      <c r="K222" s="39"/>
      <c r="L222" s="40"/>
      <c r="M222" s="40"/>
      <c r="N222" s="20"/>
      <c r="O222" s="21"/>
    </row>
    <row r="223" spans="1:15" ht="28.5" customHeight="1" x14ac:dyDescent="0.3">
      <c r="A223" s="33">
        <f t="shared" si="9"/>
        <v>382</v>
      </c>
      <c r="B223" s="33"/>
      <c r="C223" s="33"/>
      <c r="D223" s="34"/>
      <c r="E223" s="35"/>
      <c r="F223" s="33"/>
      <c r="G223" s="19" t="str">
        <f t="shared" si="10"/>
        <v/>
      </c>
      <c r="H223" s="33"/>
      <c r="I223" s="33"/>
      <c r="J223" s="35"/>
      <c r="K223" s="35"/>
      <c r="L223" s="37"/>
      <c r="M223" s="37"/>
      <c r="N223" s="22"/>
      <c r="O223" s="23"/>
    </row>
    <row r="224" spans="1:15" ht="28.5" customHeight="1" x14ac:dyDescent="0.3">
      <c r="A224" s="36">
        <f t="shared" si="9"/>
        <v>383</v>
      </c>
      <c r="B224" s="36"/>
      <c r="C224" s="36"/>
      <c r="D224" s="38"/>
      <c r="E224" s="39"/>
      <c r="F224" s="36"/>
      <c r="G224" s="19" t="str">
        <f t="shared" si="10"/>
        <v/>
      </c>
      <c r="H224" s="36"/>
      <c r="I224" s="36"/>
      <c r="J224" s="39"/>
      <c r="K224" s="39"/>
      <c r="L224" s="40"/>
      <c r="M224" s="40"/>
      <c r="N224" s="20"/>
      <c r="O224" s="21"/>
    </row>
    <row r="225" spans="1:15" ht="28.5" customHeight="1" x14ac:dyDescent="0.3">
      <c r="A225" s="33">
        <f t="shared" si="9"/>
        <v>384</v>
      </c>
      <c r="B225" s="33"/>
      <c r="C225" s="33"/>
      <c r="D225" s="34"/>
      <c r="E225" s="35"/>
      <c r="F225" s="33"/>
      <c r="G225" s="19" t="str">
        <f t="shared" si="10"/>
        <v/>
      </c>
      <c r="H225" s="33"/>
      <c r="I225" s="33"/>
      <c r="J225" s="35"/>
      <c r="K225" s="35"/>
      <c r="L225" s="37"/>
      <c r="M225" s="37"/>
      <c r="N225" s="22"/>
      <c r="O225" s="23"/>
    </row>
    <row r="226" spans="1:15" ht="28.5" customHeight="1" x14ac:dyDescent="0.3">
      <c r="A226" s="36">
        <f t="shared" si="9"/>
        <v>385</v>
      </c>
      <c r="B226" s="36"/>
      <c r="C226" s="36"/>
      <c r="D226" s="38"/>
      <c r="E226" s="39"/>
      <c r="F226" s="36"/>
      <c r="G226" s="19" t="str">
        <f t="shared" si="10"/>
        <v/>
      </c>
      <c r="H226" s="36"/>
      <c r="I226" s="36"/>
      <c r="J226" s="39"/>
      <c r="K226" s="39"/>
      <c r="L226" s="40"/>
      <c r="M226" s="40"/>
      <c r="N226" s="20"/>
      <c r="O226" s="21"/>
    </row>
    <row r="227" spans="1:15" ht="28.5" customHeight="1" x14ac:dyDescent="0.3">
      <c r="A227" s="33">
        <f t="shared" si="9"/>
        <v>386</v>
      </c>
      <c r="B227" s="33"/>
      <c r="C227" s="33"/>
      <c r="D227" s="34"/>
      <c r="E227" s="35"/>
      <c r="F227" s="33"/>
      <c r="G227" s="19" t="str">
        <f t="shared" si="10"/>
        <v/>
      </c>
      <c r="H227" s="33"/>
      <c r="I227" s="33"/>
      <c r="J227" s="35"/>
      <c r="K227" s="35"/>
      <c r="L227" s="37"/>
      <c r="M227" s="37"/>
      <c r="N227" s="22"/>
      <c r="O227" s="23"/>
    </row>
    <row r="228" spans="1:15" ht="28.5" customHeight="1" x14ac:dyDescent="0.3">
      <c r="A228" s="36">
        <f t="shared" si="9"/>
        <v>387</v>
      </c>
      <c r="B228" s="36"/>
      <c r="C228" s="36"/>
      <c r="D228" s="38"/>
      <c r="E228" s="39"/>
      <c r="F228" s="36"/>
      <c r="G228" s="19" t="str">
        <f t="shared" si="10"/>
        <v/>
      </c>
      <c r="H228" s="36"/>
      <c r="I228" s="36"/>
      <c r="J228" s="39"/>
      <c r="K228" s="39"/>
      <c r="L228" s="40"/>
      <c r="M228" s="40"/>
      <c r="N228" s="20"/>
      <c r="O228" s="21"/>
    </row>
    <row r="229" spans="1:15" ht="28.5" customHeight="1" x14ac:dyDescent="0.3">
      <c r="A229" s="33">
        <f t="shared" si="9"/>
        <v>388</v>
      </c>
      <c r="B229" s="33"/>
      <c r="C229" s="33"/>
      <c r="D229" s="34"/>
      <c r="E229" s="35"/>
      <c r="F229" s="33"/>
      <c r="G229" s="19" t="str">
        <f t="shared" si="10"/>
        <v/>
      </c>
      <c r="H229" s="33"/>
      <c r="I229" s="33"/>
      <c r="J229" s="35"/>
      <c r="K229" s="35"/>
      <c r="L229" s="37"/>
      <c r="M229" s="37"/>
      <c r="N229" s="22"/>
      <c r="O229" s="23"/>
    </row>
    <row r="230" spans="1:15" ht="28.5" customHeight="1" x14ac:dyDescent="0.3">
      <c r="A230" s="36">
        <f t="shared" si="9"/>
        <v>389</v>
      </c>
      <c r="B230" s="36"/>
      <c r="C230" s="36"/>
      <c r="D230" s="38"/>
      <c r="E230" s="39"/>
      <c r="F230" s="36"/>
      <c r="G230" s="19" t="str">
        <f t="shared" si="10"/>
        <v/>
      </c>
      <c r="H230" s="36"/>
      <c r="I230" s="36"/>
      <c r="J230" s="39"/>
      <c r="K230" s="39"/>
      <c r="L230" s="40"/>
      <c r="M230" s="40"/>
      <c r="N230" s="20"/>
      <c r="O230" s="21"/>
    </row>
    <row r="231" spans="1:15" ht="28.5" customHeight="1" x14ac:dyDescent="0.3">
      <c r="A231" s="33">
        <f t="shared" si="9"/>
        <v>390</v>
      </c>
      <c r="B231" s="33"/>
      <c r="C231" s="33"/>
      <c r="D231" s="34"/>
      <c r="E231" s="35"/>
      <c r="F231" s="33"/>
      <c r="G231" s="19" t="str">
        <f t="shared" si="10"/>
        <v/>
      </c>
      <c r="H231" s="33"/>
      <c r="I231" s="33"/>
      <c r="J231" s="35"/>
      <c r="K231" s="35"/>
      <c r="L231" s="37"/>
      <c r="M231" s="37"/>
      <c r="N231" s="22"/>
      <c r="O231" s="23"/>
    </row>
    <row r="232" spans="1:15" ht="28.5" customHeight="1" x14ac:dyDescent="0.3">
      <c r="A232" s="36">
        <f t="shared" si="9"/>
        <v>391</v>
      </c>
      <c r="B232" s="36"/>
      <c r="C232" s="36"/>
      <c r="D232" s="38"/>
      <c r="E232" s="39"/>
      <c r="F232" s="36"/>
      <c r="G232" s="19" t="str">
        <f t="shared" si="10"/>
        <v/>
      </c>
      <c r="H232" s="36"/>
      <c r="I232" s="36"/>
      <c r="J232" s="39"/>
      <c r="K232" s="39"/>
      <c r="L232" s="40"/>
      <c r="M232" s="40"/>
      <c r="N232" s="20"/>
      <c r="O232" s="21"/>
    </row>
    <row r="233" spans="1:15" ht="28.5" customHeight="1" x14ac:dyDescent="0.3">
      <c r="A233" s="33">
        <f t="shared" si="9"/>
        <v>392</v>
      </c>
      <c r="B233" s="33"/>
      <c r="C233" s="33"/>
      <c r="D233" s="34"/>
      <c r="E233" s="35"/>
      <c r="F233" s="33"/>
      <c r="G233" s="19" t="str">
        <f t="shared" si="10"/>
        <v/>
      </c>
      <c r="H233" s="33"/>
      <c r="I233" s="33"/>
      <c r="J233" s="35"/>
      <c r="K233" s="35"/>
      <c r="L233" s="37"/>
      <c r="M233" s="37"/>
      <c r="N233" s="22"/>
      <c r="O233" s="23"/>
    </row>
    <row r="234" spans="1:15" ht="28.5" customHeight="1" x14ac:dyDescent="0.3">
      <c r="A234" s="36">
        <f t="shared" si="9"/>
        <v>393</v>
      </c>
      <c r="B234" s="36"/>
      <c r="C234" s="36"/>
      <c r="D234" s="38"/>
      <c r="E234" s="39"/>
      <c r="F234" s="36"/>
      <c r="G234" s="19" t="str">
        <f t="shared" si="10"/>
        <v/>
      </c>
      <c r="H234" s="36"/>
      <c r="I234" s="36"/>
      <c r="J234" s="39"/>
      <c r="K234" s="39"/>
      <c r="L234" s="40"/>
      <c r="M234" s="40"/>
      <c r="N234" s="20"/>
      <c r="O234" s="21"/>
    </row>
    <row r="235" spans="1:15" ht="28.5" customHeight="1" x14ac:dyDescent="0.3">
      <c r="A235" s="33">
        <f t="shared" si="9"/>
        <v>394</v>
      </c>
      <c r="B235" s="33"/>
      <c r="C235" s="33"/>
      <c r="D235" s="34"/>
      <c r="E235" s="35"/>
      <c r="F235" s="33"/>
      <c r="G235" s="19" t="str">
        <f t="shared" si="10"/>
        <v/>
      </c>
      <c r="H235" s="33"/>
      <c r="I235" s="33"/>
      <c r="J235" s="35"/>
      <c r="K235" s="35"/>
      <c r="L235" s="37"/>
      <c r="M235" s="37"/>
      <c r="N235" s="22"/>
      <c r="O235" s="23"/>
    </row>
    <row r="236" spans="1:15" ht="28.5" customHeight="1" x14ac:dyDescent="0.3">
      <c r="A236" s="36">
        <f t="shared" si="9"/>
        <v>395</v>
      </c>
      <c r="B236" s="36"/>
      <c r="C236" s="36"/>
      <c r="D236" s="38"/>
      <c r="E236" s="39"/>
      <c r="F236" s="36"/>
      <c r="G236" s="19" t="str">
        <f t="shared" si="10"/>
        <v/>
      </c>
      <c r="H236" s="36"/>
      <c r="I236" s="36"/>
      <c r="J236" s="39"/>
      <c r="K236" s="39"/>
      <c r="L236" s="40"/>
      <c r="M236" s="40"/>
      <c r="N236" s="20"/>
      <c r="O236" s="21"/>
    </row>
    <row r="237" spans="1:15" ht="28.5" customHeight="1" x14ac:dyDescent="0.3">
      <c r="A237" s="33">
        <f t="shared" si="9"/>
        <v>396</v>
      </c>
      <c r="B237" s="33"/>
      <c r="C237" s="33"/>
      <c r="D237" s="34"/>
      <c r="E237" s="35"/>
      <c r="F237" s="33"/>
      <c r="G237" s="19" t="str">
        <f t="shared" si="10"/>
        <v/>
      </c>
      <c r="H237" s="33"/>
      <c r="I237" s="33"/>
      <c r="J237" s="35"/>
      <c r="K237" s="35"/>
      <c r="L237" s="37"/>
      <c r="M237" s="37"/>
      <c r="N237" s="22"/>
      <c r="O237" s="23"/>
    </row>
    <row r="238" spans="1:15" ht="28.5" customHeight="1" x14ac:dyDescent="0.3">
      <c r="A238" s="36">
        <f t="shared" si="9"/>
        <v>397</v>
      </c>
      <c r="B238" s="36"/>
      <c r="C238" s="36"/>
      <c r="D238" s="38"/>
      <c r="E238" s="39"/>
      <c r="F238" s="36"/>
      <c r="G238" s="19" t="str">
        <f t="shared" si="10"/>
        <v/>
      </c>
      <c r="H238" s="36"/>
      <c r="I238" s="36"/>
      <c r="J238" s="39"/>
      <c r="K238" s="39"/>
      <c r="L238" s="40"/>
      <c r="M238" s="40"/>
      <c r="N238" s="20"/>
      <c r="O238" s="21"/>
    </row>
    <row r="239" spans="1:15" ht="28.5" customHeight="1" x14ac:dyDescent="0.3">
      <c r="A239" s="33">
        <f t="shared" si="9"/>
        <v>398</v>
      </c>
      <c r="B239" s="33"/>
      <c r="C239" s="33"/>
      <c r="D239" s="34"/>
      <c r="E239" s="35"/>
      <c r="F239" s="33"/>
      <c r="G239" s="19" t="str">
        <f t="shared" si="10"/>
        <v/>
      </c>
      <c r="H239" s="33"/>
      <c r="I239" s="33"/>
      <c r="J239" s="35"/>
      <c r="K239" s="35"/>
      <c r="L239" s="37"/>
      <c r="M239" s="37"/>
      <c r="N239" s="22"/>
      <c r="O239" s="23"/>
    </row>
    <row r="240" spans="1:15" ht="28.5" customHeight="1" x14ac:dyDescent="0.3">
      <c r="A240" s="36">
        <f t="shared" si="9"/>
        <v>399</v>
      </c>
      <c r="B240" s="36"/>
      <c r="C240" s="36"/>
      <c r="D240" s="38"/>
      <c r="E240" s="39"/>
      <c r="F240" s="36"/>
      <c r="G240" s="19" t="str">
        <f t="shared" si="10"/>
        <v/>
      </c>
      <c r="H240" s="36"/>
      <c r="I240" s="36"/>
      <c r="J240" s="39"/>
      <c r="K240" s="39"/>
      <c r="L240" s="40"/>
      <c r="M240" s="40"/>
      <c r="N240" s="20"/>
      <c r="O240" s="21"/>
    </row>
    <row r="241" spans="1:15" ht="28.5" customHeight="1" x14ac:dyDescent="0.3">
      <c r="A241" s="33">
        <f t="shared" si="9"/>
        <v>400</v>
      </c>
      <c r="B241" s="33"/>
      <c r="C241" s="33"/>
      <c r="D241" s="34"/>
      <c r="E241" s="35"/>
      <c r="F241" s="33"/>
      <c r="G241" s="19" t="str">
        <f t="shared" si="10"/>
        <v/>
      </c>
      <c r="H241" s="33"/>
      <c r="I241" s="33"/>
      <c r="J241" s="35"/>
      <c r="K241" s="35"/>
      <c r="L241" s="37"/>
      <c r="M241" s="37"/>
      <c r="N241" s="22"/>
      <c r="O241" s="23"/>
    </row>
    <row r="242" spans="1:15" ht="28.5" customHeight="1" x14ac:dyDescent="0.3">
      <c r="A242" s="36">
        <f t="shared" si="9"/>
        <v>401</v>
      </c>
      <c r="B242" s="36"/>
      <c r="C242" s="36"/>
      <c r="D242" s="38"/>
      <c r="E242" s="39"/>
      <c r="F242" s="36"/>
      <c r="G242" s="19" t="str">
        <f t="shared" si="10"/>
        <v/>
      </c>
      <c r="H242" s="36"/>
      <c r="I242" s="36"/>
      <c r="J242" s="39"/>
      <c r="K242" s="39"/>
      <c r="L242" s="40"/>
      <c r="M242" s="40"/>
      <c r="N242" s="20"/>
      <c r="O242" s="21"/>
    </row>
    <row r="243" spans="1:15" ht="28.5" customHeight="1" x14ac:dyDescent="0.3">
      <c r="A243" s="33">
        <f t="shared" si="9"/>
        <v>402</v>
      </c>
      <c r="B243" s="33"/>
      <c r="C243" s="33"/>
      <c r="D243" s="34"/>
      <c r="E243" s="35"/>
      <c r="F243" s="33"/>
      <c r="G243" s="19" t="str">
        <f t="shared" si="10"/>
        <v/>
      </c>
      <c r="H243" s="33"/>
      <c r="I243" s="33"/>
      <c r="J243" s="35"/>
      <c r="K243" s="35"/>
      <c r="L243" s="37"/>
      <c r="M243" s="37"/>
      <c r="N243" s="22"/>
      <c r="O243" s="23"/>
    </row>
    <row r="244" spans="1:15" ht="28.5" customHeight="1" x14ac:dyDescent="0.3">
      <c r="A244" s="36">
        <f t="shared" si="9"/>
        <v>403</v>
      </c>
      <c r="B244" s="36"/>
      <c r="C244" s="36"/>
      <c r="D244" s="38"/>
      <c r="E244" s="39"/>
      <c r="F244" s="36"/>
      <c r="G244" s="19" t="str">
        <f t="shared" si="10"/>
        <v/>
      </c>
      <c r="H244" s="36"/>
      <c r="I244" s="36"/>
      <c r="J244" s="39"/>
      <c r="K244" s="39"/>
      <c r="L244" s="40"/>
      <c r="M244" s="40"/>
      <c r="N244" s="20"/>
      <c r="O244" s="21"/>
    </row>
    <row r="245" spans="1:15" ht="28.5" customHeight="1" x14ac:dyDescent="0.3">
      <c r="A245" s="33">
        <f t="shared" si="9"/>
        <v>404</v>
      </c>
      <c r="B245" s="33"/>
      <c r="C245" s="33"/>
      <c r="D245" s="34"/>
      <c r="E245" s="35"/>
      <c r="F245" s="33"/>
      <c r="G245" s="19" t="str">
        <f t="shared" si="10"/>
        <v/>
      </c>
      <c r="H245" s="33"/>
      <c r="I245" s="33"/>
      <c r="J245" s="35"/>
      <c r="K245" s="35"/>
      <c r="L245" s="37"/>
      <c r="M245" s="37"/>
      <c r="N245" s="22"/>
      <c r="O245" s="23"/>
    </row>
    <row r="246" spans="1:15" ht="28.5" customHeight="1" x14ac:dyDescent="0.3">
      <c r="A246" s="36">
        <f t="shared" si="9"/>
        <v>405</v>
      </c>
      <c r="B246" s="36"/>
      <c r="C246" s="36"/>
      <c r="D246" s="38"/>
      <c r="E246" s="39"/>
      <c r="F246" s="36"/>
      <c r="G246" s="19" t="str">
        <f t="shared" si="10"/>
        <v/>
      </c>
      <c r="H246" s="36"/>
      <c r="I246" s="36"/>
      <c r="J246" s="39"/>
      <c r="K246" s="39"/>
      <c r="L246" s="40"/>
      <c r="M246" s="40"/>
      <c r="N246" s="20"/>
      <c r="O246" s="21"/>
    </row>
    <row r="247" spans="1:15" ht="28.5" customHeight="1" x14ac:dyDescent="0.3">
      <c r="A247" s="33">
        <f t="shared" si="9"/>
        <v>406</v>
      </c>
      <c r="B247" s="33"/>
      <c r="C247" s="33"/>
      <c r="D247" s="34"/>
      <c r="E247" s="35"/>
      <c r="F247" s="33"/>
      <c r="G247" s="19" t="str">
        <f t="shared" si="10"/>
        <v/>
      </c>
      <c r="H247" s="33"/>
      <c r="I247" s="33"/>
      <c r="J247" s="35"/>
      <c r="K247" s="35"/>
      <c r="L247" s="37"/>
      <c r="M247" s="37"/>
      <c r="N247" s="22"/>
      <c r="O247" s="23"/>
    </row>
    <row r="248" spans="1:15" ht="28.5" customHeight="1" x14ac:dyDescent="0.3">
      <c r="A248" s="36">
        <f t="shared" si="9"/>
        <v>407</v>
      </c>
      <c r="B248" s="36"/>
      <c r="C248" s="36"/>
      <c r="D248" s="38"/>
      <c r="E248" s="39"/>
      <c r="F248" s="36"/>
      <c r="G248" s="19" t="str">
        <f t="shared" si="10"/>
        <v/>
      </c>
      <c r="H248" s="36"/>
      <c r="I248" s="36"/>
      <c r="J248" s="39"/>
      <c r="K248" s="39"/>
      <c r="L248" s="40"/>
      <c r="M248" s="40"/>
      <c r="N248" s="20"/>
      <c r="O248" s="21"/>
    </row>
    <row r="249" spans="1:15" ht="28.5" customHeight="1" x14ac:dyDescent="0.3">
      <c r="A249" s="33">
        <f t="shared" si="9"/>
        <v>408</v>
      </c>
      <c r="B249" s="33"/>
      <c r="C249" s="33"/>
      <c r="D249" s="34"/>
      <c r="E249" s="35"/>
      <c r="F249" s="33"/>
      <c r="G249" s="19" t="str">
        <f t="shared" si="10"/>
        <v/>
      </c>
      <c r="H249" s="33"/>
      <c r="I249" s="33"/>
      <c r="J249" s="35"/>
      <c r="K249" s="35"/>
      <c r="L249" s="37"/>
      <c r="M249" s="37"/>
      <c r="N249" s="22"/>
      <c r="O249" s="23"/>
    </row>
    <row r="250" spans="1:15" ht="28.5" customHeight="1" x14ac:dyDescent="0.3">
      <c r="A250" s="36">
        <f t="shared" si="9"/>
        <v>409</v>
      </c>
      <c r="B250" s="36"/>
      <c r="C250" s="36"/>
      <c r="D250" s="38"/>
      <c r="E250" s="39"/>
      <c r="F250" s="36"/>
      <c r="G250" s="19" t="str">
        <f t="shared" si="10"/>
        <v/>
      </c>
      <c r="H250" s="36"/>
      <c r="I250" s="36"/>
      <c r="J250" s="39"/>
      <c r="K250" s="39"/>
      <c r="L250" s="40"/>
      <c r="M250" s="40"/>
      <c r="N250" s="20"/>
      <c r="O250" s="21"/>
    </row>
    <row r="251" spans="1:15" ht="28.5" customHeight="1" x14ac:dyDescent="0.3">
      <c r="A251" s="33">
        <f t="shared" si="9"/>
        <v>410</v>
      </c>
      <c r="B251" s="33"/>
      <c r="C251" s="33"/>
      <c r="D251" s="34"/>
      <c r="E251" s="35"/>
      <c r="F251" s="33"/>
      <c r="G251" s="19" t="str">
        <f t="shared" si="10"/>
        <v/>
      </c>
      <c r="H251" s="33"/>
      <c r="I251" s="33"/>
      <c r="J251" s="35"/>
      <c r="K251" s="35"/>
      <c r="L251" s="37"/>
      <c r="M251" s="37"/>
      <c r="N251" s="22"/>
      <c r="O251" s="23"/>
    </row>
    <row r="252" spans="1:15" ht="28.5" customHeight="1" x14ac:dyDescent="0.3">
      <c r="A252" s="36">
        <f t="shared" si="9"/>
        <v>411</v>
      </c>
      <c r="B252" s="36"/>
      <c r="C252" s="36"/>
      <c r="D252" s="38"/>
      <c r="E252" s="39"/>
      <c r="F252" s="36"/>
      <c r="G252" s="19" t="str">
        <f t="shared" si="10"/>
        <v/>
      </c>
      <c r="H252" s="36"/>
      <c r="I252" s="36"/>
      <c r="J252" s="39"/>
      <c r="K252" s="39"/>
      <c r="L252" s="40"/>
      <c r="M252" s="40"/>
      <c r="N252" s="20"/>
      <c r="O252" s="21"/>
    </row>
    <row r="253" spans="1:15" ht="28.5" customHeight="1" x14ac:dyDescent="0.3">
      <c r="A253" s="33">
        <f t="shared" si="9"/>
        <v>412</v>
      </c>
      <c r="B253" s="33"/>
      <c r="C253" s="33"/>
      <c r="D253" s="34"/>
      <c r="E253" s="35"/>
      <c r="F253" s="33"/>
      <c r="G253" s="19" t="str">
        <f t="shared" si="10"/>
        <v/>
      </c>
      <c r="H253" s="33"/>
      <c r="I253" s="33"/>
      <c r="J253" s="35"/>
      <c r="K253" s="35"/>
      <c r="L253" s="37"/>
      <c r="M253" s="37"/>
      <c r="N253" s="22"/>
      <c r="O253" s="23"/>
    </row>
    <row r="254" spans="1:15" ht="28.5" customHeight="1" x14ac:dyDescent="0.3">
      <c r="A254" s="36">
        <f t="shared" si="9"/>
        <v>413</v>
      </c>
      <c r="B254" s="36"/>
      <c r="C254" s="36"/>
      <c r="D254" s="38"/>
      <c r="E254" s="39"/>
      <c r="F254" s="36"/>
      <c r="G254" s="19" t="str">
        <f t="shared" si="10"/>
        <v/>
      </c>
      <c r="H254" s="36"/>
      <c r="I254" s="36"/>
      <c r="J254" s="39"/>
      <c r="K254" s="39"/>
      <c r="L254" s="40"/>
      <c r="M254" s="40"/>
      <c r="N254" s="20"/>
      <c r="O254" s="21"/>
    </row>
    <row r="255" spans="1:15" ht="28.5" customHeight="1" x14ac:dyDescent="0.3">
      <c r="A255" s="33">
        <f t="shared" si="9"/>
        <v>414</v>
      </c>
      <c r="B255" s="33"/>
      <c r="C255" s="33"/>
      <c r="D255" s="34"/>
      <c r="E255" s="35"/>
      <c r="F255" s="33"/>
      <c r="G255" s="19" t="str">
        <f t="shared" si="10"/>
        <v/>
      </c>
      <c r="H255" s="33"/>
      <c r="I255" s="33"/>
      <c r="J255" s="35"/>
      <c r="K255" s="35"/>
      <c r="L255" s="37"/>
      <c r="M255" s="37"/>
      <c r="N255" s="22"/>
      <c r="O255" s="23"/>
    </row>
    <row r="256" spans="1:15" ht="28.5" customHeight="1" x14ac:dyDescent="0.3">
      <c r="A256" s="36">
        <f t="shared" si="9"/>
        <v>415</v>
      </c>
      <c r="B256" s="36"/>
      <c r="C256" s="36"/>
      <c r="D256" s="38"/>
      <c r="E256" s="39"/>
      <c r="F256" s="36"/>
      <c r="G256" s="19" t="str">
        <f t="shared" si="10"/>
        <v/>
      </c>
      <c r="H256" s="36"/>
      <c r="I256" s="36"/>
      <c r="J256" s="39"/>
      <c r="K256" s="39"/>
      <c r="L256" s="40"/>
      <c r="M256" s="40"/>
      <c r="N256" s="20"/>
      <c r="O256" s="21"/>
    </row>
    <row r="257" spans="1:15" ht="28.5" customHeight="1" x14ac:dyDescent="0.3">
      <c r="A257" s="33">
        <f t="shared" si="9"/>
        <v>416</v>
      </c>
      <c r="B257" s="33"/>
      <c r="C257" s="33"/>
      <c r="D257" s="34"/>
      <c r="E257" s="35"/>
      <c r="F257" s="33"/>
      <c r="G257" s="19" t="str">
        <f t="shared" si="10"/>
        <v/>
      </c>
      <c r="H257" s="33"/>
      <c r="I257" s="33"/>
      <c r="J257" s="35"/>
      <c r="K257" s="35"/>
      <c r="L257" s="37"/>
      <c r="M257" s="37"/>
      <c r="N257" s="22"/>
      <c r="O257" s="23"/>
    </row>
    <row r="258" spans="1:15" ht="28.5" customHeight="1" x14ac:dyDescent="0.3">
      <c r="A258" s="36">
        <f t="shared" si="9"/>
        <v>417</v>
      </c>
      <c r="B258" s="36"/>
      <c r="C258" s="36"/>
      <c r="D258" s="38"/>
      <c r="E258" s="39"/>
      <c r="F258" s="36"/>
      <c r="G258" s="19" t="str">
        <f t="shared" si="10"/>
        <v/>
      </c>
      <c r="H258" s="36"/>
      <c r="I258" s="36"/>
      <c r="J258" s="39"/>
      <c r="K258" s="39"/>
      <c r="L258" s="40"/>
      <c r="M258" s="40"/>
      <c r="N258" s="20"/>
      <c r="O258" s="21"/>
    </row>
    <row r="259" spans="1:15" ht="28.5" customHeight="1" x14ac:dyDescent="0.3">
      <c r="A259" s="33">
        <f t="shared" si="9"/>
        <v>418</v>
      </c>
      <c r="B259" s="33"/>
      <c r="C259" s="33"/>
      <c r="D259" s="34"/>
      <c r="E259" s="35"/>
      <c r="F259" s="33"/>
      <c r="G259" s="19" t="str">
        <f t="shared" si="10"/>
        <v/>
      </c>
      <c r="H259" s="33"/>
      <c r="I259" s="33"/>
      <c r="J259" s="35"/>
      <c r="K259" s="35"/>
      <c r="L259" s="37"/>
      <c r="M259" s="37"/>
      <c r="N259" s="22"/>
      <c r="O259" s="23"/>
    </row>
    <row r="260" spans="1:15" ht="28.5" customHeight="1" x14ac:dyDescent="0.3">
      <c r="A260" s="36">
        <f t="shared" si="9"/>
        <v>419</v>
      </c>
      <c r="B260" s="36"/>
      <c r="C260" s="36"/>
      <c r="D260" s="38"/>
      <c r="E260" s="39"/>
      <c r="F260" s="36"/>
      <c r="G260" s="19" t="str">
        <f t="shared" si="10"/>
        <v/>
      </c>
      <c r="H260" s="36"/>
      <c r="I260" s="36"/>
      <c r="J260" s="39"/>
      <c r="K260" s="39"/>
      <c r="L260" s="40"/>
      <c r="M260" s="40"/>
      <c r="N260" s="20"/>
      <c r="O260" s="21"/>
    </row>
    <row r="261" spans="1:15" ht="28.5" customHeight="1" x14ac:dyDescent="0.3">
      <c r="A261" s="33">
        <f t="shared" si="9"/>
        <v>420</v>
      </c>
      <c r="B261" s="33"/>
      <c r="C261" s="33"/>
      <c r="D261" s="34"/>
      <c r="E261" s="35"/>
      <c r="F261" s="33"/>
      <c r="G261" s="19" t="str">
        <f t="shared" si="10"/>
        <v/>
      </c>
      <c r="H261" s="33"/>
      <c r="I261" s="33"/>
      <c r="J261" s="35"/>
      <c r="K261" s="35"/>
      <c r="L261" s="37"/>
      <c r="M261" s="37"/>
      <c r="N261" s="22"/>
      <c r="O261" s="23"/>
    </row>
    <row r="262" spans="1:15" ht="28.5" customHeight="1" x14ac:dyDescent="0.3">
      <c r="A262" s="36">
        <f t="shared" si="9"/>
        <v>421</v>
      </c>
      <c r="B262" s="36"/>
      <c r="C262" s="36"/>
      <c r="D262" s="38"/>
      <c r="E262" s="39"/>
      <c r="F262" s="36"/>
      <c r="G262" s="19" t="str">
        <f t="shared" si="10"/>
        <v/>
      </c>
      <c r="H262" s="36"/>
      <c r="I262" s="36"/>
      <c r="J262" s="39"/>
      <c r="K262" s="39"/>
      <c r="L262" s="40"/>
      <c r="M262" s="40"/>
      <c r="N262" s="20"/>
      <c r="O262" s="21"/>
    </row>
    <row r="263" spans="1:15" ht="28.5" customHeight="1" x14ac:dyDescent="0.3">
      <c r="A263" s="33">
        <f t="shared" si="9"/>
        <v>422</v>
      </c>
      <c r="B263" s="33"/>
      <c r="C263" s="33"/>
      <c r="D263" s="34"/>
      <c r="E263" s="35"/>
      <c r="F263" s="33"/>
      <c r="G263" s="19" t="str">
        <f t="shared" si="10"/>
        <v/>
      </c>
      <c r="H263" s="33"/>
      <c r="I263" s="33"/>
      <c r="J263" s="35"/>
      <c r="K263" s="35"/>
      <c r="L263" s="37"/>
      <c r="M263" s="37"/>
      <c r="N263" s="22"/>
      <c r="O263" s="23"/>
    </row>
    <row r="264" spans="1:15" ht="28.5" customHeight="1" x14ac:dyDescent="0.3">
      <c r="A264" s="36">
        <f t="shared" ref="A264:A327" si="11">A263+1</f>
        <v>423</v>
      </c>
      <c r="B264" s="36"/>
      <c r="C264" s="36"/>
      <c r="D264" s="38"/>
      <c r="E264" s="39"/>
      <c r="F264" s="36"/>
      <c r="G264" s="19" t="str">
        <f t="shared" si="10"/>
        <v/>
      </c>
      <c r="H264" s="36"/>
      <c r="I264" s="36"/>
      <c r="J264" s="39"/>
      <c r="K264" s="39"/>
      <c r="L264" s="40"/>
      <c r="M264" s="40"/>
      <c r="N264" s="20"/>
      <c r="O264" s="21"/>
    </row>
    <row r="265" spans="1:15" ht="28.5" customHeight="1" x14ac:dyDescent="0.3">
      <c r="A265" s="33">
        <f t="shared" si="11"/>
        <v>424</v>
      </c>
      <c r="B265" s="33"/>
      <c r="C265" s="33"/>
      <c r="D265" s="34"/>
      <c r="E265" s="35"/>
      <c r="F265" s="33"/>
      <c r="G265" s="19" t="str">
        <f t="shared" si="10"/>
        <v/>
      </c>
      <c r="H265" s="33"/>
      <c r="I265" s="33"/>
      <c r="J265" s="35"/>
      <c r="K265" s="35"/>
      <c r="L265" s="37"/>
      <c r="M265" s="37"/>
      <c r="N265" s="22"/>
      <c r="O265" s="23"/>
    </row>
    <row r="266" spans="1:15" ht="28.5" customHeight="1" x14ac:dyDescent="0.3">
      <c r="A266" s="36">
        <f t="shared" si="11"/>
        <v>425</v>
      </c>
      <c r="B266" s="36"/>
      <c r="C266" s="36"/>
      <c r="D266" s="38"/>
      <c r="E266" s="39"/>
      <c r="F266" s="36"/>
      <c r="G266" s="19" t="str">
        <f t="shared" si="10"/>
        <v/>
      </c>
      <c r="H266" s="36"/>
      <c r="I266" s="36"/>
      <c r="J266" s="39"/>
      <c r="K266" s="39"/>
      <c r="L266" s="40"/>
      <c r="M266" s="40"/>
      <c r="N266" s="20"/>
      <c r="O266" s="21"/>
    </row>
    <row r="267" spans="1:15" ht="28.5" customHeight="1" x14ac:dyDescent="0.3">
      <c r="A267" s="33">
        <f t="shared" si="11"/>
        <v>426</v>
      </c>
      <c r="B267" s="33"/>
      <c r="C267" s="33"/>
      <c r="D267" s="34"/>
      <c r="E267" s="35"/>
      <c r="F267" s="33"/>
      <c r="G267" s="19" t="str">
        <f t="shared" si="10"/>
        <v/>
      </c>
      <c r="H267" s="33"/>
      <c r="I267" s="33"/>
      <c r="J267" s="35"/>
      <c r="K267" s="35"/>
      <c r="L267" s="37"/>
      <c r="M267" s="37"/>
      <c r="N267" s="22"/>
      <c r="O267" s="23"/>
    </row>
    <row r="268" spans="1:15" ht="28.5" customHeight="1" x14ac:dyDescent="0.3">
      <c r="A268" s="36">
        <f t="shared" si="11"/>
        <v>427</v>
      </c>
      <c r="B268" s="36"/>
      <c r="C268" s="36"/>
      <c r="D268" s="38"/>
      <c r="E268" s="39"/>
      <c r="F268" s="36"/>
      <c r="G268" s="19" t="str">
        <f t="shared" si="10"/>
        <v/>
      </c>
      <c r="H268" s="36"/>
      <c r="I268" s="36"/>
      <c r="J268" s="39"/>
      <c r="K268" s="39"/>
      <c r="L268" s="40"/>
      <c r="M268" s="40"/>
      <c r="N268" s="20"/>
      <c r="O268" s="21"/>
    </row>
    <row r="269" spans="1:15" ht="28.5" customHeight="1" x14ac:dyDescent="0.3">
      <c r="A269" s="33">
        <f t="shared" si="11"/>
        <v>428</v>
      </c>
      <c r="B269" s="33"/>
      <c r="C269" s="33"/>
      <c r="D269" s="34"/>
      <c r="E269" s="35"/>
      <c r="F269" s="33"/>
      <c r="G269" s="19" t="str">
        <f t="shared" si="10"/>
        <v/>
      </c>
      <c r="H269" s="33"/>
      <c r="I269" s="33"/>
      <c r="J269" s="35"/>
      <c r="K269" s="35"/>
      <c r="L269" s="37"/>
      <c r="M269" s="37"/>
      <c r="N269" s="22"/>
      <c r="O269" s="23"/>
    </row>
    <row r="270" spans="1:15" ht="28.5" customHeight="1" x14ac:dyDescent="0.3">
      <c r="A270" s="36">
        <f t="shared" si="11"/>
        <v>429</v>
      </c>
      <c r="B270" s="36"/>
      <c r="C270" s="36"/>
      <c r="D270" s="38"/>
      <c r="E270" s="39"/>
      <c r="F270" s="36"/>
      <c r="G270" s="19" t="str">
        <f t="shared" si="10"/>
        <v/>
      </c>
      <c r="H270" s="36"/>
      <c r="I270" s="36"/>
      <c r="J270" s="39"/>
      <c r="K270" s="39"/>
      <c r="L270" s="40"/>
      <c r="M270" s="40"/>
      <c r="N270" s="20"/>
      <c r="O270" s="21"/>
    </row>
    <row r="271" spans="1:15" ht="28.5" customHeight="1" x14ac:dyDescent="0.3">
      <c r="A271" s="33">
        <f t="shared" si="11"/>
        <v>430</v>
      </c>
      <c r="B271" s="33"/>
      <c r="C271" s="33"/>
      <c r="D271" s="34"/>
      <c r="E271" s="35"/>
      <c r="F271" s="33"/>
      <c r="G271" s="19" t="str">
        <f t="shared" si="10"/>
        <v/>
      </c>
      <c r="H271" s="33"/>
      <c r="I271" s="33"/>
      <c r="J271" s="35"/>
      <c r="K271" s="35"/>
      <c r="L271" s="37"/>
      <c r="M271" s="37"/>
      <c r="N271" s="22"/>
      <c r="O271" s="23"/>
    </row>
    <row r="272" spans="1:15" ht="28.5" customHeight="1" x14ac:dyDescent="0.3">
      <c r="A272" s="36">
        <f t="shared" si="11"/>
        <v>431</v>
      </c>
      <c r="B272" s="36"/>
      <c r="C272" s="36"/>
      <c r="D272" s="38"/>
      <c r="E272" s="39"/>
      <c r="F272" s="36"/>
      <c r="G272" s="19" t="str">
        <f t="shared" si="10"/>
        <v/>
      </c>
      <c r="H272" s="36"/>
      <c r="I272" s="36"/>
      <c r="J272" s="39"/>
      <c r="K272" s="39"/>
      <c r="L272" s="40"/>
      <c r="M272" s="40"/>
      <c r="N272" s="20"/>
      <c r="O272" s="21"/>
    </row>
    <row r="273" spans="1:15" ht="28.5" customHeight="1" x14ac:dyDescent="0.3">
      <c r="A273" s="33">
        <f t="shared" si="11"/>
        <v>432</v>
      </c>
      <c r="B273" s="33"/>
      <c r="C273" s="33"/>
      <c r="D273" s="34"/>
      <c r="E273" s="35"/>
      <c r="F273" s="33"/>
      <c r="G273" s="19" t="str">
        <f t="shared" si="10"/>
        <v/>
      </c>
      <c r="H273" s="33"/>
      <c r="I273" s="33"/>
      <c r="J273" s="35"/>
      <c r="K273" s="35"/>
      <c r="L273" s="37"/>
      <c r="M273" s="37"/>
      <c r="N273" s="22"/>
      <c r="O273" s="23"/>
    </row>
    <row r="274" spans="1:15" ht="28.5" customHeight="1" x14ac:dyDescent="0.3">
      <c r="A274" s="36">
        <f t="shared" si="11"/>
        <v>433</v>
      </c>
      <c r="B274" s="36"/>
      <c r="C274" s="36"/>
      <c r="D274" s="38"/>
      <c r="E274" s="39"/>
      <c r="F274" s="36"/>
      <c r="G274" s="19" t="str">
        <f t="shared" si="10"/>
        <v/>
      </c>
      <c r="H274" s="36"/>
      <c r="I274" s="36"/>
      <c r="J274" s="39"/>
      <c r="K274" s="39"/>
      <c r="L274" s="40"/>
      <c r="M274" s="40"/>
      <c r="N274" s="20"/>
      <c r="O274" s="21"/>
    </row>
    <row r="275" spans="1:15" ht="28.5" customHeight="1" x14ac:dyDescent="0.3">
      <c r="A275" s="33">
        <f t="shared" si="11"/>
        <v>434</v>
      </c>
      <c r="B275" s="33"/>
      <c r="C275" s="33"/>
      <c r="D275" s="34"/>
      <c r="E275" s="35"/>
      <c r="F275" s="33"/>
      <c r="G275" s="19" t="str">
        <f t="shared" si="10"/>
        <v/>
      </c>
      <c r="H275" s="33"/>
      <c r="I275" s="33"/>
      <c r="J275" s="35"/>
      <c r="K275" s="35"/>
      <c r="L275" s="37"/>
      <c r="M275" s="37"/>
      <c r="N275" s="22"/>
      <c r="O275" s="23"/>
    </row>
    <row r="276" spans="1:15" ht="28.5" customHeight="1" x14ac:dyDescent="0.3">
      <c r="A276" s="36">
        <f t="shared" si="11"/>
        <v>435</v>
      </c>
      <c r="B276" s="36"/>
      <c r="C276" s="36"/>
      <c r="D276" s="38"/>
      <c r="E276" s="39"/>
      <c r="F276" s="36"/>
      <c r="G276" s="19" t="str">
        <f t="shared" si="10"/>
        <v/>
      </c>
      <c r="H276" s="36"/>
      <c r="I276" s="36"/>
      <c r="J276" s="39"/>
      <c r="K276" s="39"/>
      <c r="L276" s="40"/>
      <c r="M276" s="40"/>
      <c r="N276" s="20"/>
      <c r="O276" s="21"/>
    </row>
    <row r="277" spans="1:15" ht="28.5" customHeight="1" x14ac:dyDescent="0.3">
      <c r="A277" s="33">
        <f t="shared" si="11"/>
        <v>436</v>
      </c>
      <c r="B277" s="33"/>
      <c r="C277" s="33"/>
      <c r="D277" s="34"/>
      <c r="E277" s="35"/>
      <c r="F277" s="33"/>
      <c r="G277" s="19" t="str">
        <f t="shared" si="10"/>
        <v/>
      </c>
      <c r="H277" s="33"/>
      <c r="I277" s="33"/>
      <c r="J277" s="35"/>
      <c r="K277" s="35"/>
      <c r="L277" s="37"/>
      <c r="M277" s="37"/>
      <c r="N277" s="22"/>
      <c r="O277" s="23"/>
    </row>
    <row r="278" spans="1:15" ht="28.5" customHeight="1" x14ac:dyDescent="0.3">
      <c r="A278" s="36">
        <f t="shared" si="11"/>
        <v>437</v>
      </c>
      <c r="B278" s="36"/>
      <c r="C278" s="36"/>
      <c r="D278" s="38"/>
      <c r="E278" s="39"/>
      <c r="F278" s="36"/>
      <c r="G278" s="19" t="str">
        <f t="shared" si="10"/>
        <v/>
      </c>
      <c r="H278" s="36"/>
      <c r="I278" s="36"/>
      <c r="J278" s="39"/>
      <c r="K278" s="39"/>
      <c r="L278" s="40"/>
      <c r="M278" s="40"/>
      <c r="N278" s="20"/>
      <c r="O278" s="21"/>
    </row>
    <row r="279" spans="1:15" ht="28.5" customHeight="1" x14ac:dyDescent="0.3">
      <c r="A279" s="33">
        <f t="shared" si="11"/>
        <v>438</v>
      </c>
      <c r="B279" s="33"/>
      <c r="C279" s="33"/>
      <c r="D279" s="34"/>
      <c r="E279" s="35"/>
      <c r="F279" s="33"/>
      <c r="G279" s="19" t="str">
        <f t="shared" si="10"/>
        <v/>
      </c>
      <c r="H279" s="33"/>
      <c r="I279" s="33"/>
      <c r="J279" s="35"/>
      <c r="K279" s="35"/>
      <c r="L279" s="37"/>
      <c r="M279" s="37"/>
      <c r="N279" s="22"/>
      <c r="O279" s="23"/>
    </row>
    <row r="280" spans="1:15" ht="28.5" customHeight="1" x14ac:dyDescent="0.3">
      <c r="A280" s="36">
        <f t="shared" si="11"/>
        <v>439</v>
      </c>
      <c r="B280" s="36"/>
      <c r="C280" s="36"/>
      <c r="D280" s="38"/>
      <c r="E280" s="39"/>
      <c r="F280" s="36"/>
      <c r="G280" s="19" t="str">
        <f t="shared" si="10"/>
        <v/>
      </c>
      <c r="H280" s="36"/>
      <c r="I280" s="36"/>
      <c r="J280" s="39"/>
      <c r="K280" s="39"/>
      <c r="L280" s="40"/>
      <c r="M280" s="40"/>
      <c r="N280" s="20"/>
      <c r="O280" s="21"/>
    </row>
    <row r="281" spans="1:15" ht="28.5" customHeight="1" x14ac:dyDescent="0.3">
      <c r="A281" s="33">
        <f t="shared" si="11"/>
        <v>440</v>
      </c>
      <c r="B281" s="33"/>
      <c r="C281" s="33"/>
      <c r="D281" s="34"/>
      <c r="E281" s="35"/>
      <c r="F281" s="33"/>
      <c r="G281" s="19" t="str">
        <f t="shared" si="10"/>
        <v/>
      </c>
      <c r="H281" s="33"/>
      <c r="I281" s="33"/>
      <c r="J281" s="35"/>
      <c r="K281" s="35"/>
      <c r="L281" s="37"/>
      <c r="M281" s="37"/>
      <c r="N281" s="22"/>
      <c r="O281" s="23"/>
    </row>
    <row r="282" spans="1:15" ht="28.5" customHeight="1" x14ac:dyDescent="0.3">
      <c r="A282" s="36">
        <f t="shared" si="11"/>
        <v>441</v>
      </c>
      <c r="B282" s="36"/>
      <c r="C282" s="36"/>
      <c r="D282" s="38"/>
      <c r="E282" s="39"/>
      <c r="F282" s="36"/>
      <c r="G282" s="19" t="str">
        <f t="shared" ref="G282:G345" si="12">IF(H282,H282-I282,"")</f>
        <v/>
      </c>
      <c r="H282" s="36"/>
      <c r="I282" s="36"/>
      <c r="J282" s="39"/>
      <c r="K282" s="39"/>
      <c r="L282" s="40"/>
      <c r="M282" s="40"/>
      <c r="N282" s="20"/>
      <c r="O282" s="21"/>
    </row>
    <row r="283" spans="1:15" ht="28.5" customHeight="1" x14ac:dyDescent="0.3">
      <c r="A283" s="33">
        <f t="shared" si="11"/>
        <v>442</v>
      </c>
      <c r="B283" s="33"/>
      <c r="C283" s="33"/>
      <c r="D283" s="34"/>
      <c r="E283" s="35"/>
      <c r="F283" s="33"/>
      <c r="G283" s="19" t="str">
        <f t="shared" si="12"/>
        <v/>
      </c>
      <c r="H283" s="33"/>
      <c r="I283" s="33"/>
      <c r="J283" s="35"/>
      <c r="K283" s="35"/>
      <c r="L283" s="37"/>
      <c r="M283" s="37"/>
      <c r="N283" s="22"/>
      <c r="O283" s="23"/>
    </row>
    <row r="284" spans="1:15" ht="28.5" customHeight="1" x14ac:dyDescent="0.3">
      <c r="A284" s="36">
        <f t="shared" si="11"/>
        <v>443</v>
      </c>
      <c r="B284" s="36"/>
      <c r="C284" s="36"/>
      <c r="D284" s="38"/>
      <c r="E284" s="39"/>
      <c r="F284" s="36"/>
      <c r="G284" s="19" t="str">
        <f t="shared" si="12"/>
        <v/>
      </c>
      <c r="H284" s="36"/>
      <c r="I284" s="36"/>
      <c r="J284" s="39"/>
      <c r="K284" s="39"/>
      <c r="L284" s="40"/>
      <c r="M284" s="40"/>
      <c r="N284" s="20"/>
      <c r="O284" s="21"/>
    </row>
    <row r="285" spans="1:15" ht="28.5" customHeight="1" x14ac:dyDescent="0.3">
      <c r="A285" s="33">
        <f t="shared" si="11"/>
        <v>444</v>
      </c>
      <c r="B285" s="33"/>
      <c r="C285" s="33"/>
      <c r="D285" s="34"/>
      <c r="E285" s="35"/>
      <c r="F285" s="33"/>
      <c r="G285" s="19" t="str">
        <f t="shared" si="12"/>
        <v/>
      </c>
      <c r="H285" s="33"/>
      <c r="I285" s="33"/>
      <c r="J285" s="35"/>
      <c r="K285" s="35"/>
      <c r="L285" s="37"/>
      <c r="M285" s="37"/>
      <c r="N285" s="22"/>
      <c r="O285" s="23"/>
    </row>
    <row r="286" spans="1:15" ht="28.5" customHeight="1" x14ac:dyDescent="0.3">
      <c r="A286" s="36">
        <f t="shared" si="11"/>
        <v>445</v>
      </c>
      <c r="B286" s="36"/>
      <c r="C286" s="36"/>
      <c r="D286" s="38"/>
      <c r="E286" s="39"/>
      <c r="F286" s="36"/>
      <c r="G286" s="19" t="str">
        <f t="shared" si="12"/>
        <v/>
      </c>
      <c r="H286" s="36"/>
      <c r="I286" s="36"/>
      <c r="J286" s="39"/>
      <c r="K286" s="39"/>
      <c r="L286" s="40"/>
      <c r="M286" s="40"/>
      <c r="N286" s="20"/>
      <c r="O286" s="21"/>
    </row>
    <row r="287" spans="1:15" ht="28.5" customHeight="1" x14ac:dyDescent="0.3">
      <c r="A287" s="33">
        <f t="shared" si="11"/>
        <v>446</v>
      </c>
      <c r="B287" s="33"/>
      <c r="C287" s="33"/>
      <c r="D287" s="34"/>
      <c r="E287" s="35"/>
      <c r="F287" s="33"/>
      <c r="G287" s="19" t="str">
        <f t="shared" si="12"/>
        <v/>
      </c>
      <c r="H287" s="33"/>
      <c r="I287" s="33"/>
      <c r="J287" s="35"/>
      <c r="K287" s="35"/>
      <c r="L287" s="37"/>
      <c r="M287" s="37"/>
      <c r="N287" s="22"/>
      <c r="O287" s="23"/>
    </row>
    <row r="288" spans="1:15" ht="28.5" customHeight="1" x14ac:dyDescent="0.3">
      <c r="A288" s="36">
        <f t="shared" si="11"/>
        <v>447</v>
      </c>
      <c r="B288" s="36"/>
      <c r="C288" s="36"/>
      <c r="D288" s="38"/>
      <c r="E288" s="39"/>
      <c r="F288" s="36"/>
      <c r="G288" s="19" t="str">
        <f t="shared" si="12"/>
        <v/>
      </c>
      <c r="H288" s="36"/>
      <c r="I288" s="36"/>
      <c r="J288" s="39"/>
      <c r="K288" s="39"/>
      <c r="L288" s="40"/>
      <c r="M288" s="40"/>
      <c r="N288" s="20"/>
      <c r="O288" s="21"/>
    </row>
    <row r="289" spans="1:15" ht="28.5" customHeight="1" x14ac:dyDescent="0.3">
      <c r="A289" s="33">
        <f t="shared" si="11"/>
        <v>448</v>
      </c>
      <c r="B289" s="33"/>
      <c r="C289" s="33"/>
      <c r="D289" s="34"/>
      <c r="E289" s="35"/>
      <c r="F289" s="33"/>
      <c r="G289" s="19" t="str">
        <f t="shared" si="12"/>
        <v/>
      </c>
      <c r="H289" s="33"/>
      <c r="I289" s="33"/>
      <c r="J289" s="35"/>
      <c r="K289" s="35"/>
      <c r="L289" s="37"/>
      <c r="M289" s="37"/>
      <c r="N289" s="22"/>
      <c r="O289" s="23"/>
    </row>
    <row r="290" spans="1:15" ht="28.5" customHeight="1" x14ac:dyDescent="0.3">
      <c r="A290" s="36">
        <f t="shared" si="11"/>
        <v>449</v>
      </c>
      <c r="B290" s="36"/>
      <c r="C290" s="36"/>
      <c r="D290" s="38"/>
      <c r="E290" s="39"/>
      <c r="F290" s="36"/>
      <c r="G290" s="19" t="str">
        <f t="shared" si="12"/>
        <v/>
      </c>
      <c r="H290" s="36"/>
      <c r="I290" s="36"/>
      <c r="J290" s="39"/>
      <c r="K290" s="39"/>
      <c r="L290" s="40"/>
      <c r="M290" s="40"/>
      <c r="N290" s="20"/>
      <c r="O290" s="21"/>
    </row>
    <row r="291" spans="1:15" ht="28.5" customHeight="1" x14ac:dyDescent="0.3">
      <c r="A291" s="33">
        <f t="shared" si="11"/>
        <v>450</v>
      </c>
      <c r="B291" s="33"/>
      <c r="C291" s="33"/>
      <c r="D291" s="34"/>
      <c r="E291" s="35"/>
      <c r="F291" s="33"/>
      <c r="G291" s="19" t="str">
        <f t="shared" si="12"/>
        <v/>
      </c>
      <c r="H291" s="33"/>
      <c r="I291" s="33"/>
      <c r="J291" s="35"/>
      <c r="K291" s="35"/>
      <c r="L291" s="37"/>
      <c r="M291" s="37"/>
      <c r="N291" s="22"/>
      <c r="O291" s="23"/>
    </row>
    <row r="292" spans="1:15" ht="28.5" customHeight="1" x14ac:dyDescent="0.3">
      <c r="A292" s="36">
        <f t="shared" si="11"/>
        <v>451</v>
      </c>
      <c r="B292" s="36"/>
      <c r="C292" s="36"/>
      <c r="D292" s="38"/>
      <c r="E292" s="39"/>
      <c r="F292" s="36"/>
      <c r="G292" s="19" t="str">
        <f t="shared" si="12"/>
        <v/>
      </c>
      <c r="H292" s="36"/>
      <c r="I292" s="36"/>
      <c r="J292" s="39"/>
      <c r="K292" s="39"/>
      <c r="L292" s="40"/>
      <c r="M292" s="40"/>
      <c r="N292" s="20"/>
      <c r="O292" s="21"/>
    </row>
    <row r="293" spans="1:15" ht="28.5" customHeight="1" x14ac:dyDescent="0.3">
      <c r="A293" s="33">
        <f t="shared" si="11"/>
        <v>452</v>
      </c>
      <c r="B293" s="33"/>
      <c r="C293" s="33"/>
      <c r="D293" s="34"/>
      <c r="E293" s="35"/>
      <c r="F293" s="33"/>
      <c r="G293" s="19" t="str">
        <f t="shared" si="12"/>
        <v/>
      </c>
      <c r="H293" s="33"/>
      <c r="I293" s="33"/>
      <c r="J293" s="35"/>
      <c r="K293" s="35"/>
      <c r="L293" s="37"/>
      <c r="M293" s="37"/>
      <c r="N293" s="22"/>
      <c r="O293" s="23"/>
    </row>
    <row r="294" spans="1:15" ht="28.5" customHeight="1" x14ac:dyDescent="0.3">
      <c r="A294" s="36">
        <f t="shared" si="11"/>
        <v>453</v>
      </c>
      <c r="B294" s="36"/>
      <c r="C294" s="36"/>
      <c r="D294" s="38"/>
      <c r="E294" s="39"/>
      <c r="F294" s="36"/>
      <c r="G294" s="19" t="str">
        <f t="shared" si="12"/>
        <v/>
      </c>
      <c r="H294" s="36"/>
      <c r="I294" s="36"/>
      <c r="J294" s="39"/>
      <c r="K294" s="39"/>
      <c r="L294" s="40"/>
      <c r="M294" s="40"/>
      <c r="N294" s="20"/>
      <c r="O294" s="21"/>
    </row>
    <row r="295" spans="1:15" ht="28.5" customHeight="1" x14ac:dyDescent="0.3">
      <c r="A295" s="33">
        <f t="shared" si="11"/>
        <v>454</v>
      </c>
      <c r="B295" s="33"/>
      <c r="C295" s="33"/>
      <c r="D295" s="34"/>
      <c r="E295" s="35"/>
      <c r="F295" s="33"/>
      <c r="G295" s="19" t="str">
        <f t="shared" si="12"/>
        <v/>
      </c>
      <c r="H295" s="33"/>
      <c r="I295" s="33"/>
      <c r="J295" s="35"/>
      <c r="K295" s="35"/>
      <c r="L295" s="37"/>
      <c r="M295" s="37"/>
      <c r="N295" s="22"/>
      <c r="O295" s="23"/>
    </row>
    <row r="296" spans="1:15" ht="28.5" customHeight="1" x14ac:dyDescent="0.3">
      <c r="A296" s="36">
        <f t="shared" si="11"/>
        <v>455</v>
      </c>
      <c r="B296" s="36"/>
      <c r="C296" s="36"/>
      <c r="D296" s="38"/>
      <c r="E296" s="39"/>
      <c r="F296" s="36"/>
      <c r="G296" s="19" t="str">
        <f t="shared" si="12"/>
        <v/>
      </c>
      <c r="H296" s="36"/>
      <c r="I296" s="36"/>
      <c r="J296" s="39"/>
      <c r="K296" s="39"/>
      <c r="L296" s="40"/>
      <c r="M296" s="40"/>
      <c r="N296" s="20"/>
      <c r="O296" s="21"/>
    </row>
    <row r="297" spans="1:15" ht="28.5" customHeight="1" x14ac:dyDescent="0.3">
      <c r="A297" s="33">
        <f t="shared" si="11"/>
        <v>456</v>
      </c>
      <c r="B297" s="33"/>
      <c r="C297" s="33"/>
      <c r="D297" s="34"/>
      <c r="E297" s="35"/>
      <c r="F297" s="33"/>
      <c r="G297" s="19" t="str">
        <f t="shared" si="12"/>
        <v/>
      </c>
      <c r="H297" s="33"/>
      <c r="I297" s="33"/>
      <c r="J297" s="35"/>
      <c r="K297" s="35"/>
      <c r="L297" s="37"/>
      <c r="M297" s="37"/>
      <c r="N297" s="22"/>
      <c r="O297" s="23"/>
    </row>
    <row r="298" spans="1:15" ht="28.5" customHeight="1" x14ac:dyDescent="0.3">
      <c r="A298" s="36">
        <f t="shared" si="11"/>
        <v>457</v>
      </c>
      <c r="B298" s="36"/>
      <c r="C298" s="36"/>
      <c r="D298" s="38"/>
      <c r="E298" s="39"/>
      <c r="F298" s="36"/>
      <c r="G298" s="19" t="str">
        <f t="shared" si="12"/>
        <v/>
      </c>
      <c r="H298" s="36"/>
      <c r="I298" s="36"/>
      <c r="J298" s="39"/>
      <c r="K298" s="39"/>
      <c r="L298" s="40"/>
      <c r="M298" s="40"/>
      <c r="N298" s="20"/>
      <c r="O298" s="21"/>
    </row>
    <row r="299" spans="1:15" ht="28.5" customHeight="1" x14ac:dyDescent="0.3">
      <c r="A299" s="33">
        <f t="shared" si="11"/>
        <v>458</v>
      </c>
      <c r="B299" s="33"/>
      <c r="C299" s="33"/>
      <c r="D299" s="34"/>
      <c r="E299" s="35"/>
      <c r="F299" s="33"/>
      <c r="G299" s="19" t="str">
        <f t="shared" si="12"/>
        <v/>
      </c>
      <c r="H299" s="33"/>
      <c r="I299" s="33"/>
      <c r="J299" s="35"/>
      <c r="K299" s="35"/>
      <c r="L299" s="37"/>
      <c r="M299" s="37"/>
      <c r="N299" s="22"/>
      <c r="O299" s="23"/>
    </row>
    <row r="300" spans="1:15" ht="28.5" customHeight="1" x14ac:dyDescent="0.3">
      <c r="A300" s="36">
        <f t="shared" si="11"/>
        <v>459</v>
      </c>
      <c r="B300" s="36"/>
      <c r="C300" s="36"/>
      <c r="D300" s="38"/>
      <c r="E300" s="39"/>
      <c r="F300" s="36"/>
      <c r="G300" s="19" t="str">
        <f t="shared" si="12"/>
        <v/>
      </c>
      <c r="H300" s="36"/>
      <c r="I300" s="36"/>
      <c r="J300" s="39"/>
      <c r="K300" s="39"/>
      <c r="L300" s="40"/>
      <c r="M300" s="40"/>
      <c r="N300" s="20"/>
      <c r="O300" s="21"/>
    </row>
    <row r="301" spans="1:15" ht="28.5" customHeight="1" x14ac:dyDescent="0.3">
      <c r="A301" s="33">
        <f t="shared" si="11"/>
        <v>460</v>
      </c>
      <c r="B301" s="33"/>
      <c r="C301" s="33"/>
      <c r="D301" s="34"/>
      <c r="E301" s="35"/>
      <c r="F301" s="33"/>
      <c r="G301" s="19" t="str">
        <f t="shared" si="12"/>
        <v/>
      </c>
      <c r="H301" s="33"/>
      <c r="I301" s="33"/>
      <c r="J301" s="35"/>
      <c r="K301" s="35"/>
      <c r="L301" s="37"/>
      <c r="M301" s="37"/>
      <c r="N301" s="22"/>
      <c r="O301" s="23"/>
    </row>
    <row r="302" spans="1:15" ht="28.5" customHeight="1" x14ac:dyDescent="0.3">
      <c r="A302" s="36">
        <f t="shared" si="11"/>
        <v>461</v>
      </c>
      <c r="B302" s="36"/>
      <c r="C302" s="36"/>
      <c r="D302" s="38"/>
      <c r="E302" s="39"/>
      <c r="F302" s="36"/>
      <c r="G302" s="19" t="str">
        <f t="shared" si="12"/>
        <v/>
      </c>
      <c r="H302" s="36"/>
      <c r="I302" s="36"/>
      <c r="J302" s="39"/>
      <c r="K302" s="39"/>
      <c r="L302" s="40"/>
      <c r="M302" s="40"/>
      <c r="N302" s="20"/>
      <c r="O302" s="21"/>
    </row>
    <row r="303" spans="1:15" ht="28.5" customHeight="1" x14ac:dyDescent="0.3">
      <c r="A303" s="33">
        <f t="shared" si="11"/>
        <v>462</v>
      </c>
      <c r="B303" s="33"/>
      <c r="C303" s="33"/>
      <c r="D303" s="34"/>
      <c r="E303" s="35"/>
      <c r="F303" s="33"/>
      <c r="G303" s="19" t="str">
        <f t="shared" si="12"/>
        <v/>
      </c>
      <c r="H303" s="33"/>
      <c r="I303" s="33"/>
      <c r="J303" s="35"/>
      <c r="K303" s="35"/>
      <c r="L303" s="37"/>
      <c r="M303" s="37"/>
      <c r="N303" s="22"/>
      <c r="O303" s="23"/>
    </row>
    <row r="304" spans="1:15" ht="28.5" customHeight="1" x14ac:dyDescent="0.3">
      <c r="A304" s="36">
        <f t="shared" si="11"/>
        <v>463</v>
      </c>
      <c r="B304" s="36"/>
      <c r="C304" s="36"/>
      <c r="D304" s="38"/>
      <c r="E304" s="39"/>
      <c r="F304" s="36"/>
      <c r="G304" s="19" t="str">
        <f t="shared" si="12"/>
        <v/>
      </c>
      <c r="H304" s="36"/>
      <c r="I304" s="36"/>
      <c r="J304" s="39"/>
      <c r="K304" s="39"/>
      <c r="L304" s="40"/>
      <c r="M304" s="40"/>
      <c r="N304" s="20"/>
      <c r="O304" s="21"/>
    </row>
    <row r="305" spans="1:15" ht="28.5" customHeight="1" x14ac:dyDescent="0.3">
      <c r="A305" s="33">
        <f t="shared" si="11"/>
        <v>464</v>
      </c>
      <c r="B305" s="33"/>
      <c r="C305" s="33"/>
      <c r="D305" s="34"/>
      <c r="E305" s="35"/>
      <c r="F305" s="33"/>
      <c r="G305" s="19" t="str">
        <f t="shared" si="12"/>
        <v/>
      </c>
      <c r="H305" s="33"/>
      <c r="I305" s="33"/>
      <c r="J305" s="35"/>
      <c r="K305" s="35"/>
      <c r="L305" s="37"/>
      <c r="M305" s="37"/>
      <c r="N305" s="22"/>
      <c r="O305" s="23"/>
    </row>
    <row r="306" spans="1:15" ht="28.5" customHeight="1" x14ac:dyDescent="0.3">
      <c r="A306" s="36">
        <f t="shared" si="11"/>
        <v>465</v>
      </c>
      <c r="B306" s="36"/>
      <c r="C306" s="36"/>
      <c r="D306" s="38"/>
      <c r="E306" s="39"/>
      <c r="F306" s="36"/>
      <c r="G306" s="19" t="str">
        <f t="shared" si="12"/>
        <v/>
      </c>
      <c r="H306" s="36"/>
      <c r="I306" s="36"/>
      <c r="J306" s="39"/>
      <c r="K306" s="39"/>
      <c r="L306" s="40"/>
      <c r="M306" s="40"/>
      <c r="N306" s="20"/>
      <c r="O306" s="21"/>
    </row>
    <row r="307" spans="1:15" ht="28.5" customHeight="1" x14ac:dyDescent="0.3">
      <c r="A307" s="33">
        <f t="shared" si="11"/>
        <v>466</v>
      </c>
      <c r="B307" s="33"/>
      <c r="C307" s="33"/>
      <c r="D307" s="34"/>
      <c r="E307" s="35"/>
      <c r="F307" s="33"/>
      <c r="G307" s="19" t="str">
        <f t="shared" si="12"/>
        <v/>
      </c>
      <c r="H307" s="33"/>
      <c r="I307" s="33"/>
      <c r="J307" s="35"/>
      <c r="K307" s="35"/>
      <c r="L307" s="37"/>
      <c r="M307" s="37"/>
      <c r="N307" s="22"/>
      <c r="O307" s="23"/>
    </row>
    <row r="308" spans="1:15" ht="28.5" customHeight="1" x14ac:dyDescent="0.3">
      <c r="A308" s="36">
        <f t="shared" si="11"/>
        <v>467</v>
      </c>
      <c r="B308" s="36"/>
      <c r="C308" s="36"/>
      <c r="D308" s="38"/>
      <c r="E308" s="39"/>
      <c r="F308" s="36"/>
      <c r="G308" s="19" t="str">
        <f t="shared" si="12"/>
        <v/>
      </c>
      <c r="H308" s="36"/>
      <c r="I308" s="36"/>
      <c r="J308" s="39"/>
      <c r="K308" s="39"/>
      <c r="L308" s="40"/>
      <c r="M308" s="40"/>
      <c r="N308" s="20"/>
      <c r="O308" s="21"/>
    </row>
    <row r="309" spans="1:15" ht="28.5" customHeight="1" x14ac:dyDescent="0.3">
      <c r="A309" s="33">
        <f t="shared" si="11"/>
        <v>468</v>
      </c>
      <c r="B309" s="33"/>
      <c r="C309" s="33"/>
      <c r="D309" s="34"/>
      <c r="E309" s="35"/>
      <c r="F309" s="33"/>
      <c r="G309" s="19" t="str">
        <f t="shared" si="12"/>
        <v/>
      </c>
      <c r="H309" s="33"/>
      <c r="I309" s="33"/>
      <c r="J309" s="35"/>
      <c r="K309" s="35"/>
      <c r="L309" s="37"/>
      <c r="M309" s="37"/>
      <c r="N309" s="22"/>
      <c r="O309" s="23"/>
    </row>
    <row r="310" spans="1:15" ht="28.5" customHeight="1" x14ac:dyDescent="0.3">
      <c r="A310" s="36">
        <f t="shared" si="11"/>
        <v>469</v>
      </c>
      <c r="B310" s="36"/>
      <c r="C310" s="36"/>
      <c r="D310" s="38"/>
      <c r="E310" s="39"/>
      <c r="F310" s="36"/>
      <c r="G310" s="19" t="str">
        <f t="shared" si="12"/>
        <v/>
      </c>
      <c r="H310" s="36"/>
      <c r="I310" s="36"/>
      <c r="J310" s="39"/>
      <c r="K310" s="39"/>
      <c r="L310" s="40"/>
      <c r="M310" s="40"/>
      <c r="N310" s="20"/>
      <c r="O310" s="21"/>
    </row>
    <row r="311" spans="1:15" ht="28.5" customHeight="1" x14ac:dyDescent="0.3">
      <c r="A311" s="33">
        <f t="shared" si="11"/>
        <v>470</v>
      </c>
      <c r="B311" s="33"/>
      <c r="C311" s="33"/>
      <c r="D311" s="34"/>
      <c r="E311" s="35"/>
      <c r="F311" s="33"/>
      <c r="G311" s="19" t="str">
        <f t="shared" si="12"/>
        <v/>
      </c>
      <c r="H311" s="33"/>
      <c r="I311" s="33"/>
      <c r="J311" s="35"/>
      <c r="K311" s="35"/>
      <c r="L311" s="37"/>
      <c r="M311" s="37"/>
      <c r="N311" s="22"/>
      <c r="O311" s="23"/>
    </row>
    <row r="312" spans="1:15" ht="28.5" customHeight="1" x14ac:dyDescent="0.3">
      <c r="A312" s="36">
        <f t="shared" si="11"/>
        <v>471</v>
      </c>
      <c r="B312" s="36"/>
      <c r="C312" s="36"/>
      <c r="D312" s="38"/>
      <c r="E312" s="39"/>
      <c r="F312" s="36"/>
      <c r="G312" s="19" t="str">
        <f t="shared" si="12"/>
        <v/>
      </c>
      <c r="H312" s="36"/>
      <c r="I312" s="36"/>
      <c r="J312" s="39"/>
      <c r="K312" s="39"/>
      <c r="L312" s="40"/>
      <c r="M312" s="40"/>
      <c r="N312" s="20"/>
      <c r="O312" s="21"/>
    </row>
    <row r="313" spans="1:15" ht="28.5" customHeight="1" x14ac:dyDescent="0.3">
      <c r="A313" s="33">
        <f t="shared" si="11"/>
        <v>472</v>
      </c>
      <c r="B313" s="33"/>
      <c r="C313" s="33"/>
      <c r="D313" s="34"/>
      <c r="E313" s="35"/>
      <c r="F313" s="33"/>
      <c r="G313" s="19" t="str">
        <f t="shared" si="12"/>
        <v/>
      </c>
      <c r="H313" s="33"/>
      <c r="I313" s="33"/>
      <c r="J313" s="35"/>
      <c r="K313" s="35"/>
      <c r="L313" s="37"/>
      <c r="M313" s="37"/>
      <c r="N313" s="22"/>
      <c r="O313" s="23"/>
    </row>
    <row r="314" spans="1:15" ht="28.5" customHeight="1" x14ac:dyDescent="0.3">
      <c r="A314" s="36">
        <f t="shared" si="11"/>
        <v>473</v>
      </c>
      <c r="B314" s="36"/>
      <c r="C314" s="36"/>
      <c r="D314" s="38"/>
      <c r="E314" s="39"/>
      <c r="F314" s="36"/>
      <c r="G314" s="19" t="str">
        <f t="shared" si="12"/>
        <v/>
      </c>
      <c r="H314" s="36"/>
      <c r="I314" s="36"/>
      <c r="J314" s="39"/>
      <c r="K314" s="39"/>
      <c r="L314" s="40"/>
      <c r="M314" s="40"/>
      <c r="N314" s="20"/>
      <c r="O314" s="21"/>
    </row>
    <row r="315" spans="1:15" ht="28.5" customHeight="1" x14ac:dyDescent="0.3">
      <c r="A315" s="33">
        <f t="shared" si="11"/>
        <v>474</v>
      </c>
      <c r="B315" s="33"/>
      <c r="C315" s="33"/>
      <c r="D315" s="34"/>
      <c r="E315" s="35"/>
      <c r="F315" s="33"/>
      <c r="G315" s="19" t="str">
        <f t="shared" si="12"/>
        <v/>
      </c>
      <c r="H315" s="33"/>
      <c r="I315" s="33"/>
      <c r="J315" s="35"/>
      <c r="K315" s="35"/>
      <c r="L315" s="37"/>
      <c r="M315" s="37"/>
      <c r="N315" s="22"/>
      <c r="O315" s="23"/>
    </row>
    <row r="316" spans="1:15" ht="28.5" customHeight="1" x14ac:dyDescent="0.3">
      <c r="A316" s="36">
        <f t="shared" si="11"/>
        <v>475</v>
      </c>
      <c r="B316" s="36"/>
      <c r="C316" s="36"/>
      <c r="D316" s="38"/>
      <c r="E316" s="39"/>
      <c r="F316" s="36"/>
      <c r="G316" s="19" t="str">
        <f t="shared" si="12"/>
        <v/>
      </c>
      <c r="H316" s="36"/>
      <c r="I316" s="36"/>
      <c r="J316" s="39"/>
      <c r="K316" s="39"/>
      <c r="L316" s="40"/>
      <c r="M316" s="40"/>
      <c r="N316" s="20"/>
      <c r="O316" s="21"/>
    </row>
    <row r="317" spans="1:15" ht="28.5" customHeight="1" x14ac:dyDescent="0.3">
      <c r="A317" s="33">
        <f t="shared" si="11"/>
        <v>476</v>
      </c>
      <c r="B317" s="33"/>
      <c r="C317" s="33"/>
      <c r="D317" s="34"/>
      <c r="E317" s="35"/>
      <c r="F317" s="33"/>
      <c r="G317" s="19" t="str">
        <f t="shared" si="12"/>
        <v/>
      </c>
      <c r="H317" s="33"/>
      <c r="I317" s="33"/>
      <c r="J317" s="35"/>
      <c r="K317" s="35"/>
      <c r="L317" s="37"/>
      <c r="M317" s="37"/>
      <c r="N317" s="22"/>
      <c r="O317" s="23"/>
    </row>
    <row r="318" spans="1:15" ht="28.5" customHeight="1" x14ac:dyDescent="0.3">
      <c r="A318" s="36">
        <f t="shared" si="11"/>
        <v>477</v>
      </c>
      <c r="B318" s="36"/>
      <c r="C318" s="36"/>
      <c r="D318" s="38"/>
      <c r="E318" s="39"/>
      <c r="F318" s="36"/>
      <c r="G318" s="19" t="str">
        <f t="shared" si="12"/>
        <v/>
      </c>
      <c r="H318" s="36"/>
      <c r="I318" s="36"/>
      <c r="J318" s="39"/>
      <c r="K318" s="39"/>
      <c r="L318" s="40"/>
      <c r="M318" s="40"/>
      <c r="N318" s="20"/>
      <c r="O318" s="21"/>
    </row>
    <row r="319" spans="1:15" ht="28.5" customHeight="1" x14ac:dyDescent="0.3">
      <c r="A319" s="33">
        <f t="shared" si="11"/>
        <v>478</v>
      </c>
      <c r="B319" s="33"/>
      <c r="C319" s="33"/>
      <c r="D319" s="34"/>
      <c r="E319" s="35"/>
      <c r="F319" s="33"/>
      <c r="G319" s="19" t="str">
        <f t="shared" si="12"/>
        <v/>
      </c>
      <c r="H319" s="33"/>
      <c r="I319" s="33"/>
      <c r="J319" s="35"/>
      <c r="K319" s="35"/>
      <c r="L319" s="37"/>
      <c r="M319" s="37"/>
      <c r="N319" s="22"/>
      <c r="O319" s="23"/>
    </row>
    <row r="320" spans="1:15" ht="28.5" customHeight="1" x14ac:dyDescent="0.3">
      <c r="A320" s="36">
        <f t="shared" si="11"/>
        <v>479</v>
      </c>
      <c r="B320" s="36"/>
      <c r="C320" s="36"/>
      <c r="D320" s="38"/>
      <c r="E320" s="39"/>
      <c r="F320" s="36"/>
      <c r="G320" s="19" t="str">
        <f t="shared" si="12"/>
        <v/>
      </c>
      <c r="H320" s="36"/>
      <c r="I320" s="36"/>
      <c r="J320" s="39"/>
      <c r="K320" s="39"/>
      <c r="L320" s="40"/>
      <c r="M320" s="40"/>
      <c r="N320" s="20"/>
      <c r="O320" s="21"/>
    </row>
    <row r="321" spans="1:15" ht="28.5" customHeight="1" x14ac:dyDescent="0.3">
      <c r="A321" s="33">
        <f t="shared" si="11"/>
        <v>480</v>
      </c>
      <c r="B321" s="33"/>
      <c r="C321" s="33"/>
      <c r="D321" s="34"/>
      <c r="E321" s="35"/>
      <c r="F321" s="33"/>
      <c r="G321" s="19" t="str">
        <f t="shared" si="12"/>
        <v/>
      </c>
      <c r="H321" s="33"/>
      <c r="I321" s="33"/>
      <c r="J321" s="35"/>
      <c r="K321" s="35"/>
      <c r="L321" s="37"/>
      <c r="M321" s="37"/>
      <c r="N321" s="22"/>
      <c r="O321" s="23"/>
    </row>
    <row r="322" spans="1:15" ht="28.5" customHeight="1" x14ac:dyDescent="0.3">
      <c r="A322" s="36">
        <f t="shared" si="11"/>
        <v>481</v>
      </c>
      <c r="B322" s="36"/>
      <c r="C322" s="36"/>
      <c r="D322" s="38"/>
      <c r="E322" s="39"/>
      <c r="F322" s="36"/>
      <c r="G322" s="19" t="str">
        <f t="shared" si="12"/>
        <v/>
      </c>
      <c r="H322" s="36"/>
      <c r="I322" s="36"/>
      <c r="J322" s="39"/>
      <c r="K322" s="39"/>
      <c r="L322" s="40"/>
      <c r="M322" s="40"/>
      <c r="N322" s="20"/>
      <c r="O322" s="21"/>
    </row>
    <row r="323" spans="1:15" ht="28.5" customHeight="1" x14ac:dyDescent="0.3">
      <c r="A323" s="33">
        <f t="shared" si="11"/>
        <v>482</v>
      </c>
      <c r="B323" s="33"/>
      <c r="C323" s="33"/>
      <c r="D323" s="34"/>
      <c r="E323" s="35"/>
      <c r="F323" s="33"/>
      <c r="G323" s="19" t="str">
        <f t="shared" si="12"/>
        <v/>
      </c>
      <c r="H323" s="33"/>
      <c r="I323" s="33"/>
      <c r="J323" s="35"/>
      <c r="K323" s="35"/>
      <c r="L323" s="37"/>
      <c r="M323" s="37"/>
      <c r="N323" s="22"/>
      <c r="O323" s="23"/>
    </row>
    <row r="324" spans="1:15" ht="28.5" customHeight="1" x14ac:dyDescent="0.3">
      <c r="A324" s="36">
        <f t="shared" si="11"/>
        <v>483</v>
      </c>
      <c r="B324" s="36"/>
      <c r="C324" s="36"/>
      <c r="D324" s="38"/>
      <c r="E324" s="39"/>
      <c r="F324" s="36"/>
      <c r="G324" s="19" t="str">
        <f t="shared" si="12"/>
        <v/>
      </c>
      <c r="H324" s="36"/>
      <c r="I324" s="36"/>
      <c r="J324" s="39"/>
      <c r="K324" s="39"/>
      <c r="L324" s="40"/>
      <c r="M324" s="40"/>
      <c r="N324" s="20"/>
      <c r="O324" s="21"/>
    </row>
    <row r="325" spans="1:15" ht="28.5" customHeight="1" x14ac:dyDescent="0.3">
      <c r="A325" s="33">
        <f t="shared" si="11"/>
        <v>484</v>
      </c>
      <c r="B325" s="33"/>
      <c r="C325" s="33"/>
      <c r="D325" s="34"/>
      <c r="E325" s="35"/>
      <c r="F325" s="33"/>
      <c r="G325" s="19" t="str">
        <f t="shared" si="12"/>
        <v/>
      </c>
      <c r="H325" s="33"/>
      <c r="I325" s="33"/>
      <c r="J325" s="35"/>
      <c r="K325" s="35"/>
      <c r="L325" s="37"/>
      <c r="M325" s="37"/>
      <c r="N325" s="22"/>
      <c r="O325" s="23"/>
    </row>
    <row r="326" spans="1:15" ht="28.5" customHeight="1" x14ac:dyDescent="0.3">
      <c r="A326" s="36">
        <f t="shared" si="11"/>
        <v>485</v>
      </c>
      <c r="B326" s="36"/>
      <c r="C326" s="36"/>
      <c r="D326" s="38"/>
      <c r="E326" s="39"/>
      <c r="F326" s="36"/>
      <c r="G326" s="19" t="str">
        <f t="shared" si="12"/>
        <v/>
      </c>
      <c r="H326" s="36"/>
      <c r="I326" s="36"/>
      <c r="J326" s="39"/>
      <c r="K326" s="39"/>
      <c r="L326" s="40"/>
      <c r="M326" s="40"/>
      <c r="N326" s="20"/>
      <c r="O326" s="21"/>
    </row>
    <row r="327" spans="1:15" ht="28.5" customHeight="1" x14ac:dyDescent="0.3">
      <c r="A327" s="33">
        <f t="shared" si="11"/>
        <v>486</v>
      </c>
      <c r="B327" s="33"/>
      <c r="C327" s="33"/>
      <c r="D327" s="34"/>
      <c r="E327" s="35"/>
      <c r="F327" s="33"/>
      <c r="G327" s="19" t="str">
        <f t="shared" si="12"/>
        <v/>
      </c>
      <c r="H327" s="33"/>
      <c r="I327" s="33"/>
      <c r="J327" s="35"/>
      <c r="K327" s="35"/>
      <c r="L327" s="37"/>
      <c r="M327" s="37"/>
      <c r="N327" s="22"/>
      <c r="O327" s="23"/>
    </row>
    <row r="328" spans="1:15" ht="28.5" customHeight="1" x14ac:dyDescent="0.3">
      <c r="A328" s="36">
        <f t="shared" ref="A328:A391" si="13">A327+1</f>
        <v>487</v>
      </c>
      <c r="B328" s="36"/>
      <c r="C328" s="36"/>
      <c r="D328" s="38"/>
      <c r="E328" s="39"/>
      <c r="F328" s="36"/>
      <c r="G328" s="19" t="str">
        <f t="shared" si="12"/>
        <v/>
      </c>
      <c r="H328" s="36"/>
      <c r="I328" s="36"/>
      <c r="J328" s="39"/>
      <c r="K328" s="39"/>
      <c r="L328" s="40"/>
      <c r="M328" s="40"/>
      <c r="N328" s="20"/>
      <c r="O328" s="21"/>
    </row>
    <row r="329" spans="1:15" ht="28.5" customHeight="1" x14ac:dyDescent="0.3">
      <c r="A329" s="33">
        <f t="shared" si="13"/>
        <v>488</v>
      </c>
      <c r="B329" s="33"/>
      <c r="C329" s="33"/>
      <c r="D329" s="34"/>
      <c r="E329" s="35"/>
      <c r="F329" s="33"/>
      <c r="G329" s="19" t="str">
        <f t="shared" si="12"/>
        <v/>
      </c>
      <c r="H329" s="33"/>
      <c r="I329" s="33"/>
      <c r="J329" s="35"/>
      <c r="K329" s="35"/>
      <c r="L329" s="37"/>
      <c r="M329" s="37"/>
      <c r="N329" s="22"/>
      <c r="O329" s="23"/>
    </row>
    <row r="330" spans="1:15" ht="28.5" customHeight="1" x14ac:dyDescent="0.3">
      <c r="A330" s="36">
        <f t="shared" si="13"/>
        <v>489</v>
      </c>
      <c r="B330" s="36"/>
      <c r="C330" s="36"/>
      <c r="D330" s="38"/>
      <c r="E330" s="39"/>
      <c r="F330" s="36"/>
      <c r="G330" s="19" t="str">
        <f t="shared" si="12"/>
        <v/>
      </c>
      <c r="H330" s="36"/>
      <c r="I330" s="36"/>
      <c r="J330" s="39"/>
      <c r="K330" s="39"/>
      <c r="L330" s="40"/>
      <c r="M330" s="40"/>
      <c r="N330" s="20"/>
      <c r="O330" s="21"/>
    </row>
    <row r="331" spans="1:15" ht="28.5" customHeight="1" x14ac:dyDescent="0.3">
      <c r="A331" s="33">
        <f t="shared" si="13"/>
        <v>490</v>
      </c>
      <c r="B331" s="33"/>
      <c r="C331" s="33"/>
      <c r="D331" s="34"/>
      <c r="E331" s="35"/>
      <c r="F331" s="33"/>
      <c r="G331" s="19" t="str">
        <f t="shared" si="12"/>
        <v/>
      </c>
      <c r="H331" s="33"/>
      <c r="I331" s="33"/>
      <c r="J331" s="35"/>
      <c r="K331" s="35"/>
      <c r="L331" s="37"/>
      <c r="M331" s="37"/>
      <c r="N331" s="22"/>
      <c r="O331" s="23"/>
    </row>
    <row r="332" spans="1:15" ht="28.5" customHeight="1" x14ac:dyDescent="0.3">
      <c r="A332" s="36">
        <f t="shared" si="13"/>
        <v>491</v>
      </c>
      <c r="B332" s="36"/>
      <c r="C332" s="36"/>
      <c r="D332" s="38"/>
      <c r="E332" s="39"/>
      <c r="F332" s="36"/>
      <c r="G332" s="19" t="str">
        <f t="shared" si="12"/>
        <v/>
      </c>
      <c r="H332" s="36"/>
      <c r="I332" s="36"/>
      <c r="J332" s="39"/>
      <c r="K332" s="39"/>
      <c r="L332" s="40"/>
      <c r="M332" s="40"/>
      <c r="N332" s="20"/>
      <c r="O332" s="21"/>
    </row>
    <row r="333" spans="1:15" ht="28.5" customHeight="1" x14ac:dyDescent="0.3">
      <c r="A333" s="33">
        <f t="shared" si="13"/>
        <v>492</v>
      </c>
      <c r="B333" s="33"/>
      <c r="C333" s="33"/>
      <c r="D333" s="34"/>
      <c r="E333" s="35"/>
      <c r="F333" s="33"/>
      <c r="G333" s="19" t="str">
        <f t="shared" si="12"/>
        <v/>
      </c>
      <c r="H333" s="33"/>
      <c r="I333" s="33"/>
      <c r="J333" s="35"/>
      <c r="K333" s="35"/>
      <c r="L333" s="37"/>
      <c r="M333" s="37"/>
      <c r="N333" s="22"/>
      <c r="O333" s="23"/>
    </row>
    <row r="334" spans="1:15" ht="28.5" customHeight="1" x14ac:dyDescent="0.3">
      <c r="A334" s="36">
        <f t="shared" si="13"/>
        <v>493</v>
      </c>
      <c r="B334" s="36"/>
      <c r="C334" s="36"/>
      <c r="D334" s="38"/>
      <c r="E334" s="39"/>
      <c r="F334" s="36"/>
      <c r="G334" s="19" t="str">
        <f t="shared" si="12"/>
        <v/>
      </c>
      <c r="H334" s="36"/>
      <c r="I334" s="36"/>
      <c r="J334" s="39"/>
      <c r="K334" s="39"/>
      <c r="L334" s="40"/>
      <c r="M334" s="40"/>
      <c r="N334" s="20"/>
      <c r="O334" s="21"/>
    </row>
    <row r="335" spans="1:15" ht="28.5" customHeight="1" x14ac:dyDescent="0.3">
      <c r="A335" s="33">
        <f t="shared" si="13"/>
        <v>494</v>
      </c>
      <c r="B335" s="33"/>
      <c r="C335" s="33"/>
      <c r="D335" s="34"/>
      <c r="E335" s="35"/>
      <c r="F335" s="33"/>
      <c r="G335" s="19" t="str">
        <f t="shared" si="12"/>
        <v/>
      </c>
      <c r="H335" s="33"/>
      <c r="I335" s="33"/>
      <c r="J335" s="35"/>
      <c r="K335" s="35"/>
      <c r="L335" s="37"/>
      <c r="M335" s="37"/>
      <c r="N335" s="22"/>
      <c r="O335" s="23"/>
    </row>
    <row r="336" spans="1:15" ht="28.5" customHeight="1" x14ac:dyDescent="0.3">
      <c r="A336" s="36">
        <f t="shared" si="13"/>
        <v>495</v>
      </c>
      <c r="B336" s="36"/>
      <c r="C336" s="36"/>
      <c r="D336" s="38"/>
      <c r="E336" s="39"/>
      <c r="F336" s="36"/>
      <c r="G336" s="19" t="str">
        <f t="shared" si="12"/>
        <v/>
      </c>
      <c r="H336" s="36"/>
      <c r="I336" s="36"/>
      <c r="J336" s="39"/>
      <c r="K336" s="39"/>
      <c r="L336" s="40"/>
      <c r="M336" s="40"/>
      <c r="N336" s="20"/>
      <c r="O336" s="21"/>
    </row>
    <row r="337" spans="1:15" ht="28.5" customHeight="1" x14ac:dyDescent="0.3">
      <c r="A337" s="33">
        <f t="shared" si="13"/>
        <v>496</v>
      </c>
      <c r="B337" s="33"/>
      <c r="C337" s="33"/>
      <c r="D337" s="34"/>
      <c r="E337" s="35"/>
      <c r="F337" s="33"/>
      <c r="G337" s="19" t="str">
        <f t="shared" si="12"/>
        <v/>
      </c>
      <c r="H337" s="33"/>
      <c r="I337" s="33"/>
      <c r="J337" s="35"/>
      <c r="K337" s="35"/>
      <c r="L337" s="37"/>
      <c r="M337" s="37"/>
      <c r="N337" s="22"/>
      <c r="O337" s="23"/>
    </row>
    <row r="338" spans="1:15" ht="28.5" customHeight="1" x14ac:dyDescent="0.3">
      <c r="A338" s="36">
        <f t="shared" si="13"/>
        <v>497</v>
      </c>
      <c r="B338" s="36"/>
      <c r="C338" s="36"/>
      <c r="D338" s="38"/>
      <c r="E338" s="39"/>
      <c r="F338" s="36"/>
      <c r="G338" s="19" t="str">
        <f t="shared" si="12"/>
        <v/>
      </c>
      <c r="H338" s="36"/>
      <c r="I338" s="36"/>
      <c r="J338" s="39"/>
      <c r="K338" s="39"/>
      <c r="L338" s="40"/>
      <c r="M338" s="40"/>
      <c r="N338" s="20"/>
      <c r="O338" s="21"/>
    </row>
    <row r="339" spans="1:15" ht="28.5" customHeight="1" x14ac:dyDescent="0.3">
      <c r="A339" s="33">
        <f t="shared" si="13"/>
        <v>498</v>
      </c>
      <c r="B339" s="33"/>
      <c r="C339" s="33"/>
      <c r="D339" s="34"/>
      <c r="E339" s="35"/>
      <c r="F339" s="33"/>
      <c r="G339" s="19" t="str">
        <f t="shared" si="12"/>
        <v/>
      </c>
      <c r="H339" s="33"/>
      <c r="I339" s="33"/>
      <c r="J339" s="35"/>
      <c r="K339" s="35"/>
      <c r="L339" s="37"/>
      <c r="M339" s="37"/>
      <c r="N339" s="22"/>
      <c r="O339" s="23"/>
    </row>
    <row r="340" spans="1:15" ht="28.5" customHeight="1" x14ac:dyDescent="0.3">
      <c r="A340" s="36">
        <f t="shared" si="13"/>
        <v>499</v>
      </c>
      <c r="B340" s="36"/>
      <c r="C340" s="36"/>
      <c r="D340" s="38"/>
      <c r="E340" s="39"/>
      <c r="F340" s="36"/>
      <c r="G340" s="19" t="str">
        <f t="shared" si="12"/>
        <v/>
      </c>
      <c r="H340" s="36"/>
      <c r="I340" s="36"/>
      <c r="J340" s="39"/>
      <c r="K340" s="39"/>
      <c r="L340" s="40"/>
      <c r="M340" s="40"/>
      <c r="N340" s="20"/>
      <c r="O340" s="21"/>
    </row>
    <row r="341" spans="1:15" ht="28.5" customHeight="1" x14ac:dyDescent="0.3">
      <c r="A341" s="33">
        <f t="shared" si="13"/>
        <v>500</v>
      </c>
      <c r="B341" s="33"/>
      <c r="C341" s="33"/>
      <c r="D341" s="34"/>
      <c r="E341" s="35"/>
      <c r="F341" s="33"/>
      <c r="G341" s="19" t="str">
        <f t="shared" si="12"/>
        <v/>
      </c>
      <c r="H341" s="33"/>
      <c r="I341" s="33"/>
      <c r="J341" s="35"/>
      <c r="K341" s="35"/>
      <c r="L341" s="37"/>
      <c r="M341" s="37"/>
      <c r="N341" s="22"/>
      <c r="O341" s="23"/>
    </row>
    <row r="342" spans="1:15" ht="28.5" customHeight="1" x14ac:dyDescent="0.3">
      <c r="A342" s="36">
        <f t="shared" si="13"/>
        <v>501</v>
      </c>
      <c r="B342" s="36"/>
      <c r="C342" s="36"/>
      <c r="D342" s="38"/>
      <c r="E342" s="39"/>
      <c r="F342" s="36"/>
      <c r="G342" s="19" t="str">
        <f t="shared" si="12"/>
        <v/>
      </c>
      <c r="H342" s="36"/>
      <c r="I342" s="36"/>
      <c r="J342" s="39"/>
      <c r="K342" s="39"/>
      <c r="L342" s="40"/>
      <c r="M342" s="40"/>
      <c r="N342" s="20"/>
      <c r="O342" s="21"/>
    </row>
    <row r="343" spans="1:15" ht="28.5" customHeight="1" x14ac:dyDescent="0.3">
      <c r="A343" s="33">
        <f t="shared" si="13"/>
        <v>502</v>
      </c>
      <c r="B343" s="33"/>
      <c r="C343" s="33"/>
      <c r="D343" s="34"/>
      <c r="E343" s="35"/>
      <c r="F343" s="33"/>
      <c r="G343" s="19" t="str">
        <f t="shared" si="12"/>
        <v/>
      </c>
      <c r="H343" s="33"/>
      <c r="I343" s="33"/>
      <c r="J343" s="35"/>
      <c r="K343" s="35"/>
      <c r="L343" s="37"/>
      <c r="M343" s="37"/>
      <c r="N343" s="22"/>
      <c r="O343" s="23"/>
    </row>
    <row r="344" spans="1:15" ht="28.5" customHeight="1" x14ac:dyDescent="0.3">
      <c r="A344" s="36">
        <f t="shared" si="13"/>
        <v>503</v>
      </c>
      <c r="B344" s="36"/>
      <c r="C344" s="36"/>
      <c r="D344" s="38"/>
      <c r="E344" s="39"/>
      <c r="F344" s="36"/>
      <c r="G344" s="19" t="str">
        <f t="shared" si="12"/>
        <v/>
      </c>
      <c r="H344" s="36"/>
      <c r="I344" s="36"/>
      <c r="J344" s="39"/>
      <c r="K344" s="39"/>
      <c r="L344" s="40"/>
      <c r="M344" s="40"/>
      <c r="N344" s="20"/>
      <c r="O344" s="21"/>
    </row>
    <row r="345" spans="1:15" ht="28.5" customHeight="1" x14ac:dyDescent="0.3">
      <c r="A345" s="33">
        <f t="shared" si="13"/>
        <v>504</v>
      </c>
      <c r="B345" s="33"/>
      <c r="C345" s="33"/>
      <c r="D345" s="34"/>
      <c r="E345" s="35"/>
      <c r="F345" s="33"/>
      <c r="G345" s="19" t="str">
        <f t="shared" si="12"/>
        <v/>
      </c>
      <c r="H345" s="33"/>
      <c r="I345" s="33"/>
      <c r="J345" s="35"/>
      <c r="K345" s="35"/>
      <c r="L345" s="37"/>
      <c r="M345" s="37"/>
      <c r="N345" s="22"/>
      <c r="O345" s="23"/>
    </row>
    <row r="346" spans="1:15" ht="28.5" customHeight="1" x14ac:dyDescent="0.3">
      <c r="A346" s="36">
        <f t="shared" si="13"/>
        <v>505</v>
      </c>
      <c r="B346" s="36"/>
      <c r="C346" s="36"/>
      <c r="D346" s="38"/>
      <c r="E346" s="39"/>
      <c r="F346" s="36"/>
      <c r="G346" s="19" t="str">
        <f t="shared" ref="G346:G409" si="14">IF(H346,H346-I346,"")</f>
        <v/>
      </c>
      <c r="H346" s="36"/>
      <c r="I346" s="36"/>
      <c r="J346" s="39"/>
      <c r="K346" s="39"/>
      <c r="L346" s="40"/>
      <c r="M346" s="40"/>
      <c r="N346" s="20"/>
      <c r="O346" s="21"/>
    </row>
    <row r="347" spans="1:15" ht="28.5" customHeight="1" x14ac:dyDescent="0.3">
      <c r="A347" s="33">
        <f t="shared" si="13"/>
        <v>506</v>
      </c>
      <c r="B347" s="33"/>
      <c r="C347" s="33"/>
      <c r="D347" s="34"/>
      <c r="E347" s="35"/>
      <c r="F347" s="33"/>
      <c r="G347" s="19" t="str">
        <f t="shared" si="14"/>
        <v/>
      </c>
      <c r="H347" s="33"/>
      <c r="I347" s="33"/>
      <c r="J347" s="35"/>
      <c r="K347" s="35"/>
      <c r="L347" s="37"/>
      <c r="M347" s="37"/>
      <c r="N347" s="22"/>
      <c r="O347" s="23"/>
    </row>
    <row r="348" spans="1:15" ht="28.5" customHeight="1" x14ac:dyDescent="0.3">
      <c r="A348" s="36">
        <f t="shared" si="13"/>
        <v>507</v>
      </c>
      <c r="B348" s="36"/>
      <c r="C348" s="36"/>
      <c r="D348" s="38"/>
      <c r="E348" s="39"/>
      <c r="F348" s="36"/>
      <c r="G348" s="19" t="str">
        <f t="shared" si="14"/>
        <v/>
      </c>
      <c r="H348" s="36"/>
      <c r="I348" s="36"/>
      <c r="J348" s="39"/>
      <c r="K348" s="39"/>
      <c r="L348" s="40"/>
      <c r="M348" s="40"/>
      <c r="N348" s="20"/>
      <c r="O348" s="21"/>
    </row>
    <row r="349" spans="1:15" ht="28.5" customHeight="1" x14ac:dyDescent="0.3">
      <c r="A349" s="33">
        <f t="shared" si="13"/>
        <v>508</v>
      </c>
      <c r="B349" s="33"/>
      <c r="C349" s="33"/>
      <c r="D349" s="34"/>
      <c r="E349" s="35"/>
      <c r="F349" s="33"/>
      <c r="G349" s="19" t="str">
        <f t="shared" si="14"/>
        <v/>
      </c>
      <c r="H349" s="33"/>
      <c r="I349" s="33"/>
      <c r="J349" s="35"/>
      <c r="K349" s="35"/>
      <c r="L349" s="37"/>
      <c r="M349" s="37"/>
      <c r="N349" s="22"/>
      <c r="O349" s="23"/>
    </row>
    <row r="350" spans="1:15" ht="28.5" customHeight="1" x14ac:dyDescent="0.3">
      <c r="A350" s="36">
        <f t="shared" si="13"/>
        <v>509</v>
      </c>
      <c r="B350" s="36"/>
      <c r="C350" s="36"/>
      <c r="D350" s="38"/>
      <c r="E350" s="39"/>
      <c r="F350" s="36"/>
      <c r="G350" s="19" t="str">
        <f t="shared" si="14"/>
        <v/>
      </c>
      <c r="H350" s="36"/>
      <c r="I350" s="36"/>
      <c r="J350" s="39"/>
      <c r="K350" s="39"/>
      <c r="L350" s="40"/>
      <c r="M350" s="40"/>
      <c r="N350" s="20"/>
      <c r="O350" s="21"/>
    </row>
    <row r="351" spans="1:15" ht="28.5" customHeight="1" x14ac:dyDescent="0.3">
      <c r="A351" s="33">
        <f t="shared" si="13"/>
        <v>510</v>
      </c>
      <c r="B351" s="33"/>
      <c r="C351" s="33"/>
      <c r="D351" s="34"/>
      <c r="E351" s="35"/>
      <c r="F351" s="33"/>
      <c r="G351" s="19" t="str">
        <f t="shared" si="14"/>
        <v/>
      </c>
      <c r="H351" s="33"/>
      <c r="I351" s="33"/>
      <c r="J351" s="35"/>
      <c r="K351" s="35"/>
      <c r="L351" s="37"/>
      <c r="M351" s="37"/>
      <c r="N351" s="22"/>
      <c r="O351" s="23"/>
    </row>
    <row r="352" spans="1:15" ht="28.5" customHeight="1" x14ac:dyDescent="0.3">
      <c r="A352" s="36">
        <f t="shared" si="13"/>
        <v>511</v>
      </c>
      <c r="B352" s="36"/>
      <c r="C352" s="36"/>
      <c r="D352" s="38"/>
      <c r="E352" s="39"/>
      <c r="F352" s="36"/>
      <c r="G352" s="19" t="str">
        <f t="shared" si="14"/>
        <v/>
      </c>
      <c r="H352" s="36"/>
      <c r="I352" s="36"/>
      <c r="J352" s="39"/>
      <c r="K352" s="39"/>
      <c r="L352" s="40"/>
      <c r="M352" s="40"/>
      <c r="N352" s="20"/>
      <c r="O352" s="21"/>
    </row>
    <row r="353" spans="1:15" ht="28.5" customHeight="1" x14ac:dyDescent="0.3">
      <c r="A353" s="33">
        <f t="shared" si="13"/>
        <v>512</v>
      </c>
      <c r="B353" s="33"/>
      <c r="C353" s="33"/>
      <c r="D353" s="34"/>
      <c r="E353" s="35"/>
      <c r="F353" s="33"/>
      <c r="G353" s="19" t="str">
        <f t="shared" si="14"/>
        <v/>
      </c>
      <c r="H353" s="33"/>
      <c r="I353" s="33"/>
      <c r="J353" s="35"/>
      <c r="K353" s="35"/>
      <c r="L353" s="37"/>
      <c r="M353" s="37"/>
      <c r="N353" s="22"/>
      <c r="O353" s="23"/>
    </row>
    <row r="354" spans="1:15" ht="28.5" customHeight="1" x14ac:dyDescent="0.3">
      <c r="A354" s="36">
        <f t="shared" si="13"/>
        <v>513</v>
      </c>
      <c r="B354" s="36"/>
      <c r="C354" s="36"/>
      <c r="D354" s="38"/>
      <c r="E354" s="39"/>
      <c r="F354" s="36"/>
      <c r="G354" s="19" t="str">
        <f t="shared" si="14"/>
        <v/>
      </c>
      <c r="H354" s="36"/>
      <c r="I354" s="36"/>
      <c r="J354" s="39"/>
      <c r="K354" s="39"/>
      <c r="L354" s="40"/>
      <c r="M354" s="40"/>
      <c r="N354" s="20"/>
      <c r="O354" s="21"/>
    </row>
    <row r="355" spans="1:15" ht="28.5" customHeight="1" x14ac:dyDescent="0.3">
      <c r="A355" s="33">
        <f t="shared" si="13"/>
        <v>514</v>
      </c>
      <c r="B355" s="33"/>
      <c r="C355" s="33"/>
      <c r="D355" s="34"/>
      <c r="E355" s="35"/>
      <c r="F355" s="33"/>
      <c r="G355" s="19" t="str">
        <f t="shared" si="14"/>
        <v/>
      </c>
      <c r="H355" s="33"/>
      <c r="I355" s="33"/>
      <c r="J355" s="35"/>
      <c r="K355" s="35"/>
      <c r="L355" s="37"/>
      <c r="M355" s="37"/>
      <c r="N355" s="22"/>
      <c r="O355" s="23"/>
    </row>
    <row r="356" spans="1:15" ht="28.5" customHeight="1" x14ac:dyDescent="0.3">
      <c r="A356" s="36">
        <f t="shared" si="13"/>
        <v>515</v>
      </c>
      <c r="B356" s="36"/>
      <c r="C356" s="36"/>
      <c r="D356" s="38"/>
      <c r="E356" s="39"/>
      <c r="F356" s="36"/>
      <c r="G356" s="19" t="str">
        <f t="shared" si="14"/>
        <v/>
      </c>
      <c r="H356" s="36"/>
      <c r="I356" s="36"/>
      <c r="J356" s="39"/>
      <c r="K356" s="39"/>
      <c r="L356" s="40"/>
      <c r="M356" s="40"/>
      <c r="N356" s="20"/>
      <c r="O356" s="21"/>
    </row>
    <row r="357" spans="1:15" ht="28.5" customHeight="1" x14ac:dyDescent="0.3">
      <c r="A357" s="33">
        <f t="shared" si="13"/>
        <v>516</v>
      </c>
      <c r="B357" s="33"/>
      <c r="C357" s="33"/>
      <c r="D357" s="34"/>
      <c r="E357" s="35"/>
      <c r="F357" s="33"/>
      <c r="G357" s="19" t="str">
        <f t="shared" si="14"/>
        <v/>
      </c>
      <c r="H357" s="33"/>
      <c r="I357" s="33"/>
      <c r="J357" s="35"/>
      <c r="K357" s="35"/>
      <c r="L357" s="37"/>
      <c r="M357" s="37"/>
      <c r="N357" s="22"/>
      <c r="O357" s="23"/>
    </row>
    <row r="358" spans="1:15" ht="28.5" customHeight="1" x14ac:dyDescent="0.3">
      <c r="A358" s="36">
        <f t="shared" si="13"/>
        <v>517</v>
      </c>
      <c r="B358" s="36"/>
      <c r="C358" s="36"/>
      <c r="D358" s="38"/>
      <c r="E358" s="39"/>
      <c r="F358" s="36"/>
      <c r="G358" s="19" t="str">
        <f t="shared" si="14"/>
        <v/>
      </c>
      <c r="H358" s="36"/>
      <c r="I358" s="36"/>
      <c r="J358" s="39"/>
      <c r="K358" s="39"/>
      <c r="L358" s="40"/>
      <c r="M358" s="40"/>
      <c r="N358" s="20"/>
      <c r="O358" s="21"/>
    </row>
    <row r="359" spans="1:15" ht="28.5" customHeight="1" x14ac:dyDescent="0.3">
      <c r="A359" s="33">
        <f t="shared" si="13"/>
        <v>518</v>
      </c>
      <c r="B359" s="33"/>
      <c r="C359" s="33"/>
      <c r="D359" s="34"/>
      <c r="E359" s="35"/>
      <c r="F359" s="33"/>
      <c r="G359" s="19" t="str">
        <f t="shared" si="14"/>
        <v/>
      </c>
      <c r="H359" s="33"/>
      <c r="I359" s="33"/>
      <c r="J359" s="35"/>
      <c r="K359" s="35"/>
      <c r="L359" s="37"/>
      <c r="M359" s="37"/>
      <c r="N359" s="22"/>
      <c r="O359" s="23"/>
    </row>
    <row r="360" spans="1:15" ht="28.5" customHeight="1" x14ac:dyDescent="0.3">
      <c r="A360" s="36">
        <f t="shared" si="13"/>
        <v>519</v>
      </c>
      <c r="B360" s="36"/>
      <c r="C360" s="36"/>
      <c r="D360" s="38"/>
      <c r="E360" s="39"/>
      <c r="F360" s="36"/>
      <c r="G360" s="19" t="str">
        <f t="shared" si="14"/>
        <v/>
      </c>
      <c r="H360" s="36"/>
      <c r="I360" s="36"/>
      <c r="J360" s="39"/>
      <c r="K360" s="39"/>
      <c r="L360" s="40"/>
      <c r="M360" s="40"/>
      <c r="N360" s="20"/>
      <c r="O360" s="21"/>
    </row>
    <row r="361" spans="1:15" ht="28.5" customHeight="1" x14ac:dyDescent="0.3">
      <c r="A361" s="33">
        <f t="shared" si="13"/>
        <v>520</v>
      </c>
      <c r="B361" s="33"/>
      <c r="C361" s="33"/>
      <c r="D361" s="34"/>
      <c r="E361" s="35"/>
      <c r="F361" s="33"/>
      <c r="G361" s="19" t="str">
        <f t="shared" si="14"/>
        <v/>
      </c>
      <c r="H361" s="33"/>
      <c r="I361" s="33"/>
      <c r="J361" s="35"/>
      <c r="K361" s="35"/>
      <c r="L361" s="37"/>
      <c r="M361" s="37"/>
      <c r="N361" s="22"/>
      <c r="O361" s="23"/>
    </row>
    <row r="362" spans="1:15" ht="28.5" customHeight="1" x14ac:dyDescent="0.3">
      <c r="A362" s="36">
        <f t="shared" si="13"/>
        <v>521</v>
      </c>
      <c r="B362" s="36"/>
      <c r="C362" s="36"/>
      <c r="D362" s="38"/>
      <c r="E362" s="39"/>
      <c r="F362" s="36"/>
      <c r="G362" s="19" t="str">
        <f t="shared" si="14"/>
        <v/>
      </c>
      <c r="H362" s="36"/>
      <c r="I362" s="36"/>
      <c r="J362" s="39"/>
      <c r="K362" s="39"/>
      <c r="L362" s="40"/>
      <c r="M362" s="40"/>
      <c r="N362" s="20"/>
      <c r="O362" s="21"/>
    </row>
    <row r="363" spans="1:15" ht="28.5" customHeight="1" x14ac:dyDescent="0.3">
      <c r="A363" s="33">
        <f t="shared" si="13"/>
        <v>522</v>
      </c>
      <c r="B363" s="33"/>
      <c r="C363" s="33"/>
      <c r="D363" s="34"/>
      <c r="E363" s="35"/>
      <c r="F363" s="33"/>
      <c r="G363" s="19" t="str">
        <f t="shared" si="14"/>
        <v/>
      </c>
      <c r="H363" s="33"/>
      <c r="I363" s="33"/>
      <c r="J363" s="35"/>
      <c r="K363" s="35"/>
      <c r="L363" s="37"/>
      <c r="M363" s="37"/>
      <c r="N363" s="22"/>
      <c r="O363" s="23"/>
    </row>
    <row r="364" spans="1:15" ht="28.5" customHeight="1" x14ac:dyDescent="0.3">
      <c r="A364" s="36">
        <f t="shared" si="13"/>
        <v>523</v>
      </c>
      <c r="B364" s="36"/>
      <c r="C364" s="36"/>
      <c r="D364" s="38"/>
      <c r="E364" s="39"/>
      <c r="F364" s="36"/>
      <c r="G364" s="19" t="str">
        <f t="shared" si="14"/>
        <v/>
      </c>
      <c r="H364" s="36"/>
      <c r="I364" s="36"/>
      <c r="J364" s="39"/>
      <c r="K364" s="39"/>
      <c r="L364" s="40"/>
      <c r="M364" s="40"/>
      <c r="N364" s="20"/>
      <c r="O364" s="21"/>
    </row>
    <row r="365" spans="1:15" ht="28.5" customHeight="1" x14ac:dyDescent="0.3">
      <c r="A365" s="33">
        <f t="shared" si="13"/>
        <v>524</v>
      </c>
      <c r="B365" s="33"/>
      <c r="C365" s="33"/>
      <c r="D365" s="34"/>
      <c r="E365" s="35"/>
      <c r="F365" s="33"/>
      <c r="G365" s="19" t="str">
        <f t="shared" si="14"/>
        <v/>
      </c>
      <c r="H365" s="33"/>
      <c r="I365" s="33"/>
      <c r="J365" s="35"/>
      <c r="K365" s="35"/>
      <c r="L365" s="37"/>
      <c r="M365" s="37"/>
      <c r="N365" s="22"/>
      <c r="O365" s="23"/>
    </row>
    <row r="366" spans="1:15" ht="28.5" customHeight="1" x14ac:dyDescent="0.3">
      <c r="A366" s="36">
        <f t="shared" si="13"/>
        <v>525</v>
      </c>
      <c r="B366" s="36"/>
      <c r="C366" s="36"/>
      <c r="D366" s="38"/>
      <c r="E366" s="39"/>
      <c r="F366" s="36"/>
      <c r="G366" s="19" t="str">
        <f t="shared" si="14"/>
        <v/>
      </c>
      <c r="H366" s="36"/>
      <c r="I366" s="36"/>
      <c r="J366" s="39"/>
      <c r="K366" s="39"/>
      <c r="L366" s="40"/>
      <c r="M366" s="40"/>
      <c r="N366" s="20"/>
      <c r="O366" s="21"/>
    </row>
    <row r="367" spans="1:15" ht="28.5" customHeight="1" x14ac:dyDescent="0.3">
      <c r="A367" s="33">
        <f t="shared" si="13"/>
        <v>526</v>
      </c>
      <c r="B367" s="33"/>
      <c r="C367" s="33"/>
      <c r="D367" s="34"/>
      <c r="E367" s="35"/>
      <c r="F367" s="33"/>
      <c r="G367" s="19" t="str">
        <f t="shared" si="14"/>
        <v/>
      </c>
      <c r="H367" s="33"/>
      <c r="I367" s="33"/>
      <c r="J367" s="35"/>
      <c r="K367" s="35"/>
      <c r="L367" s="37"/>
      <c r="M367" s="37"/>
      <c r="N367" s="22"/>
      <c r="O367" s="23"/>
    </row>
    <row r="368" spans="1:15" ht="28.5" customHeight="1" x14ac:dyDescent="0.3">
      <c r="A368" s="36">
        <f t="shared" si="13"/>
        <v>527</v>
      </c>
      <c r="B368" s="36"/>
      <c r="C368" s="36"/>
      <c r="D368" s="38"/>
      <c r="E368" s="39"/>
      <c r="F368" s="36"/>
      <c r="G368" s="19" t="str">
        <f t="shared" si="14"/>
        <v/>
      </c>
      <c r="H368" s="36"/>
      <c r="I368" s="36"/>
      <c r="J368" s="39"/>
      <c r="K368" s="39"/>
      <c r="L368" s="40"/>
      <c r="M368" s="40"/>
      <c r="N368" s="20"/>
      <c r="O368" s="21"/>
    </row>
    <row r="369" spans="1:15" ht="28.5" customHeight="1" x14ac:dyDescent="0.3">
      <c r="A369" s="33">
        <f t="shared" si="13"/>
        <v>528</v>
      </c>
      <c r="B369" s="33"/>
      <c r="C369" s="33"/>
      <c r="D369" s="34"/>
      <c r="E369" s="35"/>
      <c r="F369" s="33"/>
      <c r="G369" s="19" t="str">
        <f t="shared" si="14"/>
        <v/>
      </c>
      <c r="H369" s="33"/>
      <c r="I369" s="33"/>
      <c r="J369" s="35"/>
      <c r="K369" s="35"/>
      <c r="L369" s="37"/>
      <c r="M369" s="37"/>
      <c r="N369" s="22"/>
      <c r="O369" s="23"/>
    </row>
    <row r="370" spans="1:15" ht="28.5" customHeight="1" x14ac:dyDescent="0.3">
      <c r="A370" s="36">
        <f t="shared" si="13"/>
        <v>529</v>
      </c>
      <c r="B370" s="36"/>
      <c r="C370" s="36"/>
      <c r="D370" s="38"/>
      <c r="E370" s="39"/>
      <c r="F370" s="36"/>
      <c r="G370" s="19" t="str">
        <f t="shared" si="14"/>
        <v/>
      </c>
      <c r="H370" s="36"/>
      <c r="I370" s="36"/>
      <c r="J370" s="39"/>
      <c r="K370" s="39"/>
      <c r="L370" s="40"/>
      <c r="M370" s="40"/>
      <c r="N370" s="20"/>
      <c r="O370" s="21"/>
    </row>
    <row r="371" spans="1:15" ht="28.5" customHeight="1" x14ac:dyDescent="0.3">
      <c r="A371" s="33">
        <f t="shared" si="13"/>
        <v>530</v>
      </c>
      <c r="B371" s="33"/>
      <c r="C371" s="33"/>
      <c r="D371" s="34"/>
      <c r="E371" s="35"/>
      <c r="F371" s="33"/>
      <c r="G371" s="19" t="str">
        <f t="shared" si="14"/>
        <v/>
      </c>
      <c r="H371" s="33"/>
      <c r="I371" s="33"/>
      <c r="J371" s="35"/>
      <c r="K371" s="35"/>
      <c r="L371" s="37"/>
      <c r="M371" s="37"/>
      <c r="N371" s="22"/>
      <c r="O371" s="23"/>
    </row>
    <row r="372" spans="1:15" ht="28.5" customHeight="1" x14ac:dyDescent="0.3">
      <c r="A372" s="36">
        <f t="shared" si="13"/>
        <v>531</v>
      </c>
      <c r="B372" s="36"/>
      <c r="C372" s="36"/>
      <c r="D372" s="38"/>
      <c r="E372" s="39"/>
      <c r="F372" s="36"/>
      <c r="G372" s="19" t="str">
        <f t="shared" si="14"/>
        <v/>
      </c>
      <c r="H372" s="36"/>
      <c r="I372" s="36"/>
      <c r="J372" s="39"/>
      <c r="K372" s="39"/>
      <c r="L372" s="40"/>
      <c r="M372" s="40"/>
      <c r="N372" s="20"/>
      <c r="O372" s="21"/>
    </row>
    <row r="373" spans="1:15" ht="28.5" customHeight="1" x14ac:dyDescent="0.3">
      <c r="A373" s="33">
        <f t="shared" si="13"/>
        <v>532</v>
      </c>
      <c r="B373" s="33"/>
      <c r="C373" s="33"/>
      <c r="D373" s="34"/>
      <c r="E373" s="35"/>
      <c r="F373" s="33"/>
      <c r="G373" s="19" t="str">
        <f t="shared" si="14"/>
        <v/>
      </c>
      <c r="H373" s="33"/>
      <c r="I373" s="33"/>
      <c r="J373" s="35"/>
      <c r="K373" s="35"/>
      <c r="L373" s="37"/>
      <c r="M373" s="37"/>
      <c r="N373" s="22"/>
      <c r="O373" s="23"/>
    </row>
    <row r="374" spans="1:15" ht="28.5" customHeight="1" x14ac:dyDescent="0.3">
      <c r="A374" s="36">
        <f t="shared" si="13"/>
        <v>533</v>
      </c>
      <c r="B374" s="36"/>
      <c r="C374" s="36"/>
      <c r="D374" s="38"/>
      <c r="E374" s="39"/>
      <c r="F374" s="36"/>
      <c r="G374" s="19" t="str">
        <f t="shared" si="14"/>
        <v/>
      </c>
      <c r="H374" s="36"/>
      <c r="I374" s="36"/>
      <c r="J374" s="39"/>
      <c r="K374" s="39"/>
      <c r="L374" s="40"/>
      <c r="M374" s="40"/>
      <c r="N374" s="20"/>
      <c r="O374" s="21"/>
    </row>
    <row r="375" spans="1:15" ht="28.5" customHeight="1" x14ac:dyDescent="0.3">
      <c r="A375" s="33">
        <f t="shared" si="13"/>
        <v>534</v>
      </c>
      <c r="B375" s="33"/>
      <c r="C375" s="33"/>
      <c r="D375" s="34"/>
      <c r="E375" s="35"/>
      <c r="F375" s="33"/>
      <c r="G375" s="19" t="str">
        <f t="shared" si="14"/>
        <v/>
      </c>
      <c r="H375" s="33"/>
      <c r="I375" s="33"/>
      <c r="J375" s="35"/>
      <c r="K375" s="35"/>
      <c r="L375" s="37"/>
      <c r="M375" s="37"/>
      <c r="N375" s="22"/>
      <c r="O375" s="23"/>
    </row>
    <row r="376" spans="1:15" ht="28.5" customHeight="1" x14ac:dyDescent="0.3">
      <c r="A376" s="36">
        <f t="shared" si="13"/>
        <v>535</v>
      </c>
      <c r="B376" s="36"/>
      <c r="C376" s="36"/>
      <c r="D376" s="38"/>
      <c r="E376" s="39"/>
      <c r="F376" s="36"/>
      <c r="G376" s="19" t="str">
        <f t="shared" si="14"/>
        <v/>
      </c>
      <c r="H376" s="36"/>
      <c r="I376" s="36"/>
      <c r="J376" s="39"/>
      <c r="K376" s="39"/>
      <c r="L376" s="40"/>
      <c r="M376" s="40"/>
      <c r="N376" s="20"/>
      <c r="O376" s="21"/>
    </row>
    <row r="377" spans="1:15" ht="28.5" customHeight="1" x14ac:dyDescent="0.3">
      <c r="A377" s="33">
        <f t="shared" si="13"/>
        <v>536</v>
      </c>
      <c r="B377" s="33"/>
      <c r="C377" s="33"/>
      <c r="D377" s="34"/>
      <c r="E377" s="35"/>
      <c r="F377" s="33"/>
      <c r="G377" s="19" t="str">
        <f t="shared" si="14"/>
        <v/>
      </c>
      <c r="H377" s="33"/>
      <c r="I377" s="33"/>
      <c r="J377" s="35"/>
      <c r="K377" s="35"/>
      <c r="L377" s="37"/>
      <c r="M377" s="37"/>
      <c r="N377" s="22"/>
      <c r="O377" s="23"/>
    </row>
    <row r="378" spans="1:15" ht="28.5" customHeight="1" x14ac:dyDescent="0.3">
      <c r="A378" s="36">
        <f t="shared" si="13"/>
        <v>537</v>
      </c>
      <c r="B378" s="36"/>
      <c r="C378" s="36"/>
      <c r="D378" s="38"/>
      <c r="E378" s="39"/>
      <c r="F378" s="36"/>
      <c r="G378" s="19" t="str">
        <f t="shared" si="14"/>
        <v/>
      </c>
      <c r="H378" s="36"/>
      <c r="I378" s="36"/>
      <c r="J378" s="39"/>
      <c r="K378" s="39"/>
      <c r="L378" s="40"/>
      <c r="M378" s="40"/>
      <c r="N378" s="20"/>
      <c r="O378" s="21"/>
    </row>
    <row r="379" spans="1:15" ht="28.5" customHeight="1" x14ac:dyDescent="0.3">
      <c r="A379" s="33">
        <f t="shared" si="13"/>
        <v>538</v>
      </c>
      <c r="B379" s="33"/>
      <c r="C379" s="33"/>
      <c r="D379" s="34"/>
      <c r="E379" s="35"/>
      <c r="F379" s="33"/>
      <c r="G379" s="19" t="str">
        <f t="shared" si="14"/>
        <v/>
      </c>
      <c r="H379" s="33"/>
      <c r="I379" s="33"/>
      <c r="J379" s="35"/>
      <c r="K379" s="35"/>
      <c r="L379" s="37"/>
      <c r="M379" s="37"/>
      <c r="N379" s="22"/>
      <c r="O379" s="23"/>
    </row>
    <row r="380" spans="1:15" ht="28.5" customHeight="1" x14ac:dyDescent="0.3">
      <c r="A380" s="36">
        <f t="shared" si="13"/>
        <v>539</v>
      </c>
      <c r="B380" s="36"/>
      <c r="C380" s="36"/>
      <c r="D380" s="38"/>
      <c r="E380" s="39"/>
      <c r="F380" s="36"/>
      <c r="G380" s="19" t="str">
        <f t="shared" si="14"/>
        <v/>
      </c>
      <c r="H380" s="36"/>
      <c r="I380" s="36"/>
      <c r="J380" s="39"/>
      <c r="K380" s="39"/>
      <c r="L380" s="40"/>
      <c r="M380" s="40"/>
      <c r="N380" s="20"/>
      <c r="O380" s="21"/>
    </row>
    <row r="381" spans="1:15" ht="28.5" customHeight="1" x14ac:dyDescent="0.3">
      <c r="A381" s="33">
        <f t="shared" si="13"/>
        <v>540</v>
      </c>
      <c r="B381" s="33"/>
      <c r="C381" s="33"/>
      <c r="D381" s="34"/>
      <c r="E381" s="35"/>
      <c r="F381" s="33"/>
      <c r="G381" s="19" t="str">
        <f t="shared" si="14"/>
        <v/>
      </c>
      <c r="H381" s="33"/>
      <c r="I381" s="33"/>
      <c r="J381" s="35"/>
      <c r="K381" s="35"/>
      <c r="L381" s="37"/>
      <c r="M381" s="37"/>
      <c r="N381" s="22"/>
      <c r="O381" s="23"/>
    </row>
    <row r="382" spans="1:15" ht="28.5" customHeight="1" x14ac:dyDescent="0.3">
      <c r="A382" s="36">
        <f t="shared" si="13"/>
        <v>541</v>
      </c>
      <c r="B382" s="36"/>
      <c r="C382" s="36"/>
      <c r="D382" s="38"/>
      <c r="E382" s="39"/>
      <c r="F382" s="36"/>
      <c r="G382" s="19" t="str">
        <f t="shared" si="14"/>
        <v/>
      </c>
      <c r="H382" s="36"/>
      <c r="I382" s="36"/>
      <c r="J382" s="39"/>
      <c r="K382" s="39"/>
      <c r="L382" s="40"/>
      <c r="M382" s="40"/>
      <c r="N382" s="20"/>
      <c r="O382" s="21"/>
    </row>
    <row r="383" spans="1:15" ht="28.5" customHeight="1" x14ac:dyDescent="0.3">
      <c r="A383" s="33">
        <f t="shared" si="13"/>
        <v>542</v>
      </c>
      <c r="B383" s="33"/>
      <c r="C383" s="33"/>
      <c r="D383" s="34"/>
      <c r="E383" s="35"/>
      <c r="F383" s="33"/>
      <c r="G383" s="19" t="str">
        <f t="shared" si="14"/>
        <v/>
      </c>
      <c r="H383" s="33"/>
      <c r="I383" s="33"/>
      <c r="J383" s="35"/>
      <c r="K383" s="35"/>
      <c r="L383" s="37"/>
      <c r="M383" s="37"/>
      <c r="N383" s="22"/>
      <c r="O383" s="23"/>
    </row>
    <row r="384" spans="1:15" ht="28.5" customHeight="1" x14ac:dyDescent="0.3">
      <c r="A384" s="36">
        <f t="shared" si="13"/>
        <v>543</v>
      </c>
      <c r="B384" s="36"/>
      <c r="C384" s="36"/>
      <c r="D384" s="38"/>
      <c r="E384" s="39"/>
      <c r="F384" s="36"/>
      <c r="G384" s="19" t="str">
        <f t="shared" si="14"/>
        <v/>
      </c>
      <c r="H384" s="36"/>
      <c r="I384" s="36"/>
      <c r="J384" s="39"/>
      <c r="K384" s="39"/>
      <c r="L384" s="40"/>
      <c r="M384" s="40"/>
      <c r="N384" s="20"/>
      <c r="O384" s="21"/>
    </row>
    <row r="385" spans="1:15" ht="28.5" customHeight="1" x14ac:dyDescent="0.3">
      <c r="A385" s="33">
        <f t="shared" si="13"/>
        <v>544</v>
      </c>
      <c r="B385" s="33"/>
      <c r="C385" s="33"/>
      <c r="D385" s="34"/>
      <c r="E385" s="35"/>
      <c r="F385" s="33"/>
      <c r="G385" s="19" t="str">
        <f t="shared" si="14"/>
        <v/>
      </c>
      <c r="H385" s="33"/>
      <c r="I385" s="33"/>
      <c r="J385" s="35"/>
      <c r="K385" s="35"/>
      <c r="L385" s="37"/>
      <c r="M385" s="37"/>
      <c r="N385" s="22"/>
      <c r="O385" s="23"/>
    </row>
    <row r="386" spans="1:15" ht="28.5" customHeight="1" x14ac:dyDescent="0.3">
      <c r="A386" s="36">
        <f t="shared" si="13"/>
        <v>545</v>
      </c>
      <c r="B386" s="36"/>
      <c r="C386" s="36"/>
      <c r="D386" s="38"/>
      <c r="E386" s="39"/>
      <c r="F386" s="36"/>
      <c r="G386" s="19" t="str">
        <f t="shared" si="14"/>
        <v/>
      </c>
      <c r="H386" s="36"/>
      <c r="I386" s="36"/>
      <c r="J386" s="39"/>
      <c r="K386" s="39"/>
      <c r="L386" s="40"/>
      <c r="M386" s="40"/>
      <c r="N386" s="20"/>
      <c r="O386" s="21"/>
    </row>
    <row r="387" spans="1:15" ht="28.5" customHeight="1" x14ac:dyDescent="0.3">
      <c r="A387" s="33">
        <f t="shared" si="13"/>
        <v>546</v>
      </c>
      <c r="B387" s="33"/>
      <c r="C387" s="33"/>
      <c r="D387" s="34"/>
      <c r="E387" s="35"/>
      <c r="F387" s="33"/>
      <c r="G387" s="19" t="str">
        <f t="shared" si="14"/>
        <v/>
      </c>
      <c r="H387" s="33"/>
      <c r="I387" s="33"/>
      <c r="J387" s="35"/>
      <c r="K387" s="35"/>
      <c r="L387" s="37"/>
      <c r="M387" s="37"/>
      <c r="N387" s="22"/>
      <c r="O387" s="23"/>
    </row>
    <row r="388" spans="1:15" ht="28.5" customHeight="1" x14ac:dyDescent="0.3">
      <c r="A388" s="36">
        <f t="shared" si="13"/>
        <v>547</v>
      </c>
      <c r="B388" s="36"/>
      <c r="C388" s="36"/>
      <c r="D388" s="38"/>
      <c r="E388" s="39"/>
      <c r="F388" s="36"/>
      <c r="G388" s="19" t="str">
        <f t="shared" si="14"/>
        <v/>
      </c>
      <c r="H388" s="36"/>
      <c r="I388" s="36"/>
      <c r="J388" s="39"/>
      <c r="K388" s="39"/>
      <c r="L388" s="40"/>
      <c r="M388" s="40"/>
      <c r="N388" s="20"/>
      <c r="O388" s="21"/>
    </row>
    <row r="389" spans="1:15" ht="28.5" customHeight="1" x14ac:dyDescent="0.3">
      <c r="A389" s="33">
        <f t="shared" si="13"/>
        <v>548</v>
      </c>
      <c r="B389" s="33"/>
      <c r="C389" s="33"/>
      <c r="D389" s="34"/>
      <c r="E389" s="35"/>
      <c r="F389" s="33"/>
      <c r="G389" s="19" t="str">
        <f t="shared" si="14"/>
        <v/>
      </c>
      <c r="H389" s="33"/>
      <c r="I389" s="33"/>
      <c r="J389" s="35"/>
      <c r="K389" s="35"/>
      <c r="L389" s="37"/>
      <c r="M389" s="37"/>
      <c r="N389" s="22"/>
      <c r="O389" s="23"/>
    </row>
    <row r="390" spans="1:15" ht="28.5" customHeight="1" x14ac:dyDescent="0.3">
      <c r="A390" s="36">
        <f t="shared" si="13"/>
        <v>549</v>
      </c>
      <c r="B390" s="36"/>
      <c r="C390" s="36"/>
      <c r="D390" s="38"/>
      <c r="E390" s="39"/>
      <c r="F390" s="36"/>
      <c r="G390" s="19" t="str">
        <f t="shared" si="14"/>
        <v/>
      </c>
      <c r="H390" s="36"/>
      <c r="I390" s="36"/>
      <c r="J390" s="39"/>
      <c r="K390" s="39"/>
      <c r="L390" s="40"/>
      <c r="M390" s="40"/>
      <c r="N390" s="20"/>
      <c r="O390" s="21"/>
    </row>
    <row r="391" spans="1:15" ht="28.5" customHeight="1" x14ac:dyDescent="0.3">
      <c r="A391" s="33">
        <f t="shared" si="13"/>
        <v>550</v>
      </c>
      <c r="B391" s="33"/>
      <c r="C391" s="33"/>
      <c r="D391" s="34"/>
      <c r="E391" s="35"/>
      <c r="F391" s="33"/>
      <c r="G391" s="19" t="str">
        <f t="shared" si="14"/>
        <v/>
      </c>
      <c r="H391" s="33"/>
      <c r="I391" s="33"/>
      <c r="J391" s="35"/>
      <c r="K391" s="35"/>
      <c r="L391" s="37"/>
      <c r="M391" s="37"/>
      <c r="N391" s="22"/>
      <c r="O391" s="23"/>
    </row>
    <row r="392" spans="1:15" ht="28.5" customHeight="1" x14ac:dyDescent="0.3">
      <c r="A392" s="36">
        <f t="shared" ref="A392:A455" si="15">A391+1</f>
        <v>551</v>
      </c>
      <c r="B392" s="36"/>
      <c r="C392" s="36"/>
      <c r="D392" s="38"/>
      <c r="E392" s="39"/>
      <c r="F392" s="36"/>
      <c r="G392" s="19" t="str">
        <f t="shared" si="14"/>
        <v/>
      </c>
      <c r="H392" s="36"/>
      <c r="I392" s="36"/>
      <c r="J392" s="39"/>
      <c r="K392" s="39"/>
      <c r="L392" s="40"/>
      <c r="M392" s="40"/>
      <c r="N392" s="20"/>
      <c r="O392" s="21"/>
    </row>
    <row r="393" spans="1:15" ht="28.5" customHeight="1" x14ac:dyDescent="0.3">
      <c r="A393" s="33">
        <f t="shared" si="15"/>
        <v>552</v>
      </c>
      <c r="B393" s="33"/>
      <c r="C393" s="33"/>
      <c r="D393" s="34"/>
      <c r="E393" s="35"/>
      <c r="F393" s="33"/>
      <c r="G393" s="19" t="str">
        <f t="shared" si="14"/>
        <v/>
      </c>
      <c r="H393" s="33"/>
      <c r="I393" s="33"/>
      <c r="J393" s="35"/>
      <c r="K393" s="35"/>
      <c r="L393" s="37"/>
      <c r="M393" s="37"/>
      <c r="N393" s="22"/>
      <c r="O393" s="23"/>
    </row>
    <row r="394" spans="1:15" ht="28.5" customHeight="1" x14ac:dyDescent="0.3">
      <c r="A394" s="36">
        <f t="shared" si="15"/>
        <v>553</v>
      </c>
      <c r="B394" s="36"/>
      <c r="C394" s="36"/>
      <c r="D394" s="38"/>
      <c r="E394" s="39"/>
      <c r="F394" s="36"/>
      <c r="G394" s="19" t="str">
        <f t="shared" si="14"/>
        <v/>
      </c>
      <c r="H394" s="36"/>
      <c r="I394" s="36"/>
      <c r="J394" s="39"/>
      <c r="K394" s="39"/>
      <c r="L394" s="40"/>
      <c r="M394" s="40"/>
      <c r="N394" s="20"/>
      <c r="O394" s="21"/>
    </row>
    <row r="395" spans="1:15" ht="28.5" customHeight="1" x14ac:dyDescent="0.3">
      <c r="A395" s="33">
        <f t="shared" si="15"/>
        <v>554</v>
      </c>
      <c r="B395" s="33"/>
      <c r="C395" s="33"/>
      <c r="D395" s="34"/>
      <c r="E395" s="35"/>
      <c r="F395" s="33"/>
      <c r="G395" s="19" t="str">
        <f t="shared" si="14"/>
        <v/>
      </c>
      <c r="H395" s="33"/>
      <c r="I395" s="33"/>
      <c r="J395" s="35"/>
      <c r="K395" s="35"/>
      <c r="L395" s="37"/>
      <c r="M395" s="37"/>
      <c r="N395" s="22"/>
      <c r="O395" s="23"/>
    </row>
    <row r="396" spans="1:15" ht="28.5" customHeight="1" x14ac:dyDescent="0.3">
      <c r="A396" s="36">
        <f t="shared" si="15"/>
        <v>555</v>
      </c>
      <c r="B396" s="36"/>
      <c r="C396" s="36"/>
      <c r="D396" s="38"/>
      <c r="E396" s="39"/>
      <c r="F396" s="36"/>
      <c r="G396" s="19" t="str">
        <f t="shared" si="14"/>
        <v/>
      </c>
      <c r="H396" s="36"/>
      <c r="I396" s="36"/>
      <c r="J396" s="39"/>
      <c r="K396" s="39"/>
      <c r="L396" s="40"/>
      <c r="M396" s="40"/>
      <c r="N396" s="20"/>
      <c r="O396" s="21"/>
    </row>
    <row r="397" spans="1:15" ht="28.5" customHeight="1" x14ac:dyDescent="0.3">
      <c r="A397" s="33">
        <f t="shared" si="15"/>
        <v>556</v>
      </c>
      <c r="B397" s="33"/>
      <c r="C397" s="33"/>
      <c r="D397" s="34"/>
      <c r="E397" s="35"/>
      <c r="F397" s="33"/>
      <c r="G397" s="19" t="str">
        <f t="shared" si="14"/>
        <v/>
      </c>
      <c r="H397" s="33"/>
      <c r="I397" s="33"/>
      <c r="J397" s="35"/>
      <c r="K397" s="35"/>
      <c r="L397" s="37"/>
      <c r="M397" s="37"/>
      <c r="N397" s="22"/>
      <c r="O397" s="23"/>
    </row>
    <row r="398" spans="1:15" ht="28.5" customHeight="1" x14ac:dyDescent="0.3">
      <c r="A398" s="36">
        <f t="shared" si="15"/>
        <v>557</v>
      </c>
      <c r="B398" s="36"/>
      <c r="C398" s="36"/>
      <c r="D398" s="38"/>
      <c r="E398" s="39"/>
      <c r="F398" s="36"/>
      <c r="G398" s="19" t="str">
        <f t="shared" si="14"/>
        <v/>
      </c>
      <c r="H398" s="36"/>
      <c r="I398" s="36"/>
      <c r="J398" s="39"/>
      <c r="K398" s="39"/>
      <c r="L398" s="40"/>
      <c r="M398" s="40"/>
      <c r="N398" s="20"/>
      <c r="O398" s="21"/>
    </row>
    <row r="399" spans="1:15" ht="28.5" customHeight="1" x14ac:dyDescent="0.3">
      <c r="A399" s="33">
        <f t="shared" si="15"/>
        <v>558</v>
      </c>
      <c r="B399" s="33"/>
      <c r="C399" s="33"/>
      <c r="D399" s="34"/>
      <c r="E399" s="35"/>
      <c r="F399" s="33"/>
      <c r="G399" s="19" t="str">
        <f t="shared" si="14"/>
        <v/>
      </c>
      <c r="H399" s="33"/>
      <c r="I399" s="33"/>
      <c r="J399" s="35"/>
      <c r="K399" s="35"/>
      <c r="L399" s="37"/>
      <c r="M399" s="37"/>
      <c r="N399" s="22"/>
      <c r="O399" s="23"/>
    </row>
    <row r="400" spans="1:15" ht="28.5" customHeight="1" x14ac:dyDescent="0.3">
      <c r="A400" s="36">
        <f t="shared" si="15"/>
        <v>559</v>
      </c>
      <c r="B400" s="36"/>
      <c r="C400" s="36"/>
      <c r="D400" s="38"/>
      <c r="E400" s="39"/>
      <c r="F400" s="36"/>
      <c r="G400" s="19" t="str">
        <f t="shared" si="14"/>
        <v/>
      </c>
      <c r="H400" s="36"/>
      <c r="I400" s="36"/>
      <c r="J400" s="39"/>
      <c r="K400" s="39"/>
      <c r="L400" s="40"/>
      <c r="M400" s="40"/>
      <c r="N400" s="20"/>
      <c r="O400" s="21"/>
    </row>
    <row r="401" spans="1:15" ht="28.5" customHeight="1" x14ac:dyDescent="0.3">
      <c r="A401" s="33">
        <f t="shared" si="15"/>
        <v>560</v>
      </c>
      <c r="B401" s="33"/>
      <c r="C401" s="33"/>
      <c r="D401" s="34"/>
      <c r="E401" s="35"/>
      <c r="F401" s="33"/>
      <c r="G401" s="19" t="str">
        <f t="shared" si="14"/>
        <v/>
      </c>
      <c r="H401" s="33"/>
      <c r="I401" s="33"/>
      <c r="J401" s="35"/>
      <c r="K401" s="35"/>
      <c r="L401" s="37"/>
      <c r="M401" s="37"/>
      <c r="N401" s="22"/>
      <c r="O401" s="23"/>
    </row>
    <row r="402" spans="1:15" ht="28.5" customHeight="1" x14ac:dyDescent="0.3">
      <c r="A402" s="36">
        <f t="shared" si="15"/>
        <v>561</v>
      </c>
      <c r="B402" s="36"/>
      <c r="C402" s="36"/>
      <c r="D402" s="38"/>
      <c r="E402" s="39"/>
      <c r="F402" s="36"/>
      <c r="G402" s="19" t="str">
        <f t="shared" si="14"/>
        <v/>
      </c>
      <c r="H402" s="36"/>
      <c r="I402" s="36"/>
      <c r="J402" s="39"/>
      <c r="K402" s="39"/>
      <c r="L402" s="40"/>
      <c r="M402" s="40"/>
      <c r="N402" s="20"/>
      <c r="O402" s="21"/>
    </row>
    <row r="403" spans="1:15" ht="28.5" customHeight="1" x14ac:dyDescent="0.3">
      <c r="A403" s="33">
        <f t="shared" si="15"/>
        <v>562</v>
      </c>
      <c r="B403" s="33"/>
      <c r="C403" s="33"/>
      <c r="D403" s="34"/>
      <c r="E403" s="35"/>
      <c r="F403" s="33"/>
      <c r="G403" s="19" t="str">
        <f t="shared" si="14"/>
        <v/>
      </c>
      <c r="H403" s="33"/>
      <c r="I403" s="33"/>
      <c r="J403" s="35"/>
      <c r="K403" s="35"/>
      <c r="L403" s="37"/>
      <c r="M403" s="37"/>
      <c r="N403" s="22"/>
      <c r="O403" s="23"/>
    </row>
    <row r="404" spans="1:15" ht="28.5" customHeight="1" x14ac:dyDescent="0.3">
      <c r="A404" s="36">
        <f t="shared" si="15"/>
        <v>563</v>
      </c>
      <c r="B404" s="36"/>
      <c r="C404" s="36"/>
      <c r="D404" s="38"/>
      <c r="E404" s="39"/>
      <c r="F404" s="36"/>
      <c r="G404" s="19" t="str">
        <f t="shared" si="14"/>
        <v/>
      </c>
      <c r="H404" s="36"/>
      <c r="I404" s="36"/>
      <c r="J404" s="39"/>
      <c r="K404" s="39"/>
      <c r="L404" s="40"/>
      <c r="M404" s="40"/>
      <c r="N404" s="20"/>
      <c r="O404" s="21"/>
    </row>
    <row r="405" spans="1:15" ht="28.5" customHeight="1" x14ac:dyDescent="0.3">
      <c r="A405" s="33">
        <f t="shared" si="15"/>
        <v>564</v>
      </c>
      <c r="B405" s="33"/>
      <c r="C405" s="33"/>
      <c r="D405" s="34"/>
      <c r="E405" s="35"/>
      <c r="F405" s="33"/>
      <c r="G405" s="19" t="str">
        <f t="shared" si="14"/>
        <v/>
      </c>
      <c r="H405" s="33"/>
      <c r="I405" s="33"/>
      <c r="J405" s="35"/>
      <c r="K405" s="35"/>
      <c r="L405" s="37"/>
      <c r="M405" s="37"/>
      <c r="N405" s="22"/>
      <c r="O405" s="23"/>
    </row>
    <row r="406" spans="1:15" ht="28.5" customHeight="1" x14ac:dyDescent="0.3">
      <c r="A406" s="36">
        <f t="shared" si="15"/>
        <v>565</v>
      </c>
      <c r="B406" s="36"/>
      <c r="C406" s="36"/>
      <c r="D406" s="38"/>
      <c r="E406" s="39"/>
      <c r="F406" s="36"/>
      <c r="G406" s="19" t="str">
        <f t="shared" si="14"/>
        <v/>
      </c>
      <c r="H406" s="36"/>
      <c r="I406" s="36"/>
      <c r="J406" s="39"/>
      <c r="K406" s="39"/>
      <c r="L406" s="40"/>
      <c r="M406" s="40"/>
      <c r="N406" s="20"/>
      <c r="O406" s="21"/>
    </row>
    <row r="407" spans="1:15" ht="28.5" customHeight="1" x14ac:dyDescent="0.3">
      <c r="A407" s="33">
        <f t="shared" si="15"/>
        <v>566</v>
      </c>
      <c r="B407" s="33"/>
      <c r="C407" s="33"/>
      <c r="D407" s="34"/>
      <c r="E407" s="35"/>
      <c r="F407" s="33"/>
      <c r="G407" s="19" t="str">
        <f t="shared" si="14"/>
        <v/>
      </c>
      <c r="H407" s="33"/>
      <c r="I407" s="33"/>
      <c r="J407" s="35"/>
      <c r="K407" s="35"/>
      <c r="L407" s="37"/>
      <c r="M407" s="37"/>
      <c r="N407" s="22"/>
      <c r="O407" s="23"/>
    </row>
    <row r="408" spans="1:15" ht="28.5" customHeight="1" x14ac:dyDescent="0.3">
      <c r="A408" s="36">
        <f t="shared" si="15"/>
        <v>567</v>
      </c>
      <c r="B408" s="36"/>
      <c r="C408" s="36"/>
      <c r="D408" s="38"/>
      <c r="E408" s="39"/>
      <c r="F408" s="36"/>
      <c r="G408" s="19" t="str">
        <f t="shared" si="14"/>
        <v/>
      </c>
      <c r="H408" s="36"/>
      <c r="I408" s="36"/>
      <c r="J408" s="39"/>
      <c r="K408" s="39"/>
      <c r="L408" s="40"/>
      <c r="M408" s="40"/>
      <c r="N408" s="20"/>
      <c r="O408" s="21"/>
    </row>
    <row r="409" spans="1:15" ht="28.5" customHeight="1" x14ac:dyDescent="0.3">
      <c r="A409" s="33">
        <f t="shared" si="15"/>
        <v>568</v>
      </c>
      <c r="B409" s="33"/>
      <c r="C409" s="33"/>
      <c r="D409" s="34"/>
      <c r="E409" s="35"/>
      <c r="F409" s="33"/>
      <c r="G409" s="19" t="str">
        <f t="shared" si="14"/>
        <v/>
      </c>
      <c r="H409" s="33"/>
      <c r="I409" s="33"/>
      <c r="J409" s="35"/>
      <c r="K409" s="35"/>
      <c r="L409" s="37"/>
      <c r="M409" s="37"/>
      <c r="N409" s="22"/>
      <c r="O409" s="23"/>
    </row>
    <row r="410" spans="1:15" ht="28.5" customHeight="1" x14ac:dyDescent="0.3">
      <c r="A410" s="36">
        <f t="shared" si="15"/>
        <v>569</v>
      </c>
      <c r="B410" s="36"/>
      <c r="C410" s="36"/>
      <c r="D410" s="38"/>
      <c r="E410" s="39"/>
      <c r="F410" s="36"/>
      <c r="G410" s="19" t="str">
        <f t="shared" ref="G410:G472" si="16">IF(H410,H410-I410,"")</f>
        <v/>
      </c>
      <c r="H410" s="36"/>
      <c r="I410" s="36"/>
      <c r="J410" s="39"/>
      <c r="K410" s="39"/>
      <c r="L410" s="40"/>
      <c r="M410" s="40"/>
      <c r="N410" s="20"/>
      <c r="O410" s="21"/>
    </row>
    <row r="411" spans="1:15" ht="28.5" customHeight="1" x14ac:dyDescent="0.3">
      <c r="A411" s="33">
        <f t="shared" si="15"/>
        <v>570</v>
      </c>
      <c r="B411" s="33"/>
      <c r="C411" s="33"/>
      <c r="D411" s="34"/>
      <c r="E411" s="35"/>
      <c r="F411" s="33"/>
      <c r="G411" s="19" t="str">
        <f t="shared" si="16"/>
        <v/>
      </c>
      <c r="H411" s="33"/>
      <c r="I411" s="33"/>
      <c r="J411" s="35"/>
      <c r="K411" s="35"/>
      <c r="L411" s="37"/>
      <c r="M411" s="37"/>
      <c r="N411" s="22"/>
      <c r="O411" s="23"/>
    </row>
    <row r="412" spans="1:15" ht="28.5" customHeight="1" x14ac:dyDescent="0.3">
      <c r="A412" s="36">
        <f t="shared" si="15"/>
        <v>571</v>
      </c>
      <c r="B412" s="36"/>
      <c r="C412" s="36"/>
      <c r="D412" s="38"/>
      <c r="E412" s="39"/>
      <c r="F412" s="36"/>
      <c r="G412" s="19" t="str">
        <f t="shared" si="16"/>
        <v/>
      </c>
      <c r="H412" s="36"/>
      <c r="I412" s="36"/>
      <c r="J412" s="39"/>
      <c r="K412" s="39"/>
      <c r="L412" s="40"/>
      <c r="M412" s="40"/>
      <c r="N412" s="20"/>
      <c r="O412" s="21"/>
    </row>
    <row r="413" spans="1:15" ht="28.5" customHeight="1" x14ac:dyDescent="0.3">
      <c r="A413" s="33">
        <f t="shared" si="15"/>
        <v>572</v>
      </c>
      <c r="B413" s="33"/>
      <c r="C413" s="33"/>
      <c r="D413" s="34"/>
      <c r="E413" s="35"/>
      <c r="F413" s="33"/>
      <c r="G413" s="19" t="str">
        <f t="shared" si="16"/>
        <v/>
      </c>
      <c r="H413" s="33"/>
      <c r="I413" s="33"/>
      <c r="J413" s="35"/>
      <c r="K413" s="35"/>
      <c r="L413" s="37"/>
      <c r="M413" s="37"/>
      <c r="N413" s="22"/>
      <c r="O413" s="23"/>
    </row>
    <row r="414" spans="1:15" ht="28.5" customHeight="1" x14ac:dyDescent="0.3">
      <c r="A414" s="36">
        <f t="shared" si="15"/>
        <v>573</v>
      </c>
      <c r="B414" s="36"/>
      <c r="C414" s="36"/>
      <c r="D414" s="38"/>
      <c r="E414" s="39"/>
      <c r="F414" s="36"/>
      <c r="G414" s="19" t="str">
        <f t="shared" si="16"/>
        <v/>
      </c>
      <c r="H414" s="36"/>
      <c r="I414" s="36"/>
      <c r="J414" s="39"/>
      <c r="K414" s="39"/>
      <c r="L414" s="40"/>
      <c r="M414" s="40"/>
      <c r="N414" s="20"/>
      <c r="O414" s="21"/>
    </row>
    <row r="415" spans="1:15" ht="28.5" customHeight="1" x14ac:dyDescent="0.3">
      <c r="A415" s="33">
        <f t="shared" si="15"/>
        <v>574</v>
      </c>
      <c r="B415" s="33"/>
      <c r="C415" s="33"/>
      <c r="D415" s="34"/>
      <c r="E415" s="35"/>
      <c r="F415" s="33"/>
      <c r="G415" s="19" t="str">
        <f t="shared" si="16"/>
        <v/>
      </c>
      <c r="H415" s="33"/>
      <c r="I415" s="33"/>
      <c r="J415" s="35"/>
      <c r="K415" s="35"/>
      <c r="L415" s="37"/>
      <c r="M415" s="37"/>
      <c r="N415" s="22"/>
      <c r="O415" s="23"/>
    </row>
    <row r="416" spans="1:15" ht="28.5" customHeight="1" x14ac:dyDescent="0.3">
      <c r="A416" s="36">
        <f t="shared" si="15"/>
        <v>575</v>
      </c>
      <c r="B416" s="36"/>
      <c r="C416" s="36"/>
      <c r="D416" s="38"/>
      <c r="E416" s="39"/>
      <c r="F416" s="36"/>
      <c r="G416" s="19" t="str">
        <f t="shared" si="16"/>
        <v/>
      </c>
      <c r="H416" s="36"/>
      <c r="I416" s="36"/>
      <c r="J416" s="39"/>
      <c r="K416" s="39"/>
      <c r="L416" s="40"/>
      <c r="M416" s="40"/>
      <c r="N416" s="20"/>
      <c r="O416" s="21"/>
    </row>
    <row r="417" spans="1:15" ht="28.5" customHeight="1" x14ac:dyDescent="0.3">
      <c r="A417" s="33">
        <f t="shared" si="15"/>
        <v>576</v>
      </c>
      <c r="B417" s="33"/>
      <c r="C417" s="33"/>
      <c r="D417" s="34"/>
      <c r="E417" s="35"/>
      <c r="F417" s="33"/>
      <c r="G417" s="19" t="str">
        <f t="shared" si="16"/>
        <v/>
      </c>
      <c r="H417" s="33"/>
      <c r="I417" s="33"/>
      <c r="J417" s="35"/>
      <c r="K417" s="35"/>
      <c r="L417" s="37"/>
      <c r="M417" s="37"/>
      <c r="N417" s="22"/>
      <c r="O417" s="23"/>
    </row>
    <row r="418" spans="1:15" ht="28.5" customHeight="1" x14ac:dyDescent="0.3">
      <c r="A418" s="36">
        <f t="shared" si="15"/>
        <v>577</v>
      </c>
      <c r="B418" s="36"/>
      <c r="C418" s="36"/>
      <c r="D418" s="38"/>
      <c r="E418" s="39"/>
      <c r="F418" s="36"/>
      <c r="G418" s="19" t="str">
        <f t="shared" si="16"/>
        <v/>
      </c>
      <c r="H418" s="36"/>
      <c r="I418" s="36"/>
      <c r="J418" s="39"/>
      <c r="K418" s="39"/>
      <c r="L418" s="40"/>
      <c r="M418" s="40"/>
      <c r="N418" s="20"/>
      <c r="O418" s="21"/>
    </row>
    <row r="419" spans="1:15" ht="28.5" customHeight="1" x14ac:dyDescent="0.3">
      <c r="A419" s="33">
        <f t="shared" si="15"/>
        <v>578</v>
      </c>
      <c r="B419" s="33"/>
      <c r="C419" s="33"/>
      <c r="D419" s="34"/>
      <c r="E419" s="35"/>
      <c r="F419" s="33"/>
      <c r="G419" s="19" t="str">
        <f t="shared" si="16"/>
        <v/>
      </c>
      <c r="H419" s="33"/>
      <c r="I419" s="33"/>
      <c r="J419" s="35"/>
      <c r="K419" s="35"/>
      <c r="L419" s="37"/>
      <c r="M419" s="37"/>
      <c r="N419" s="22"/>
      <c r="O419" s="23"/>
    </row>
    <row r="420" spans="1:15" ht="28.5" customHeight="1" x14ac:dyDescent="0.3">
      <c r="A420" s="36">
        <f t="shared" si="15"/>
        <v>579</v>
      </c>
      <c r="B420" s="36"/>
      <c r="C420" s="36"/>
      <c r="D420" s="38"/>
      <c r="E420" s="39"/>
      <c r="F420" s="36"/>
      <c r="G420" s="19" t="str">
        <f t="shared" si="16"/>
        <v/>
      </c>
      <c r="H420" s="36"/>
      <c r="I420" s="36"/>
      <c r="J420" s="39"/>
      <c r="K420" s="39"/>
      <c r="L420" s="40"/>
      <c r="M420" s="40"/>
      <c r="N420" s="20"/>
      <c r="O420" s="21"/>
    </row>
    <row r="421" spans="1:15" ht="28.5" customHeight="1" x14ac:dyDescent="0.3">
      <c r="A421" s="33">
        <f t="shared" si="15"/>
        <v>580</v>
      </c>
      <c r="B421" s="33"/>
      <c r="C421" s="33"/>
      <c r="D421" s="34"/>
      <c r="E421" s="35"/>
      <c r="F421" s="33"/>
      <c r="G421" s="19" t="str">
        <f t="shared" si="16"/>
        <v/>
      </c>
      <c r="H421" s="33"/>
      <c r="I421" s="33"/>
      <c r="J421" s="35"/>
      <c r="K421" s="35"/>
      <c r="L421" s="37"/>
      <c r="M421" s="37"/>
      <c r="N421" s="22"/>
      <c r="O421" s="23"/>
    </row>
    <row r="422" spans="1:15" ht="28.5" customHeight="1" x14ac:dyDescent="0.3">
      <c r="A422" s="36">
        <f t="shared" si="15"/>
        <v>581</v>
      </c>
      <c r="B422" s="36"/>
      <c r="C422" s="36"/>
      <c r="D422" s="38"/>
      <c r="E422" s="39"/>
      <c r="F422" s="36"/>
      <c r="G422" s="19" t="str">
        <f t="shared" si="16"/>
        <v/>
      </c>
      <c r="H422" s="36"/>
      <c r="I422" s="36"/>
      <c r="J422" s="39"/>
      <c r="K422" s="39"/>
      <c r="L422" s="40"/>
      <c r="M422" s="40"/>
      <c r="N422" s="20"/>
      <c r="O422" s="21"/>
    </row>
    <row r="423" spans="1:15" ht="28.5" customHeight="1" x14ac:dyDescent="0.3">
      <c r="A423" s="33">
        <f t="shared" si="15"/>
        <v>582</v>
      </c>
      <c r="B423" s="33"/>
      <c r="C423" s="33"/>
      <c r="D423" s="34"/>
      <c r="E423" s="35"/>
      <c r="F423" s="33"/>
      <c r="G423" s="19" t="str">
        <f t="shared" si="16"/>
        <v/>
      </c>
      <c r="H423" s="33"/>
      <c r="I423" s="33"/>
      <c r="J423" s="35"/>
      <c r="K423" s="35"/>
      <c r="L423" s="37"/>
      <c r="M423" s="37"/>
      <c r="N423" s="22"/>
      <c r="O423" s="23"/>
    </row>
    <row r="424" spans="1:15" ht="28.5" customHeight="1" x14ac:dyDescent="0.3">
      <c r="A424" s="36">
        <f t="shared" si="15"/>
        <v>583</v>
      </c>
      <c r="B424" s="36"/>
      <c r="C424" s="36"/>
      <c r="D424" s="38"/>
      <c r="E424" s="39"/>
      <c r="F424" s="36"/>
      <c r="G424" s="19" t="str">
        <f t="shared" si="16"/>
        <v/>
      </c>
      <c r="H424" s="36"/>
      <c r="I424" s="36"/>
      <c r="J424" s="39"/>
      <c r="K424" s="39"/>
      <c r="L424" s="40"/>
      <c r="M424" s="40"/>
      <c r="N424" s="20"/>
      <c r="O424" s="21"/>
    </row>
    <row r="425" spans="1:15" ht="28.5" customHeight="1" x14ac:dyDescent="0.3">
      <c r="A425" s="33">
        <f t="shared" si="15"/>
        <v>584</v>
      </c>
      <c r="B425" s="33"/>
      <c r="C425" s="33"/>
      <c r="D425" s="34"/>
      <c r="E425" s="35"/>
      <c r="F425" s="33"/>
      <c r="G425" s="19" t="str">
        <f t="shared" si="16"/>
        <v/>
      </c>
      <c r="H425" s="33"/>
      <c r="I425" s="33"/>
      <c r="J425" s="35"/>
      <c r="K425" s="35"/>
      <c r="L425" s="37"/>
      <c r="M425" s="37"/>
      <c r="N425" s="22"/>
      <c r="O425" s="23"/>
    </row>
    <row r="426" spans="1:15" ht="28.5" customHeight="1" x14ac:dyDescent="0.3">
      <c r="A426" s="36">
        <f t="shared" si="15"/>
        <v>585</v>
      </c>
      <c r="B426" s="36"/>
      <c r="C426" s="36"/>
      <c r="D426" s="38"/>
      <c r="E426" s="39"/>
      <c r="F426" s="36"/>
      <c r="G426" s="19" t="str">
        <f t="shared" si="16"/>
        <v/>
      </c>
      <c r="H426" s="36"/>
      <c r="I426" s="36"/>
      <c r="J426" s="39"/>
      <c r="K426" s="39"/>
      <c r="L426" s="40"/>
      <c r="M426" s="40"/>
      <c r="N426" s="20"/>
      <c r="O426" s="21"/>
    </row>
    <row r="427" spans="1:15" ht="28.5" customHeight="1" x14ac:dyDescent="0.3">
      <c r="A427" s="33">
        <f t="shared" si="15"/>
        <v>586</v>
      </c>
      <c r="B427" s="33"/>
      <c r="C427" s="33"/>
      <c r="D427" s="34"/>
      <c r="E427" s="35"/>
      <c r="F427" s="33"/>
      <c r="G427" s="19" t="str">
        <f t="shared" si="16"/>
        <v/>
      </c>
      <c r="H427" s="33"/>
      <c r="I427" s="33"/>
      <c r="J427" s="35"/>
      <c r="K427" s="35"/>
      <c r="L427" s="37"/>
      <c r="M427" s="37"/>
      <c r="N427" s="22"/>
      <c r="O427" s="23"/>
    </row>
    <row r="428" spans="1:15" ht="28.5" customHeight="1" x14ac:dyDescent="0.3">
      <c r="A428" s="36">
        <f t="shared" si="15"/>
        <v>587</v>
      </c>
      <c r="B428" s="36"/>
      <c r="C428" s="36"/>
      <c r="D428" s="38"/>
      <c r="E428" s="39"/>
      <c r="F428" s="36"/>
      <c r="G428" s="19" t="str">
        <f t="shared" si="16"/>
        <v/>
      </c>
      <c r="H428" s="36"/>
      <c r="I428" s="36"/>
      <c r="J428" s="39"/>
      <c r="K428" s="39"/>
      <c r="L428" s="40"/>
      <c r="M428" s="40"/>
      <c r="N428" s="20"/>
      <c r="O428" s="21"/>
    </row>
    <row r="429" spans="1:15" ht="28.5" customHeight="1" x14ac:dyDescent="0.3">
      <c r="A429" s="33">
        <f t="shared" si="15"/>
        <v>588</v>
      </c>
      <c r="B429" s="33"/>
      <c r="C429" s="33"/>
      <c r="D429" s="34"/>
      <c r="E429" s="35"/>
      <c r="F429" s="33"/>
      <c r="G429" s="19" t="str">
        <f t="shared" si="16"/>
        <v/>
      </c>
      <c r="H429" s="33"/>
      <c r="I429" s="33"/>
      <c r="J429" s="35"/>
      <c r="K429" s="35"/>
      <c r="L429" s="37"/>
      <c r="M429" s="37"/>
      <c r="N429" s="22"/>
      <c r="O429" s="23"/>
    </row>
    <row r="430" spans="1:15" ht="28.5" customHeight="1" x14ac:dyDescent="0.3">
      <c r="A430" s="36">
        <f t="shared" si="15"/>
        <v>589</v>
      </c>
      <c r="B430" s="36"/>
      <c r="C430" s="36"/>
      <c r="D430" s="38"/>
      <c r="E430" s="39"/>
      <c r="F430" s="36"/>
      <c r="G430" s="19" t="str">
        <f t="shared" si="16"/>
        <v/>
      </c>
      <c r="H430" s="36"/>
      <c r="I430" s="36"/>
      <c r="J430" s="39"/>
      <c r="K430" s="39"/>
      <c r="L430" s="40"/>
      <c r="M430" s="40"/>
      <c r="N430" s="20"/>
      <c r="O430" s="21"/>
    </row>
    <row r="431" spans="1:15" ht="28.5" customHeight="1" x14ac:dyDescent="0.3">
      <c r="A431" s="33">
        <f t="shared" si="15"/>
        <v>590</v>
      </c>
      <c r="B431" s="33"/>
      <c r="C431" s="33"/>
      <c r="D431" s="34"/>
      <c r="E431" s="35"/>
      <c r="F431" s="33"/>
      <c r="G431" s="19" t="str">
        <f t="shared" si="16"/>
        <v/>
      </c>
      <c r="H431" s="33"/>
      <c r="I431" s="33"/>
      <c r="J431" s="35"/>
      <c r="K431" s="35"/>
      <c r="L431" s="37"/>
      <c r="M431" s="37"/>
      <c r="N431" s="22"/>
      <c r="O431" s="23"/>
    </row>
    <row r="432" spans="1:15" ht="28.5" customHeight="1" x14ac:dyDescent="0.3">
      <c r="A432" s="36">
        <f t="shared" si="15"/>
        <v>591</v>
      </c>
      <c r="B432" s="36"/>
      <c r="C432" s="36"/>
      <c r="D432" s="38"/>
      <c r="E432" s="39"/>
      <c r="F432" s="36"/>
      <c r="G432" s="19" t="str">
        <f t="shared" si="16"/>
        <v/>
      </c>
      <c r="H432" s="36"/>
      <c r="I432" s="36"/>
      <c r="J432" s="39"/>
      <c r="K432" s="39"/>
      <c r="L432" s="40"/>
      <c r="M432" s="40"/>
      <c r="N432" s="20"/>
      <c r="O432" s="21"/>
    </row>
    <row r="433" spans="1:15" ht="28.5" customHeight="1" x14ac:dyDescent="0.3">
      <c r="A433" s="33">
        <f t="shared" si="15"/>
        <v>592</v>
      </c>
      <c r="B433" s="33"/>
      <c r="C433" s="33"/>
      <c r="D433" s="34"/>
      <c r="E433" s="35"/>
      <c r="F433" s="33"/>
      <c r="G433" s="19" t="str">
        <f t="shared" si="16"/>
        <v/>
      </c>
      <c r="H433" s="33"/>
      <c r="I433" s="33"/>
      <c r="J433" s="35"/>
      <c r="K433" s="35"/>
      <c r="L433" s="37"/>
      <c r="M433" s="37"/>
      <c r="N433" s="22"/>
      <c r="O433" s="23"/>
    </row>
    <row r="434" spans="1:15" ht="28.5" customHeight="1" x14ac:dyDescent="0.3">
      <c r="A434" s="36">
        <f t="shared" si="15"/>
        <v>593</v>
      </c>
      <c r="B434" s="36"/>
      <c r="C434" s="36"/>
      <c r="D434" s="38"/>
      <c r="E434" s="39"/>
      <c r="F434" s="36"/>
      <c r="G434" s="19" t="str">
        <f t="shared" si="16"/>
        <v/>
      </c>
      <c r="H434" s="36"/>
      <c r="I434" s="36"/>
      <c r="J434" s="39"/>
      <c r="K434" s="39"/>
      <c r="L434" s="40"/>
      <c r="M434" s="40"/>
      <c r="N434" s="20"/>
      <c r="O434" s="21"/>
    </row>
    <row r="435" spans="1:15" ht="28.5" customHeight="1" x14ac:dyDescent="0.3">
      <c r="A435" s="33">
        <f t="shared" si="15"/>
        <v>594</v>
      </c>
      <c r="B435" s="33"/>
      <c r="C435" s="33"/>
      <c r="D435" s="34"/>
      <c r="E435" s="35"/>
      <c r="F435" s="33"/>
      <c r="G435" s="19" t="str">
        <f t="shared" si="16"/>
        <v/>
      </c>
      <c r="H435" s="33"/>
      <c r="I435" s="33"/>
      <c r="J435" s="35"/>
      <c r="K435" s="35"/>
      <c r="L435" s="37"/>
      <c r="M435" s="37"/>
      <c r="N435" s="22"/>
      <c r="O435" s="23"/>
    </row>
    <row r="436" spans="1:15" ht="28.5" customHeight="1" x14ac:dyDescent="0.3">
      <c r="A436" s="36">
        <f t="shared" si="15"/>
        <v>595</v>
      </c>
      <c r="B436" s="36"/>
      <c r="C436" s="36"/>
      <c r="D436" s="38"/>
      <c r="E436" s="39"/>
      <c r="F436" s="36"/>
      <c r="G436" s="19" t="str">
        <f t="shared" si="16"/>
        <v/>
      </c>
      <c r="H436" s="36"/>
      <c r="I436" s="36"/>
      <c r="J436" s="39"/>
      <c r="K436" s="39"/>
      <c r="L436" s="40"/>
      <c r="M436" s="40"/>
      <c r="N436" s="20"/>
      <c r="O436" s="21"/>
    </row>
    <row r="437" spans="1:15" ht="28.5" customHeight="1" x14ac:dyDescent="0.3">
      <c r="A437" s="33">
        <f t="shared" si="15"/>
        <v>596</v>
      </c>
      <c r="B437" s="33"/>
      <c r="C437" s="33"/>
      <c r="D437" s="34"/>
      <c r="E437" s="35"/>
      <c r="F437" s="33"/>
      <c r="G437" s="19" t="str">
        <f t="shared" si="16"/>
        <v/>
      </c>
      <c r="H437" s="33"/>
      <c r="I437" s="33"/>
      <c r="J437" s="35"/>
      <c r="K437" s="35"/>
      <c r="L437" s="37"/>
      <c r="M437" s="37"/>
      <c r="N437" s="22"/>
      <c r="O437" s="23"/>
    </row>
    <row r="438" spans="1:15" ht="28.5" customHeight="1" x14ac:dyDescent="0.3">
      <c r="A438" s="36">
        <f t="shared" si="15"/>
        <v>597</v>
      </c>
      <c r="B438" s="36"/>
      <c r="C438" s="36"/>
      <c r="D438" s="38"/>
      <c r="E438" s="39"/>
      <c r="F438" s="36"/>
      <c r="G438" s="19" t="str">
        <f t="shared" si="16"/>
        <v/>
      </c>
      <c r="H438" s="36"/>
      <c r="I438" s="36"/>
      <c r="J438" s="39"/>
      <c r="K438" s="39"/>
      <c r="L438" s="40"/>
      <c r="M438" s="40"/>
      <c r="N438" s="20"/>
      <c r="O438" s="21"/>
    </row>
    <row r="439" spans="1:15" ht="28.5" customHeight="1" x14ac:dyDescent="0.3">
      <c r="A439" s="33">
        <f t="shared" si="15"/>
        <v>598</v>
      </c>
      <c r="B439" s="33"/>
      <c r="C439" s="33"/>
      <c r="D439" s="34"/>
      <c r="E439" s="35"/>
      <c r="F439" s="33"/>
      <c r="G439" s="19" t="str">
        <f t="shared" si="16"/>
        <v/>
      </c>
      <c r="H439" s="33"/>
      <c r="I439" s="33"/>
      <c r="J439" s="35"/>
      <c r="K439" s="35"/>
      <c r="L439" s="37"/>
      <c r="M439" s="37"/>
      <c r="N439" s="22"/>
      <c r="O439" s="23"/>
    </row>
    <row r="440" spans="1:15" ht="28.5" customHeight="1" x14ac:dyDescent="0.3">
      <c r="A440" s="36">
        <f t="shared" si="15"/>
        <v>599</v>
      </c>
      <c r="B440" s="36"/>
      <c r="C440" s="36"/>
      <c r="D440" s="38"/>
      <c r="E440" s="39"/>
      <c r="F440" s="36"/>
      <c r="G440" s="19" t="str">
        <f t="shared" si="16"/>
        <v/>
      </c>
      <c r="H440" s="36"/>
      <c r="I440" s="36"/>
      <c r="J440" s="39"/>
      <c r="K440" s="39"/>
      <c r="L440" s="40"/>
      <c r="M440" s="40"/>
      <c r="N440" s="20"/>
      <c r="O440" s="21"/>
    </row>
    <row r="441" spans="1:15" ht="28.5" customHeight="1" x14ac:dyDescent="0.3">
      <c r="A441" s="33">
        <f t="shared" si="15"/>
        <v>600</v>
      </c>
      <c r="B441" s="33"/>
      <c r="C441" s="33"/>
      <c r="D441" s="34"/>
      <c r="E441" s="35"/>
      <c r="F441" s="33"/>
      <c r="G441" s="19" t="str">
        <f t="shared" si="16"/>
        <v/>
      </c>
      <c r="H441" s="33"/>
      <c r="I441" s="33"/>
      <c r="J441" s="35"/>
      <c r="K441" s="35"/>
      <c r="L441" s="37"/>
      <c r="M441" s="37"/>
      <c r="N441" s="22"/>
      <c r="O441" s="23"/>
    </row>
    <row r="442" spans="1:15" ht="28.5" customHeight="1" x14ac:dyDescent="0.3">
      <c r="A442" s="36">
        <f t="shared" si="15"/>
        <v>601</v>
      </c>
      <c r="B442" s="36"/>
      <c r="C442" s="36"/>
      <c r="D442" s="38"/>
      <c r="E442" s="39"/>
      <c r="F442" s="36"/>
      <c r="G442" s="19" t="str">
        <f t="shared" si="16"/>
        <v/>
      </c>
      <c r="H442" s="36"/>
      <c r="I442" s="36"/>
      <c r="J442" s="39"/>
      <c r="K442" s="39"/>
      <c r="L442" s="40"/>
      <c r="M442" s="40"/>
      <c r="N442" s="20"/>
      <c r="O442" s="21"/>
    </row>
    <row r="443" spans="1:15" ht="28.5" customHeight="1" x14ac:dyDescent="0.3">
      <c r="A443" s="33">
        <f t="shared" si="15"/>
        <v>602</v>
      </c>
      <c r="B443" s="33"/>
      <c r="C443" s="33"/>
      <c r="D443" s="34"/>
      <c r="E443" s="35"/>
      <c r="F443" s="33"/>
      <c r="G443" s="19" t="str">
        <f t="shared" si="16"/>
        <v/>
      </c>
      <c r="H443" s="33"/>
      <c r="I443" s="33"/>
      <c r="J443" s="35"/>
      <c r="K443" s="35"/>
      <c r="L443" s="37"/>
      <c r="M443" s="37"/>
      <c r="N443" s="22"/>
      <c r="O443" s="23"/>
    </row>
    <row r="444" spans="1:15" ht="28.5" customHeight="1" x14ac:dyDescent="0.3">
      <c r="A444" s="36">
        <f t="shared" si="15"/>
        <v>603</v>
      </c>
      <c r="B444" s="36"/>
      <c r="C444" s="36"/>
      <c r="D444" s="38"/>
      <c r="E444" s="39"/>
      <c r="F444" s="36"/>
      <c r="G444" s="19" t="str">
        <f t="shared" si="16"/>
        <v/>
      </c>
      <c r="H444" s="36"/>
      <c r="I444" s="36"/>
      <c r="J444" s="39"/>
      <c r="K444" s="39"/>
      <c r="L444" s="40"/>
      <c r="M444" s="40"/>
      <c r="N444" s="20"/>
      <c r="O444" s="21"/>
    </row>
    <row r="445" spans="1:15" ht="28.5" customHeight="1" x14ac:dyDescent="0.3">
      <c r="A445" s="33">
        <f t="shared" si="15"/>
        <v>604</v>
      </c>
      <c r="B445" s="33"/>
      <c r="C445" s="33"/>
      <c r="D445" s="34"/>
      <c r="E445" s="35"/>
      <c r="F445" s="33"/>
      <c r="G445" s="19" t="str">
        <f t="shared" si="16"/>
        <v/>
      </c>
      <c r="H445" s="33"/>
      <c r="I445" s="33"/>
      <c r="J445" s="35"/>
      <c r="K445" s="35"/>
      <c r="L445" s="37"/>
      <c r="M445" s="37"/>
      <c r="N445" s="22"/>
      <c r="O445" s="23"/>
    </row>
    <row r="446" spans="1:15" ht="28.5" customHeight="1" x14ac:dyDescent="0.3">
      <c r="A446" s="36">
        <f t="shared" si="15"/>
        <v>605</v>
      </c>
      <c r="B446" s="36"/>
      <c r="C446" s="36"/>
      <c r="D446" s="38"/>
      <c r="E446" s="39"/>
      <c r="F446" s="36"/>
      <c r="G446" s="19" t="str">
        <f t="shared" si="16"/>
        <v/>
      </c>
      <c r="H446" s="36"/>
      <c r="I446" s="36"/>
      <c r="J446" s="39"/>
      <c r="K446" s="39"/>
      <c r="L446" s="40"/>
      <c r="M446" s="40"/>
      <c r="N446" s="20"/>
      <c r="O446" s="21"/>
    </row>
    <row r="447" spans="1:15" ht="28.5" customHeight="1" x14ac:dyDescent="0.3">
      <c r="A447" s="33">
        <f t="shared" si="15"/>
        <v>606</v>
      </c>
      <c r="B447" s="33"/>
      <c r="C447" s="33"/>
      <c r="D447" s="34"/>
      <c r="E447" s="35"/>
      <c r="F447" s="33"/>
      <c r="G447" s="19" t="str">
        <f t="shared" si="16"/>
        <v/>
      </c>
      <c r="H447" s="33"/>
      <c r="I447" s="33"/>
      <c r="J447" s="35"/>
      <c r="K447" s="35"/>
      <c r="L447" s="37"/>
      <c r="M447" s="37"/>
      <c r="N447" s="22"/>
      <c r="O447" s="23"/>
    </row>
    <row r="448" spans="1:15" ht="28.5" customHeight="1" x14ac:dyDescent="0.3">
      <c r="A448" s="36">
        <f t="shared" si="15"/>
        <v>607</v>
      </c>
      <c r="B448" s="36"/>
      <c r="C448" s="36"/>
      <c r="D448" s="38"/>
      <c r="E448" s="39"/>
      <c r="F448" s="36"/>
      <c r="G448" s="19" t="str">
        <f t="shared" si="16"/>
        <v/>
      </c>
      <c r="H448" s="36"/>
      <c r="I448" s="36"/>
      <c r="J448" s="39"/>
      <c r="K448" s="39"/>
      <c r="L448" s="40"/>
      <c r="M448" s="40"/>
      <c r="N448" s="20"/>
      <c r="O448" s="21"/>
    </row>
    <row r="449" spans="1:15" ht="28.5" customHeight="1" x14ac:dyDescent="0.3">
      <c r="A449" s="33">
        <f t="shared" si="15"/>
        <v>608</v>
      </c>
      <c r="B449" s="33"/>
      <c r="C449" s="33"/>
      <c r="D449" s="34"/>
      <c r="E449" s="35"/>
      <c r="F449" s="33"/>
      <c r="G449" s="19" t="str">
        <f t="shared" si="16"/>
        <v/>
      </c>
      <c r="H449" s="33"/>
      <c r="I449" s="33"/>
      <c r="J449" s="35"/>
      <c r="K449" s="35"/>
      <c r="L449" s="37"/>
      <c r="M449" s="37"/>
      <c r="N449" s="22"/>
      <c r="O449" s="23"/>
    </row>
    <row r="450" spans="1:15" ht="28.5" customHeight="1" x14ac:dyDescent="0.3">
      <c r="A450" s="36">
        <f t="shared" si="15"/>
        <v>609</v>
      </c>
      <c r="B450" s="36"/>
      <c r="C450" s="36"/>
      <c r="D450" s="38"/>
      <c r="E450" s="39"/>
      <c r="F450" s="36"/>
      <c r="G450" s="19" t="str">
        <f t="shared" si="16"/>
        <v/>
      </c>
      <c r="H450" s="36"/>
      <c r="I450" s="36"/>
      <c r="J450" s="39"/>
      <c r="K450" s="39"/>
      <c r="L450" s="40"/>
      <c r="M450" s="40"/>
      <c r="N450" s="20"/>
      <c r="O450" s="21"/>
    </row>
    <row r="451" spans="1:15" ht="28.5" customHeight="1" x14ac:dyDescent="0.3">
      <c r="A451" s="33">
        <f t="shared" si="15"/>
        <v>610</v>
      </c>
      <c r="B451" s="33"/>
      <c r="C451" s="33"/>
      <c r="D451" s="34"/>
      <c r="E451" s="35"/>
      <c r="F451" s="33"/>
      <c r="G451" s="19" t="str">
        <f t="shared" si="16"/>
        <v/>
      </c>
      <c r="H451" s="33"/>
      <c r="I451" s="33"/>
      <c r="J451" s="35"/>
      <c r="K451" s="35"/>
      <c r="L451" s="37"/>
      <c r="M451" s="37"/>
      <c r="N451" s="22"/>
      <c r="O451" s="23"/>
    </row>
    <row r="452" spans="1:15" ht="28.5" customHeight="1" x14ac:dyDescent="0.3">
      <c r="A452" s="36">
        <f t="shared" si="15"/>
        <v>611</v>
      </c>
      <c r="B452" s="36"/>
      <c r="C452" s="36"/>
      <c r="D452" s="38"/>
      <c r="E452" s="39"/>
      <c r="F452" s="36"/>
      <c r="G452" s="19" t="str">
        <f t="shared" si="16"/>
        <v/>
      </c>
      <c r="H452" s="36"/>
      <c r="I452" s="36"/>
      <c r="J452" s="39"/>
      <c r="K452" s="39"/>
      <c r="L452" s="40"/>
      <c r="M452" s="40"/>
      <c r="N452" s="20"/>
      <c r="O452" s="21"/>
    </row>
    <row r="453" spans="1:15" ht="28.5" customHeight="1" x14ac:dyDescent="0.3">
      <c r="A453" s="33">
        <f t="shared" si="15"/>
        <v>612</v>
      </c>
      <c r="B453" s="33"/>
      <c r="C453" s="33"/>
      <c r="D453" s="34"/>
      <c r="E453" s="35"/>
      <c r="F453" s="33"/>
      <c r="G453" s="19" t="str">
        <f t="shared" si="16"/>
        <v/>
      </c>
      <c r="H453" s="33"/>
      <c r="I453" s="33"/>
      <c r="J453" s="35"/>
      <c r="K453" s="35"/>
      <c r="L453" s="37"/>
      <c r="M453" s="37"/>
      <c r="N453" s="22"/>
      <c r="O453" s="23"/>
    </row>
    <row r="454" spans="1:15" ht="28.5" customHeight="1" x14ac:dyDescent="0.3">
      <c r="A454" s="36">
        <f t="shared" si="15"/>
        <v>613</v>
      </c>
      <c r="B454" s="36"/>
      <c r="C454" s="36"/>
      <c r="D454" s="38"/>
      <c r="E454" s="39"/>
      <c r="F454" s="36"/>
      <c r="G454" s="19" t="str">
        <f t="shared" si="16"/>
        <v/>
      </c>
      <c r="H454" s="36"/>
      <c r="I454" s="36"/>
      <c r="J454" s="39"/>
      <c r="K454" s="39"/>
      <c r="L454" s="40"/>
      <c r="M454" s="40"/>
      <c r="N454" s="20"/>
      <c r="O454" s="21"/>
    </row>
    <row r="455" spans="1:15" ht="28.5" customHeight="1" x14ac:dyDescent="0.3">
      <c r="A455" s="33">
        <f t="shared" si="15"/>
        <v>614</v>
      </c>
      <c r="B455" s="33"/>
      <c r="C455" s="33"/>
      <c r="D455" s="34"/>
      <c r="E455" s="35"/>
      <c r="F455" s="33"/>
      <c r="G455" s="19" t="str">
        <f t="shared" si="16"/>
        <v/>
      </c>
      <c r="H455" s="33"/>
      <c r="I455" s="33"/>
      <c r="J455" s="35"/>
      <c r="K455" s="35"/>
      <c r="L455" s="37"/>
      <c r="M455" s="37"/>
      <c r="N455" s="22"/>
      <c r="O455" s="23"/>
    </row>
    <row r="456" spans="1:15" ht="28.5" customHeight="1" x14ac:dyDescent="0.3">
      <c r="A456" s="36">
        <f t="shared" ref="A456:A472" si="17">A455+1</f>
        <v>615</v>
      </c>
      <c r="B456" s="36"/>
      <c r="C456" s="36"/>
      <c r="D456" s="38"/>
      <c r="E456" s="39"/>
      <c r="F456" s="36"/>
      <c r="G456" s="19" t="str">
        <f t="shared" si="16"/>
        <v/>
      </c>
      <c r="H456" s="36"/>
      <c r="I456" s="36"/>
      <c r="J456" s="39"/>
      <c r="K456" s="39"/>
      <c r="L456" s="40"/>
      <c r="M456" s="40"/>
      <c r="N456" s="20"/>
      <c r="O456" s="21"/>
    </row>
    <row r="457" spans="1:15" ht="28.5" customHeight="1" x14ac:dyDescent="0.3">
      <c r="A457" s="33">
        <f t="shared" si="17"/>
        <v>616</v>
      </c>
      <c r="B457" s="33"/>
      <c r="C457" s="33"/>
      <c r="D457" s="34"/>
      <c r="E457" s="35"/>
      <c r="F457" s="33"/>
      <c r="G457" s="19" t="str">
        <f t="shared" si="16"/>
        <v/>
      </c>
      <c r="H457" s="33"/>
      <c r="I457" s="33"/>
      <c r="J457" s="35"/>
      <c r="K457" s="35"/>
      <c r="L457" s="37"/>
      <c r="M457" s="37"/>
      <c r="N457" s="22"/>
      <c r="O457" s="23"/>
    </row>
    <row r="458" spans="1:15" ht="28.5" customHeight="1" x14ac:dyDescent="0.3">
      <c r="A458" s="36">
        <f t="shared" si="17"/>
        <v>617</v>
      </c>
      <c r="B458" s="36"/>
      <c r="C458" s="36"/>
      <c r="D458" s="38"/>
      <c r="E458" s="39"/>
      <c r="F458" s="36"/>
      <c r="G458" s="19" t="str">
        <f t="shared" si="16"/>
        <v/>
      </c>
      <c r="H458" s="36"/>
      <c r="I458" s="36"/>
      <c r="J458" s="39"/>
      <c r="K458" s="39"/>
      <c r="L458" s="40"/>
      <c r="M458" s="40"/>
      <c r="N458" s="20"/>
      <c r="O458" s="21"/>
    </row>
    <row r="459" spans="1:15" ht="28.5" customHeight="1" x14ac:dyDescent="0.3">
      <c r="A459" s="33">
        <f t="shared" si="17"/>
        <v>618</v>
      </c>
      <c r="B459" s="33"/>
      <c r="C459" s="33"/>
      <c r="D459" s="34"/>
      <c r="E459" s="35"/>
      <c r="F459" s="33"/>
      <c r="G459" s="19" t="str">
        <f t="shared" si="16"/>
        <v/>
      </c>
      <c r="H459" s="33"/>
      <c r="I459" s="33"/>
      <c r="J459" s="35"/>
      <c r="K459" s="35"/>
      <c r="L459" s="37"/>
      <c r="M459" s="37"/>
      <c r="N459" s="22"/>
      <c r="O459" s="23"/>
    </row>
    <row r="460" spans="1:15" ht="28.5" customHeight="1" x14ac:dyDescent="0.3">
      <c r="A460" s="36">
        <f t="shared" si="17"/>
        <v>619</v>
      </c>
      <c r="B460" s="36"/>
      <c r="C460" s="36"/>
      <c r="D460" s="38"/>
      <c r="E460" s="39"/>
      <c r="F460" s="36"/>
      <c r="G460" s="19" t="str">
        <f t="shared" si="16"/>
        <v/>
      </c>
      <c r="H460" s="36"/>
      <c r="I460" s="36"/>
      <c r="J460" s="39"/>
      <c r="K460" s="39"/>
      <c r="L460" s="40"/>
      <c r="M460" s="40"/>
      <c r="N460" s="20"/>
      <c r="O460" s="21"/>
    </row>
    <row r="461" spans="1:15" ht="28.5" customHeight="1" x14ac:dyDescent="0.3">
      <c r="A461" s="33">
        <f t="shared" si="17"/>
        <v>620</v>
      </c>
      <c r="B461" s="33"/>
      <c r="C461" s="33"/>
      <c r="D461" s="34"/>
      <c r="E461" s="35"/>
      <c r="F461" s="33"/>
      <c r="G461" s="19" t="str">
        <f t="shared" si="16"/>
        <v/>
      </c>
      <c r="H461" s="33"/>
      <c r="I461" s="33"/>
      <c r="J461" s="35"/>
      <c r="K461" s="35"/>
      <c r="L461" s="37"/>
      <c r="M461" s="37"/>
      <c r="N461" s="22"/>
      <c r="O461" s="23"/>
    </row>
    <row r="462" spans="1:15" ht="28.5" customHeight="1" x14ac:dyDescent="0.3">
      <c r="A462" s="36">
        <f t="shared" si="17"/>
        <v>621</v>
      </c>
      <c r="B462" s="36"/>
      <c r="C462" s="36"/>
      <c r="D462" s="38"/>
      <c r="E462" s="39"/>
      <c r="F462" s="36"/>
      <c r="G462" s="19" t="str">
        <f t="shared" si="16"/>
        <v/>
      </c>
      <c r="H462" s="36"/>
      <c r="I462" s="36"/>
      <c r="J462" s="39"/>
      <c r="K462" s="39"/>
      <c r="L462" s="40"/>
      <c r="M462" s="40"/>
      <c r="N462" s="20"/>
      <c r="O462" s="21"/>
    </row>
    <row r="463" spans="1:15" ht="28.5" customHeight="1" x14ac:dyDescent="0.3">
      <c r="A463" s="33">
        <f t="shared" si="17"/>
        <v>622</v>
      </c>
      <c r="B463" s="33"/>
      <c r="C463" s="33"/>
      <c r="D463" s="34"/>
      <c r="E463" s="35"/>
      <c r="F463" s="33"/>
      <c r="G463" s="19" t="str">
        <f t="shared" si="16"/>
        <v/>
      </c>
      <c r="H463" s="33"/>
      <c r="I463" s="33"/>
      <c r="J463" s="35"/>
      <c r="K463" s="35"/>
      <c r="L463" s="37"/>
      <c r="M463" s="37"/>
      <c r="N463" s="22"/>
      <c r="O463" s="23"/>
    </row>
    <row r="464" spans="1:15" ht="28.5" customHeight="1" x14ac:dyDescent="0.3">
      <c r="A464" s="36">
        <f t="shared" si="17"/>
        <v>623</v>
      </c>
      <c r="B464" s="36"/>
      <c r="C464" s="36"/>
      <c r="D464" s="38"/>
      <c r="E464" s="39"/>
      <c r="F464" s="36"/>
      <c r="G464" s="19" t="str">
        <f t="shared" si="16"/>
        <v/>
      </c>
      <c r="H464" s="36"/>
      <c r="I464" s="36"/>
      <c r="J464" s="39"/>
      <c r="K464" s="39"/>
      <c r="L464" s="40"/>
      <c r="M464" s="40"/>
      <c r="N464" s="20"/>
      <c r="O464" s="21"/>
    </row>
    <row r="465" spans="1:15" ht="28.5" customHeight="1" x14ac:dyDescent="0.3">
      <c r="A465" s="33">
        <f t="shared" si="17"/>
        <v>624</v>
      </c>
      <c r="B465" s="33"/>
      <c r="C465" s="33"/>
      <c r="D465" s="34"/>
      <c r="E465" s="35"/>
      <c r="F465" s="33"/>
      <c r="G465" s="19" t="str">
        <f t="shared" si="16"/>
        <v/>
      </c>
      <c r="H465" s="33"/>
      <c r="I465" s="33"/>
      <c r="J465" s="35"/>
      <c r="K465" s="35"/>
      <c r="L465" s="37"/>
      <c r="M465" s="37"/>
      <c r="N465" s="22"/>
      <c r="O465" s="23"/>
    </row>
    <row r="466" spans="1:15" ht="28.5" customHeight="1" x14ac:dyDescent="0.3">
      <c r="A466" s="36">
        <f t="shared" si="17"/>
        <v>625</v>
      </c>
      <c r="B466" s="36"/>
      <c r="C466" s="36"/>
      <c r="D466" s="38"/>
      <c r="E466" s="39"/>
      <c r="F466" s="36"/>
      <c r="G466" s="19" t="str">
        <f t="shared" si="16"/>
        <v/>
      </c>
      <c r="H466" s="36"/>
      <c r="I466" s="36"/>
      <c r="J466" s="39"/>
      <c r="K466" s="39"/>
      <c r="L466" s="40"/>
      <c r="M466" s="40"/>
      <c r="N466" s="20"/>
      <c r="O466" s="21"/>
    </row>
    <row r="467" spans="1:15" ht="28.5" customHeight="1" x14ac:dyDescent="0.3">
      <c r="A467" s="33">
        <f t="shared" si="17"/>
        <v>626</v>
      </c>
      <c r="B467" s="33"/>
      <c r="C467" s="33"/>
      <c r="D467" s="34"/>
      <c r="E467" s="35"/>
      <c r="F467" s="33"/>
      <c r="G467" s="19" t="str">
        <f t="shared" si="16"/>
        <v/>
      </c>
      <c r="H467" s="33"/>
      <c r="I467" s="33"/>
      <c r="J467" s="35"/>
      <c r="K467" s="35"/>
      <c r="L467" s="37"/>
      <c r="M467" s="37"/>
      <c r="N467" s="22"/>
      <c r="O467" s="23"/>
    </row>
    <row r="468" spans="1:15" ht="28.5" customHeight="1" x14ac:dyDescent="0.3">
      <c r="A468" s="36">
        <f t="shared" si="17"/>
        <v>627</v>
      </c>
      <c r="B468" s="36"/>
      <c r="C468" s="36"/>
      <c r="D468" s="38"/>
      <c r="E468" s="39"/>
      <c r="F468" s="36"/>
      <c r="G468" s="19" t="str">
        <f t="shared" si="16"/>
        <v/>
      </c>
      <c r="H468" s="36"/>
      <c r="I468" s="36"/>
      <c r="J468" s="39"/>
      <c r="K468" s="39"/>
      <c r="L468" s="40"/>
      <c r="M468" s="40"/>
      <c r="N468" s="20"/>
      <c r="O468" s="21"/>
    </row>
    <row r="469" spans="1:15" ht="28.5" customHeight="1" x14ac:dyDescent="0.3">
      <c r="A469" s="33">
        <f t="shared" si="17"/>
        <v>628</v>
      </c>
      <c r="B469" s="33"/>
      <c r="C469" s="33"/>
      <c r="D469" s="34"/>
      <c r="E469" s="35"/>
      <c r="F469" s="33"/>
      <c r="G469" s="19" t="str">
        <f t="shared" si="16"/>
        <v/>
      </c>
      <c r="H469" s="33"/>
      <c r="I469" s="33"/>
      <c r="J469" s="35"/>
      <c r="K469" s="35"/>
      <c r="L469" s="37"/>
      <c r="M469" s="37"/>
      <c r="N469" s="22"/>
      <c r="O469" s="23"/>
    </row>
    <row r="470" spans="1:15" ht="28.5" customHeight="1" x14ac:dyDescent="0.3">
      <c r="A470" s="36">
        <f t="shared" si="17"/>
        <v>629</v>
      </c>
      <c r="B470" s="36"/>
      <c r="C470" s="36"/>
      <c r="D470" s="38"/>
      <c r="E470" s="39"/>
      <c r="F470" s="36"/>
      <c r="G470" s="19" t="str">
        <f t="shared" si="16"/>
        <v/>
      </c>
      <c r="H470" s="36"/>
      <c r="I470" s="36"/>
      <c r="J470" s="39"/>
      <c r="K470" s="39"/>
      <c r="L470" s="40"/>
      <c r="M470" s="40"/>
      <c r="N470" s="20"/>
      <c r="O470" s="21"/>
    </row>
    <row r="471" spans="1:15" ht="28.5" customHeight="1" x14ac:dyDescent="0.3">
      <c r="A471" s="33">
        <f t="shared" si="17"/>
        <v>630</v>
      </c>
      <c r="B471" s="33"/>
      <c r="C471" s="33"/>
      <c r="D471" s="34"/>
      <c r="E471" s="35"/>
      <c r="F471" s="33"/>
      <c r="G471" s="19" t="str">
        <f t="shared" si="16"/>
        <v/>
      </c>
      <c r="H471" s="33"/>
      <c r="I471" s="33"/>
      <c r="J471" s="35"/>
      <c r="K471" s="35"/>
      <c r="L471" s="37"/>
      <c r="M471" s="37"/>
      <c r="N471" s="22"/>
      <c r="O471" s="23"/>
    </row>
    <row r="472" spans="1:15" ht="28.5" customHeight="1" x14ac:dyDescent="0.3">
      <c r="A472" s="36">
        <f t="shared" si="17"/>
        <v>631</v>
      </c>
      <c r="B472" s="36"/>
      <c r="C472" s="36"/>
      <c r="D472" s="38"/>
      <c r="E472" s="39"/>
      <c r="F472" s="36"/>
      <c r="G472" s="19" t="str">
        <f t="shared" si="16"/>
        <v/>
      </c>
      <c r="H472" s="36"/>
      <c r="I472" s="36"/>
      <c r="J472" s="39"/>
      <c r="K472" s="39"/>
      <c r="L472" s="40"/>
      <c r="M472" s="40"/>
      <c r="N472" s="20"/>
      <c r="O472" s="21"/>
    </row>
    <row r="473" spans="1:15" x14ac:dyDescent="0.3">
      <c r="C473" s="1"/>
      <c r="D473" s="7"/>
    </row>
    <row r="474" spans="1:15" x14ac:dyDescent="0.3">
      <c r="C474" s="1"/>
      <c r="D474" s="7"/>
    </row>
  </sheetData>
  <autoFilter ref="A4:O472"/>
  <mergeCells count="7">
    <mergeCell ref="A1:B2"/>
    <mergeCell ref="O1:O2"/>
    <mergeCell ref="Q1:Q2"/>
    <mergeCell ref="H2:J2"/>
    <mergeCell ref="K2:L2"/>
    <mergeCell ref="H1:J1"/>
    <mergeCell ref="K1:L1"/>
  </mergeCells>
  <dataValidations count="1">
    <dataValidation type="list" allowBlank="1" showInputMessage="1" showErrorMessage="1" sqref="C5:C472">
      <formula1>"Active, Closed"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111"/>
  <sheetViews>
    <sheetView tabSelected="1" zoomScale="85" zoomScaleNormal="85" workbookViewId="0">
      <pane ySplit="1" topLeftCell="A77" activePane="bottomLeft" state="frozen"/>
      <selection pane="bottomLeft" activeCell="J89" sqref="J89"/>
    </sheetView>
  </sheetViews>
  <sheetFormatPr defaultRowHeight="15" x14ac:dyDescent="0.2"/>
  <cols>
    <col min="1" max="1" width="23.5703125" style="1" customWidth="1"/>
    <col min="2" max="2" width="15.5703125" style="1" customWidth="1"/>
    <col min="3" max="4" width="18.85546875" style="1" customWidth="1"/>
    <col min="5" max="5" width="16.42578125" style="1" customWidth="1"/>
    <col min="6" max="6" width="15.42578125" style="30" customWidth="1"/>
    <col min="7" max="7" width="13.140625" style="30" customWidth="1"/>
    <col min="8" max="9" width="15.85546875" style="30" customWidth="1"/>
    <col min="10" max="10" width="56.42578125" style="25" customWidth="1"/>
    <col min="11" max="16384" width="9.140625" style="1"/>
  </cols>
  <sheetData>
    <row r="1" spans="1:16" ht="42.75" x14ac:dyDescent="0.2">
      <c r="A1" s="12" t="s">
        <v>18</v>
      </c>
      <c r="B1" s="12" t="s">
        <v>25</v>
      </c>
      <c r="C1" s="12" t="s">
        <v>106</v>
      </c>
      <c r="D1" s="12" t="s">
        <v>23</v>
      </c>
      <c r="E1" s="12" t="s">
        <v>19</v>
      </c>
      <c r="F1" s="27" t="s">
        <v>20</v>
      </c>
      <c r="G1" s="27" t="s">
        <v>21</v>
      </c>
      <c r="H1" s="28" t="s">
        <v>14</v>
      </c>
      <c r="I1" s="28" t="s">
        <v>13</v>
      </c>
      <c r="J1" s="24" t="s">
        <v>22</v>
      </c>
    </row>
    <row r="2" spans="1:16" ht="21.75" customHeight="1" x14ac:dyDescent="0.2">
      <c r="A2" s="56">
        <v>46184</v>
      </c>
      <c r="B2" s="14">
        <f>IF(A2&lt;&gt;"",
    SUMIFS([43]FinancingJournal!$E:$E,
           [43]FinancingJournal!$C:$C,"Capital Injection",
           [43]FinancingJournal!$A:$A,"&lt;="&amp;A2),
    "")</f>
        <v>188380</v>
      </c>
      <c r="C2" s="15">
        <f>IF(A2&lt;&gt;"",
    SUMIFS([43]InvestingJournal!$F:$F,
           [43]InvestingJournal!$C:$C,"Izra Advance",
           [43]InvestingJournal!$A:$A,"&lt;="&amp;A2),
    "")</f>
        <v>105350</v>
      </c>
      <c r="D2" s="15">
        <f>IF(A2&lt;&gt;"",
    SUMIFS([43]InvestingJournal!$F:$F,
           [43]InvestingJournal!$C:$C,"Loan Advance",
           [43]InvestingJournal!$A:$A,"&lt;="&amp;A2),
    "")</f>
        <v>630000</v>
      </c>
      <c r="E2" s="15">
        <f>IF(A2&lt;&gt;"",
    SUMIFS([43]FinancingJournal!$E:$E,
           [43]FinancingJournal!$C:$C,"Borrowing",
           [43]FinancingJournal!$A:$A,"&lt;="&amp;A2)
    +
    SUMIFS([43]FinancingJournal!$E:$E,
           [43]FinancingJournal!$C:$C,"Withdrawal",
           [43]FinancingJournal!$A:$A,"&lt;="&amp;A2),
    "")</f>
        <v>100200</v>
      </c>
      <c r="F2" s="57">
        <v>1035150</v>
      </c>
      <c r="G2" s="57">
        <v>28550</v>
      </c>
      <c r="H2" s="57">
        <v>371450</v>
      </c>
      <c r="I2" s="57">
        <v>333680.24180965958</v>
      </c>
      <c r="J2" s="58" t="s">
        <v>87</v>
      </c>
    </row>
    <row r="3" spans="1:16" ht="21.75" customHeight="1" x14ac:dyDescent="0.2">
      <c r="A3" s="59">
        <v>46185</v>
      </c>
      <c r="B3" s="17">
        <f>IF(A3&lt;&gt;"",
    SUMIFS([43]FinancingJournal!$E:$E,
           [43]FinancingJournal!$C:$C,"Capital Injection",
           [43]FinancingJournal!$A:$A,"&lt;="&amp;A3),
    "")</f>
        <v>188380</v>
      </c>
      <c r="C3" s="18">
        <f>IF(A3&lt;&gt;"",
    SUMIFS([43]InvestingJournal!$F:$F,
           [43]InvestingJournal!$C:$C,"Izra Advance",
           [43]InvestingJournal!$A:$A,"&lt;="&amp;A3),
    "")</f>
        <v>105350</v>
      </c>
      <c r="D3" s="18">
        <f>IF(A3&lt;&gt;"",
    SUMIFS([43]InvestingJournal!$F:$F,
           [43]InvestingJournal!$C:$C,"Loan Advance",
           [43]InvestingJournal!$A:$A,"&lt;="&amp;A3),
    "")</f>
        <v>630000</v>
      </c>
      <c r="E3" s="18">
        <f>IF(A3&lt;&gt;"",
    SUMIFS([43]FinancingJournal!$E:$E,
           [43]FinancingJournal!$C:$C,"Borrowing",
           [43]FinancingJournal!$A:$A,"&lt;="&amp;A3)
    +
    SUMIFS([43]FinancingJournal!$E:$E,
           [43]FinancingJournal!$C:$C,"Withdrawal",
           [43]FinancingJournal!$A:$A,"&lt;="&amp;A3),
    "")</f>
        <v>100200</v>
      </c>
      <c r="F3" s="60">
        <v>1035150</v>
      </c>
      <c r="G3" s="60">
        <v>63700</v>
      </c>
      <c r="H3" s="60">
        <v>336300</v>
      </c>
      <c r="I3" s="60">
        <v>299065.64873409085</v>
      </c>
      <c r="J3" s="61"/>
      <c r="P3" s="9"/>
    </row>
    <row r="4" spans="1:16" ht="21.75" customHeight="1" x14ac:dyDescent="0.2">
      <c r="A4" s="56">
        <v>46185</v>
      </c>
      <c r="B4" s="14">
        <f>IF(A4&lt;&gt;"",
    SUMIFS([43]FinancingJournal!$E:$E,
           [43]FinancingJournal!$C:$C,"Capital Injection",
           [43]FinancingJournal!$A:$A,"&lt;="&amp;A4),
    "")</f>
        <v>188380</v>
      </c>
      <c r="C4" s="15">
        <f>IF(A4&lt;&gt;"",
    SUMIFS([43]InvestingJournal!$F:$F,
           [43]InvestingJournal!$C:$C,"Izra Advance",
           [43]InvestingJournal!$A:$A,"&lt;="&amp;A4),
    "")</f>
        <v>105350</v>
      </c>
      <c r="D4" s="15">
        <f>IF(A4&lt;&gt;"",
    SUMIFS([43]InvestingJournal!$F:$F,
           [43]InvestingJournal!$C:$C,"Loan Advance",
           [43]InvestingJournal!$A:$A,"&lt;="&amp;A4),
    "")</f>
        <v>630000</v>
      </c>
      <c r="E4" s="15">
        <f>IF(A4&lt;&gt;"",
    SUMIFS([43]FinancingJournal!$E:$E,
           [43]FinancingJournal!$C:$C,"Borrowing",
           [43]FinancingJournal!$A:$A,"&lt;="&amp;A4)
    +
    SUMIFS([43]FinancingJournal!$E:$E,
           [43]FinancingJournal!$C:$C,"Withdrawal",
           [43]FinancingJournal!$A:$A,"&lt;="&amp;A4),
    "")</f>
        <v>100200</v>
      </c>
      <c r="F4" s="57">
        <v>1045150</v>
      </c>
      <c r="G4" s="57">
        <v>13700</v>
      </c>
      <c r="H4" s="57">
        <v>396300</v>
      </c>
      <c r="I4" s="57">
        <v>359065.64873409085</v>
      </c>
      <c r="J4" s="58" t="s">
        <v>26</v>
      </c>
    </row>
    <row r="5" spans="1:16" ht="21.75" customHeight="1" x14ac:dyDescent="0.2">
      <c r="A5" s="59">
        <v>46192</v>
      </c>
      <c r="B5" s="17">
        <f>IF(A5&lt;&gt;"",
    SUMIFS([43]FinancingJournal!$E:$E,
           [43]FinancingJournal!$C:$C,"Capital Injection",
           [43]FinancingJournal!$A:$A,"&lt;="&amp;A5),
    "")</f>
        <v>188380</v>
      </c>
      <c r="C5" s="18">
        <f>IF(A5&lt;&gt;"",
    SUMIFS([43]InvestingJournal!$F:$F,
           [43]InvestingJournal!$C:$C,"Izra Advance",
           [43]InvestingJournal!$A:$A,"&lt;="&amp;A5),
    "")</f>
        <v>105350</v>
      </c>
      <c r="D5" s="18">
        <f>IF(A5&lt;&gt;"",
    SUMIFS([43]InvestingJournal!$F:$F,
           [43]InvestingJournal!$C:$C,"Loan Advance",
           [43]InvestingJournal!$A:$A,"&lt;="&amp;A5),
    "")</f>
        <v>630000</v>
      </c>
      <c r="E5" s="18">
        <f>IF(A5&lt;&gt;"",
    SUMIFS([43]FinancingJournal!$E:$E,
           [43]FinancingJournal!$C:$C,"Borrowing",
           [43]FinancingJournal!$A:$A,"&lt;="&amp;A5)
    +
    SUMIFS([43]FinancingJournal!$E:$E,
           [43]FinancingJournal!$C:$C,"Withdrawal",
           [43]FinancingJournal!$A:$A,"&lt;="&amp;A5),
    "")</f>
        <v>100200</v>
      </c>
      <c r="F5" s="60">
        <v>1045150</v>
      </c>
      <c r="G5" s="60">
        <v>33660</v>
      </c>
      <c r="H5" s="60">
        <v>376340</v>
      </c>
      <c r="I5" s="60">
        <v>333367.82871779881</v>
      </c>
      <c r="J5" s="61"/>
      <c r="P5" s="9"/>
    </row>
    <row r="6" spans="1:16" ht="21.75" customHeight="1" x14ac:dyDescent="0.2">
      <c r="A6" s="56">
        <v>46192</v>
      </c>
      <c r="B6" s="14">
        <f>IF(A6&lt;&gt;"",
    SUMIFS([43]FinancingJournal!$E:$E,
           [43]FinancingJournal!$C:$C,"Capital Injection",
           [43]FinancingJournal!$A:$A,"&lt;="&amp;A6),
    "")</f>
        <v>188380</v>
      </c>
      <c r="C6" s="15">
        <f>IF(A6&lt;&gt;"",
    SUMIFS([43]InvestingJournal!$F:$F,
           [43]InvestingJournal!$C:$C,"Izra Advance",
           [43]InvestingJournal!$A:$A,"&lt;="&amp;A6),
    "")</f>
        <v>105350</v>
      </c>
      <c r="D6" s="15">
        <f>IF(A6&lt;&gt;"",
    SUMIFS([43]InvestingJournal!$F:$F,
           [43]InvestingJournal!$C:$C,"Loan Advance",
           [43]InvestingJournal!$A:$A,"&lt;="&amp;A6),
    "")</f>
        <v>630000</v>
      </c>
      <c r="E6" s="15">
        <f>IF(A6&lt;&gt;"",
    SUMIFS([43]FinancingJournal!$E:$E,
           [43]FinancingJournal!$C:$C,"Borrowing",
           [43]FinancingJournal!$A:$A,"&lt;="&amp;A6)
    +
    SUMIFS([43]FinancingJournal!$E:$E,
           [43]FinancingJournal!$C:$C,"Withdrawal",
           [43]FinancingJournal!$A:$A,"&lt;="&amp;A6),
    "")</f>
        <v>100200</v>
      </c>
      <c r="F6" s="57">
        <v>1047050</v>
      </c>
      <c r="G6" s="57">
        <v>23660</v>
      </c>
      <c r="H6" s="57">
        <v>388240</v>
      </c>
      <c r="I6" s="57">
        <v>345267.82871779881</v>
      </c>
      <c r="J6" s="58" t="s">
        <v>27</v>
      </c>
    </row>
    <row r="7" spans="1:16" ht="21.75" customHeight="1" x14ac:dyDescent="0.2">
      <c r="A7" s="59">
        <v>46192</v>
      </c>
      <c r="B7" s="17">
        <f>IF(A7&lt;&gt;"",
    SUMIFS([43]FinancingJournal!$E:$E,
           [43]FinancingJournal!$C:$C,"Capital Injection",
           [43]FinancingJournal!$A:$A,"&lt;="&amp;A7),
    "")</f>
        <v>188380</v>
      </c>
      <c r="C7" s="18">
        <f>IF(A7&lt;&gt;"",
    SUMIFS([43]InvestingJournal!$F:$F,
           [43]InvestingJournal!$C:$C,"Izra Advance",
           [43]InvestingJournal!$A:$A,"&lt;="&amp;A7),
    "")</f>
        <v>105350</v>
      </c>
      <c r="D7" s="18">
        <f>IF(A7&lt;&gt;"",
    SUMIFS([43]InvestingJournal!$F:$F,
           [43]InvestingJournal!$C:$C,"Loan Advance",
           [43]InvestingJournal!$A:$A,"&lt;="&amp;A7),
    "")</f>
        <v>630000</v>
      </c>
      <c r="E7" s="18">
        <f>IF(A7&lt;&gt;"",
    SUMIFS([43]FinancingJournal!$E:$E,
           [43]FinancingJournal!$C:$C,"Borrowing",
           [43]FinancingJournal!$A:$A,"&lt;="&amp;A7)
    +
    SUMIFS([43]FinancingJournal!$E:$E,
           [43]FinancingJournal!$C:$C,"Withdrawal",
           [43]FinancingJournal!$A:$A,"&lt;="&amp;A7),
    "")</f>
        <v>100200</v>
      </c>
      <c r="F7" s="60">
        <v>1029550</v>
      </c>
      <c r="G7" s="60">
        <v>6160</v>
      </c>
      <c r="H7" s="60">
        <v>388240</v>
      </c>
      <c r="I7" s="60">
        <v>345267.82871779881</v>
      </c>
      <c r="J7" s="61" t="s">
        <v>29</v>
      </c>
      <c r="P7" s="9"/>
    </row>
    <row r="8" spans="1:16" ht="21.75" customHeight="1" x14ac:dyDescent="0.2">
      <c r="A8" s="56">
        <v>46194</v>
      </c>
      <c r="B8" s="14">
        <f>IF(A8&lt;&gt;"",
    SUMIFS([43]FinancingJournal!$E:$E,
           [43]FinancingJournal!$C:$C,"Capital Injection",
           [43]FinancingJournal!$A:$A,"&lt;="&amp;A8),
    "")</f>
        <v>188380</v>
      </c>
      <c r="C8" s="15">
        <f>IF(A8&lt;&gt;"",
    SUMIFS([43]InvestingJournal!$F:$F,
           [43]InvestingJournal!$C:$C,"Izra Advance",
           [43]InvestingJournal!$A:$A,"&lt;="&amp;A8),
    "")</f>
        <v>105350</v>
      </c>
      <c r="D8" s="15">
        <f>IF(A8&lt;&gt;"",
    SUMIFS([43]InvestingJournal!$F:$F,
           [43]InvestingJournal!$C:$C,"Loan Advance",
           [43]InvestingJournal!$A:$A,"&lt;="&amp;A8),
    "")</f>
        <v>630000</v>
      </c>
      <c r="E8" s="15">
        <f>IF(A8&lt;&gt;"",
    SUMIFS([43]FinancingJournal!$E:$E,
           [43]FinancingJournal!$C:$C,"Borrowing",
           [43]FinancingJournal!$A:$A,"&lt;="&amp;A8)
    +
    SUMIFS([43]FinancingJournal!$E:$E,
           [43]FinancingJournal!$C:$C,"Withdrawal",
           [43]FinancingJournal!$A:$A,"&lt;="&amp;A8),
    "")</f>
        <v>138200</v>
      </c>
      <c r="F8" s="57">
        <v>1029550</v>
      </c>
      <c r="G8" s="57">
        <v>22460</v>
      </c>
      <c r="H8" s="57">
        <v>371940</v>
      </c>
      <c r="I8" s="57">
        <v>327056.00994625408</v>
      </c>
      <c r="J8" s="58"/>
    </row>
    <row r="9" spans="1:16" ht="21.75" customHeight="1" x14ac:dyDescent="0.2">
      <c r="A9" s="59">
        <v>46194</v>
      </c>
      <c r="B9" s="17">
        <f>IF(A9&lt;&gt;"",
    SUMIFS([43]FinancingJournal!$E:$E,
           [43]FinancingJournal!$C:$C,"Capital Injection",
           [43]FinancingJournal!$A:$A,"&lt;="&amp;A9),
    "")</f>
        <v>188380</v>
      </c>
      <c r="C9" s="18">
        <f>IF(A9&lt;&gt;"",
    SUMIFS([43]InvestingJournal!$F:$F,
           [43]InvestingJournal!$C:$C,"Izra Advance",
           [43]InvestingJournal!$A:$A,"&lt;="&amp;A9),
    "")</f>
        <v>105350</v>
      </c>
      <c r="D9" s="18">
        <f>IF(A9&lt;&gt;"",
    SUMIFS([43]InvestingJournal!$F:$F,
           [43]InvestingJournal!$C:$C,"Loan Advance",
           [43]InvestingJournal!$A:$A,"&lt;="&amp;A9),
    "")</f>
        <v>630000</v>
      </c>
      <c r="E9" s="18">
        <f>IF(A9&lt;&gt;"",
    SUMIFS([43]FinancingJournal!$E:$E,
           [43]FinancingJournal!$C:$C,"Borrowing",
           [43]FinancingJournal!$A:$A,"&lt;="&amp;A9)
    +
    SUMIFS([43]FinancingJournal!$E:$E,
           [43]FinancingJournal!$C:$C,"Withdrawal",
           [43]FinancingJournal!$A:$A,"&lt;="&amp;A9),
    "")</f>
        <v>138200</v>
      </c>
      <c r="F9" s="60">
        <v>1029550</v>
      </c>
      <c r="G9" s="60">
        <v>60460</v>
      </c>
      <c r="H9" s="60">
        <v>371940</v>
      </c>
      <c r="I9" s="60">
        <v>327056.00994625408</v>
      </c>
      <c r="J9" s="61" t="s">
        <v>88</v>
      </c>
      <c r="P9" s="9"/>
    </row>
    <row r="10" spans="1:16" ht="21.75" customHeight="1" x14ac:dyDescent="0.2">
      <c r="A10" s="56">
        <v>46194</v>
      </c>
      <c r="B10" s="14">
        <f>IF(A10&lt;&gt;"",
    SUMIFS([43]FinancingJournal!$E:$E,
           [43]FinancingJournal!$C:$C,"Capital Injection",
           [43]FinancingJournal!$A:$A,"&lt;="&amp;A10),
    "")</f>
        <v>188380</v>
      </c>
      <c r="C10" s="15">
        <f>IF(A10&lt;&gt;"",
    SUMIFS([43]InvestingJournal!$F:$F,
           [43]InvestingJournal!$C:$C,"Izra Advance",
           [43]InvestingJournal!$A:$A,"&lt;="&amp;A10),
    "")</f>
        <v>105350</v>
      </c>
      <c r="D10" s="15">
        <f>IF(A10&lt;&gt;"",
    SUMIFS([43]InvestingJournal!$F:$F,
           [43]InvestingJournal!$C:$C,"Loan Advance",
           [43]InvestingJournal!$A:$A,"&lt;="&amp;A10),
    "")</f>
        <v>630000</v>
      </c>
      <c r="E10" s="15">
        <f>IF(A10&lt;&gt;"",
    SUMIFS([43]FinancingJournal!$E:$E,
           [43]FinancingJournal!$C:$C,"Borrowing",
           [43]FinancingJournal!$A:$A,"&lt;="&amp;A10)
    +
    SUMIFS([43]FinancingJournal!$E:$E,
           [43]FinancingJournal!$C:$C,"Withdrawal",
           [43]FinancingJournal!$A:$A,"&lt;="&amp;A10),
    "")</f>
        <v>138200</v>
      </c>
      <c r="F10" s="57">
        <v>1035250</v>
      </c>
      <c r="G10" s="57">
        <v>30460</v>
      </c>
      <c r="H10" s="57">
        <v>407640</v>
      </c>
      <c r="I10" s="57">
        <v>362756.00994625408</v>
      </c>
      <c r="J10" s="58" t="s">
        <v>28</v>
      </c>
    </row>
    <row r="11" spans="1:16" ht="21.75" customHeight="1" x14ac:dyDescent="0.2">
      <c r="A11" s="59">
        <v>46197</v>
      </c>
      <c r="B11" s="17">
        <f>IF(A11&lt;&gt;"",
    SUMIFS([43]FinancingJournal!$E:$E,
           [43]FinancingJournal!$C:$C,"Capital Injection",
           [43]FinancingJournal!$A:$A,"&lt;="&amp;A11),
    "")</f>
        <v>188380</v>
      </c>
      <c r="C11" s="18">
        <f>IF(A11&lt;&gt;"",
    SUMIFS([43]InvestingJournal!$F:$F,
           [43]InvestingJournal!$C:$C,"Izra Advance",
           [43]InvestingJournal!$A:$A,"&lt;="&amp;A11),
    "")</f>
        <v>105350</v>
      </c>
      <c r="D11" s="18">
        <f>IF(A11&lt;&gt;"",
    SUMIFS([43]InvestingJournal!$F:$F,
           [43]InvestingJournal!$C:$C,"Loan Advance",
           [43]InvestingJournal!$A:$A,"&lt;="&amp;A11),
    "")</f>
        <v>630000</v>
      </c>
      <c r="E11" s="18">
        <f>IF(A11&lt;&gt;"",
    SUMIFS([43]FinancingJournal!$E:$E,
           [43]FinancingJournal!$C:$C,"Borrowing",
           [43]FinancingJournal!$A:$A,"&lt;="&amp;A11)
    +
    SUMIFS([43]FinancingJournal!$E:$E,
           [43]FinancingJournal!$C:$C,"Withdrawal",
           [43]FinancingJournal!$A:$A,"&lt;="&amp;A11),
    "")</f>
        <v>138200</v>
      </c>
      <c r="F11" s="60">
        <v>1035250</v>
      </c>
      <c r="G11" s="60">
        <v>42110</v>
      </c>
      <c r="H11" s="60">
        <v>395990</v>
      </c>
      <c r="I11" s="60">
        <v>353027.96882288804</v>
      </c>
      <c r="J11" s="61"/>
      <c r="P11" s="9"/>
    </row>
    <row r="12" spans="1:16" ht="21.75" customHeight="1" x14ac:dyDescent="0.2">
      <c r="A12" s="56">
        <v>46197</v>
      </c>
      <c r="B12" s="14">
        <f>IF(A12&lt;&gt;"",
    SUMIFS([43]FinancingJournal!$E:$E,
           [43]FinancingJournal!$C:$C,"Capital Injection",
           [43]FinancingJournal!$A:$A,"&lt;="&amp;A12),
    "")</f>
        <v>188380</v>
      </c>
      <c r="C12" s="15">
        <f>IF(A12&lt;&gt;"",
    SUMIFS([43]InvestingJournal!$F:$F,
           [43]InvestingJournal!$C:$C,"Izra Advance",
           [43]InvestingJournal!$A:$A,"&lt;="&amp;A12),
    "")</f>
        <v>105350</v>
      </c>
      <c r="D12" s="15">
        <f>IF(A12&lt;&gt;"",
    SUMIFS([43]InvestingJournal!$F:$F,
           [43]InvestingJournal!$C:$C,"Loan Advance",
           [43]InvestingJournal!$A:$A,"&lt;="&amp;A12),
    "")</f>
        <v>630000</v>
      </c>
      <c r="E12" s="15">
        <f>IF(A12&lt;&gt;"",
    SUMIFS([43]FinancingJournal!$E:$E,
           [43]FinancingJournal!$C:$C,"Borrowing",
           [43]FinancingJournal!$A:$A,"&lt;="&amp;A12)
    +
    SUMIFS([43]FinancingJournal!$E:$E,
           [43]FinancingJournal!$C:$C,"Withdrawal",
           [43]FinancingJournal!$A:$A,"&lt;="&amp;A12),
    "")</f>
        <v>138200</v>
      </c>
      <c r="F12" s="57">
        <v>1040950</v>
      </c>
      <c r="G12" s="57">
        <v>12110</v>
      </c>
      <c r="H12" s="57">
        <v>431690</v>
      </c>
      <c r="I12" s="57">
        <v>388727.96882288804</v>
      </c>
      <c r="J12" s="58" t="s">
        <v>30</v>
      </c>
    </row>
    <row r="13" spans="1:16" ht="21.75" customHeight="1" x14ac:dyDescent="0.2">
      <c r="A13" s="59">
        <v>46199</v>
      </c>
      <c r="B13" s="17">
        <f>IF(A13&lt;&gt;"",
    SUMIFS([43]FinancingJournal!$E:$E,
           [43]FinancingJournal!$C:$C,"Capital Injection",
           [43]FinancingJournal!$A:$A,"&lt;="&amp;A13),
    "")</f>
        <v>188380</v>
      </c>
      <c r="C13" s="18">
        <f>IF(A13&lt;&gt;"",
    SUMIFS([43]InvestingJournal!$F:$F,
           [43]InvestingJournal!$C:$C,"Izra Advance",
           [43]InvestingJournal!$A:$A,"&lt;="&amp;A13),
    "")</f>
        <v>105350</v>
      </c>
      <c r="D13" s="18">
        <f>IF(A13&lt;&gt;"",
    SUMIFS([43]InvestingJournal!$F:$F,
           [43]InvestingJournal!$C:$C,"Loan Advance",
           [43]InvestingJournal!$A:$A,"&lt;="&amp;A13),
    "")</f>
        <v>630000</v>
      </c>
      <c r="E13" s="18">
        <f>IF(A13&lt;&gt;"",
    SUMIFS([43]FinancingJournal!$E:$E,
           [43]FinancingJournal!$C:$C,"Borrowing",
           [43]FinancingJournal!$A:$A,"&lt;="&amp;A13)
    +
    SUMIFS([43]FinancingJournal!$E:$E,
           [43]FinancingJournal!$C:$C,"Withdrawal",
           [43]FinancingJournal!$A:$A,"&lt;="&amp;A13),
    "")</f>
        <v>138200</v>
      </c>
      <c r="F13" s="60">
        <v>1040950</v>
      </c>
      <c r="G13" s="60">
        <v>15460</v>
      </c>
      <c r="H13" s="60">
        <v>428340</v>
      </c>
      <c r="I13" s="60">
        <v>386004.14946619654</v>
      </c>
      <c r="J13" s="61"/>
      <c r="P13" s="9"/>
    </row>
    <row r="14" spans="1:16" ht="21.75" customHeight="1" x14ac:dyDescent="0.2">
      <c r="A14" s="56">
        <v>46199</v>
      </c>
      <c r="B14" s="14">
        <f>IF(A14&lt;&gt;"",
    SUMIFS([43]FinancingJournal!$E:$E,
           [43]FinancingJournal!$C:$C,"Capital Injection",
           [43]FinancingJournal!$A:$A,"&lt;="&amp;A14),
    "")</f>
        <v>188380</v>
      </c>
      <c r="C14" s="15">
        <f>IF(A14&lt;&gt;"",
    SUMIFS([43]InvestingJournal!$F:$F,
           [43]InvestingJournal!$C:$C,"Izra Advance",
           [43]InvestingJournal!$A:$A,"&lt;="&amp;A14),
    "")</f>
        <v>105350</v>
      </c>
      <c r="D14" s="15">
        <f>IF(A14&lt;&gt;"",
    SUMIFS([43]InvestingJournal!$F:$F,
           [43]InvestingJournal!$C:$C,"Loan Advance",
           [43]InvestingJournal!$A:$A,"&lt;="&amp;A14),
    "")</f>
        <v>630000</v>
      </c>
      <c r="E14" s="15">
        <f>IF(A14&lt;&gt;"",
    SUMIFS([43]FinancingJournal!$E:$E,
           [43]FinancingJournal!$C:$C,"Borrowing",
           [43]FinancingJournal!$A:$A,"&lt;="&amp;A14)
    +
    SUMIFS([43]FinancingJournal!$E:$E,
           [43]FinancingJournal!$C:$C,"Withdrawal",
           [43]FinancingJournal!$A:$A,"&lt;="&amp;A14),
    "")</f>
        <v>138200</v>
      </c>
      <c r="F14" s="57">
        <v>1044750</v>
      </c>
      <c r="G14" s="57">
        <v>-4540</v>
      </c>
      <c r="H14" s="57">
        <v>452140</v>
      </c>
      <c r="I14" s="57">
        <v>409804.14946619654</v>
      </c>
      <c r="J14" s="58" t="s">
        <v>31</v>
      </c>
    </row>
    <row r="15" spans="1:16" ht="21.75" customHeight="1" x14ac:dyDescent="0.2">
      <c r="A15" s="59">
        <v>46199</v>
      </c>
      <c r="B15" s="17">
        <f>IF(A15&lt;&gt;"",
    SUMIFS([43]FinancingJournal!$E:$E,
           [43]FinancingJournal!$C:$C,"Capital Injection",
           [43]FinancingJournal!$A:$A,"&lt;="&amp;A15),
    "")</f>
        <v>188380</v>
      </c>
      <c r="C15" s="18">
        <f>IF(A15&lt;&gt;"",
    SUMIFS([43]InvestingJournal!$F:$F,
           [43]InvestingJournal!$C:$C,"Izra Advance",
           [43]InvestingJournal!$A:$A,"&lt;="&amp;A15),
    "")</f>
        <v>105350</v>
      </c>
      <c r="D15" s="18">
        <f>IF(A15&lt;&gt;"",
    SUMIFS([43]InvestingJournal!$F:$F,
           [43]InvestingJournal!$C:$C,"Loan Advance",
           [43]InvestingJournal!$A:$A,"&lt;="&amp;A15),
    "")</f>
        <v>630000</v>
      </c>
      <c r="E15" s="18">
        <f>IF(A15&lt;&gt;"",
    SUMIFS([43]FinancingJournal!$E:$E,
           [43]FinancingJournal!$C:$C,"Borrowing",
           [43]FinancingJournal!$A:$A,"&lt;="&amp;A15)
    +
    SUMIFS([43]FinancingJournal!$E:$E,
           [43]FinancingJournal!$C:$C,"Withdrawal",
           [43]FinancingJournal!$A:$A,"&lt;="&amp;A15),
    "")</f>
        <v>138200</v>
      </c>
      <c r="F15" s="60">
        <v>1044750</v>
      </c>
      <c r="G15" s="60">
        <v>14210</v>
      </c>
      <c r="H15" s="60">
        <v>433390</v>
      </c>
      <c r="I15" s="60">
        <v>393274.55083552527</v>
      </c>
      <c r="J15" s="61"/>
      <c r="P15" s="9"/>
    </row>
    <row r="16" spans="1:16" ht="21.75" customHeight="1" x14ac:dyDescent="0.2">
      <c r="A16" s="56">
        <v>46202</v>
      </c>
      <c r="B16" s="14">
        <f>IF(A16&lt;&gt;"",
    SUMIFS([43]FinancingJournal!$E:$E,
           [43]FinancingJournal!$C:$C,"Capital Injection",
           [43]FinancingJournal!$A:$A,"&lt;="&amp;A16),
    "")</f>
        <v>188380</v>
      </c>
      <c r="C16" s="15">
        <f>IF(A16&lt;&gt;"",
    SUMIFS([43]InvestingJournal!$F:$F,
           [43]InvestingJournal!$C:$C,"Izra Advance",
           [43]InvestingJournal!$A:$A,"&lt;="&amp;A16),
    "")</f>
        <v>105350</v>
      </c>
      <c r="D16" s="15">
        <f>IF(A16&lt;&gt;"",
    SUMIFS([43]InvestingJournal!$F:$F,
           [43]InvestingJournal!$C:$C,"Loan Advance",
           [43]InvestingJournal!$A:$A,"&lt;="&amp;A16),
    "")</f>
        <v>630000</v>
      </c>
      <c r="E16" s="15">
        <f>IF(A16&lt;&gt;"",
    SUMIFS([43]FinancingJournal!$E:$E,
           [43]FinancingJournal!$C:$C,"Borrowing",
           [43]FinancingJournal!$A:$A,"&lt;="&amp;A16)
    +
    SUMIFS([43]FinancingJournal!$E:$E,
           [43]FinancingJournal!$C:$C,"Withdrawal",
           [43]FinancingJournal!$A:$A,"&lt;="&amp;A16),
    "")</f>
        <v>298200</v>
      </c>
      <c r="F16" s="57">
        <v>1044150</v>
      </c>
      <c r="G16" s="57">
        <v>70670</v>
      </c>
      <c r="H16" s="57">
        <v>376330</v>
      </c>
      <c r="I16" s="57">
        <v>333484.34457397927</v>
      </c>
      <c r="J16" s="58" t="s">
        <v>89</v>
      </c>
    </row>
    <row r="17" spans="1:16" ht="21.75" customHeight="1" x14ac:dyDescent="0.2">
      <c r="A17" s="59">
        <v>46202</v>
      </c>
      <c r="B17" s="17">
        <f>IF(A17&lt;&gt;"",
    SUMIFS([43]FinancingJournal!$E:$E,
           [43]FinancingJournal!$C:$C,"Capital Injection",
           [43]FinancingJournal!$A:$A,"&lt;="&amp;A17),
    "")</f>
        <v>188380</v>
      </c>
      <c r="C17" s="18">
        <f>IF(A17&lt;&gt;"",
    SUMIFS([43]InvestingJournal!$F:$F,
           [43]InvestingJournal!$C:$C,"Izra Advance",
           [43]InvestingJournal!$A:$A,"&lt;="&amp;A17),
    "")</f>
        <v>105350</v>
      </c>
      <c r="D17" s="18">
        <f>IF(A17&lt;&gt;"",
    SUMIFS([43]InvestingJournal!$F:$F,
           [43]InvestingJournal!$C:$C,"Loan Advance",
           [43]InvestingJournal!$A:$A,"&lt;="&amp;A17),
    "")</f>
        <v>630000</v>
      </c>
      <c r="E17" s="18">
        <f>IF(A17&lt;&gt;"",
    SUMIFS([43]FinancingJournal!$E:$E,
           [43]FinancingJournal!$C:$C,"Borrowing",
           [43]FinancingJournal!$A:$A,"&lt;="&amp;A17)
    +
    SUMIFS([43]FinancingJournal!$E:$E,
           [43]FinancingJournal!$C:$C,"Withdrawal",
           [43]FinancingJournal!$A:$A,"&lt;="&amp;A17),
    "")</f>
        <v>298200</v>
      </c>
      <c r="F17" s="60">
        <v>1044150</v>
      </c>
      <c r="G17" s="60">
        <v>230670</v>
      </c>
      <c r="H17" s="60">
        <v>376330</v>
      </c>
      <c r="I17" s="60">
        <v>333484.34457397927</v>
      </c>
      <c r="J17" s="61" t="s">
        <v>90</v>
      </c>
      <c r="P17" s="9"/>
    </row>
    <row r="18" spans="1:16" ht="21.75" customHeight="1" x14ac:dyDescent="0.2">
      <c r="A18" s="56">
        <v>46202</v>
      </c>
      <c r="B18" s="14">
        <f>IF(A18&lt;&gt;"",
    SUMIFS([43]FinancingJournal!$E:$E,
           [43]FinancingJournal!$C:$C,"Capital Injection",
           [43]FinancingJournal!$A:$A,"&lt;="&amp;A18),
    "")</f>
        <v>188380</v>
      </c>
      <c r="C18" s="15">
        <f>IF(A18&lt;&gt;"",
    SUMIFS([43]InvestingJournal!$F:$F,
           [43]InvestingJournal!$C:$C,"Izra Advance",
           [43]InvestingJournal!$A:$A,"&lt;="&amp;A18),
    "")</f>
        <v>105350</v>
      </c>
      <c r="D18" s="15">
        <f>IF(A18&lt;&gt;"",
    SUMIFS([43]InvestingJournal!$F:$F,
           [43]InvestingJournal!$C:$C,"Loan Advance",
           [43]InvestingJournal!$A:$A,"&lt;="&amp;A18),
    "")</f>
        <v>630000</v>
      </c>
      <c r="E18" s="15">
        <f>IF(A18&lt;&gt;"",
    SUMIFS([43]FinancingJournal!$E:$E,
           [43]FinancingJournal!$C:$C,"Borrowing",
           [43]FinancingJournal!$A:$A,"&lt;="&amp;A18)
    +
    SUMIFS([43]FinancingJournal!$E:$E,
           [43]FinancingJournal!$C:$C,"Withdrawal",
           [43]FinancingJournal!$A:$A,"&lt;="&amp;A18),
    "")</f>
        <v>298200</v>
      </c>
      <c r="F18" s="57">
        <v>1080250</v>
      </c>
      <c r="G18" s="57">
        <v>40670</v>
      </c>
      <c r="H18" s="57">
        <v>602430</v>
      </c>
      <c r="I18" s="57">
        <v>559584.34457397927</v>
      </c>
      <c r="J18" s="58" t="s">
        <v>34</v>
      </c>
    </row>
    <row r="19" spans="1:16" ht="21.75" customHeight="1" x14ac:dyDescent="0.2">
      <c r="A19" s="59">
        <v>46204</v>
      </c>
      <c r="B19" s="17">
        <f>IF(A19&lt;&gt;"",
    SUMIFS([43]FinancingJournal!$E:$E,
           [43]FinancingJournal!$C:$C,"Capital Injection",
           [43]FinancingJournal!$A:$A,"&lt;="&amp;A19),
    "")</f>
        <v>188380</v>
      </c>
      <c r="C19" s="18">
        <f>IF(A19&lt;&gt;"",
    SUMIFS([43]InvestingJournal!$F:$F,
           [43]InvestingJournal!$C:$C,"Izra Advance",
           [43]InvestingJournal!$A:$A,"&lt;="&amp;A19),
    "")</f>
        <v>105350</v>
      </c>
      <c r="D19" s="18">
        <f>IF(A19&lt;&gt;"",
    SUMIFS([43]InvestingJournal!$F:$F,
           [43]InvestingJournal!$C:$C,"Loan Advance",
           [43]InvestingJournal!$A:$A,"&lt;="&amp;A19),
    "")</f>
        <v>630000</v>
      </c>
      <c r="E19" s="18">
        <f>IF(A19&lt;&gt;"",
    SUMIFS([43]FinancingJournal!$E:$E,
           [43]FinancingJournal!$C:$C,"Borrowing",
           [43]FinancingJournal!$A:$A,"&lt;="&amp;A19)
    +
    SUMIFS([43]FinancingJournal!$E:$E,
           [43]FinancingJournal!$C:$C,"Withdrawal",
           [43]FinancingJournal!$A:$A,"&lt;="&amp;A19),
    "")</f>
        <v>298200</v>
      </c>
      <c r="F19" s="60">
        <v>1080250</v>
      </c>
      <c r="G19" s="60">
        <v>66490</v>
      </c>
      <c r="H19" s="60">
        <v>576610</v>
      </c>
      <c r="I19" s="60">
        <v>532859.65147229424</v>
      </c>
      <c r="J19" s="61"/>
      <c r="P19" s="9"/>
    </row>
    <row r="20" spans="1:16" ht="21.75" customHeight="1" x14ac:dyDescent="0.2">
      <c r="A20" s="56">
        <v>46204</v>
      </c>
      <c r="B20" s="14">
        <f>IF(A20&lt;&gt;"",
    SUMIFS([43]FinancingJournal!$E:$E,
           [43]FinancingJournal!$C:$C,"Capital Injection",
           [43]FinancingJournal!$A:$A,"&lt;="&amp;A20),
    "")</f>
        <v>188380</v>
      </c>
      <c r="C20" s="15">
        <f>IF(A20&lt;&gt;"",
    SUMIFS([43]InvestingJournal!$F:$F,
           [43]InvestingJournal!$C:$C,"Izra Advance",
           [43]InvestingJournal!$A:$A,"&lt;="&amp;A20),
    "")</f>
        <v>105350</v>
      </c>
      <c r="D20" s="15">
        <f>IF(A20&lt;&gt;"",
    SUMIFS([43]InvestingJournal!$F:$F,
           [43]InvestingJournal!$C:$C,"Loan Advance",
           [43]InvestingJournal!$A:$A,"&lt;="&amp;A20),
    "")</f>
        <v>630000</v>
      </c>
      <c r="E20" s="15">
        <f>IF(A20&lt;&gt;"",
    SUMIFS([43]FinancingJournal!$E:$E,
           [43]FinancingJournal!$C:$C,"Borrowing",
           [43]FinancingJournal!$A:$A,"&lt;="&amp;A20)
    +
    SUMIFS([43]FinancingJournal!$E:$E,
           [43]FinancingJournal!$C:$C,"Withdrawal",
           [43]FinancingJournal!$A:$A,"&lt;="&amp;A20),
    "")</f>
        <v>298200</v>
      </c>
      <c r="F20" s="57">
        <v>1087850</v>
      </c>
      <c r="G20" s="57">
        <v>26490</v>
      </c>
      <c r="H20" s="57">
        <v>624210</v>
      </c>
      <c r="I20" s="57">
        <v>580459.65147229424</v>
      </c>
      <c r="J20" s="58" t="s">
        <v>91</v>
      </c>
    </row>
    <row r="21" spans="1:16" ht="21.75" customHeight="1" x14ac:dyDescent="0.2">
      <c r="A21" s="59">
        <v>46206</v>
      </c>
      <c r="B21" s="17">
        <f>IF(A21&lt;&gt;"",
    SUMIFS([43]FinancingJournal!$E:$E,
           [43]FinancingJournal!$C:$C,"Capital Injection",
           [43]FinancingJournal!$A:$A,"&lt;="&amp;A21),
    "")</f>
        <v>188380</v>
      </c>
      <c r="C21" s="18">
        <f>IF(A21&lt;&gt;"",
    SUMIFS([43]InvestingJournal!$F:$F,
           [43]InvestingJournal!$C:$C,"Izra Advance",
           [43]InvestingJournal!$A:$A,"&lt;="&amp;A21),
    "")</f>
        <v>105350</v>
      </c>
      <c r="D21" s="18">
        <f>IF(A21&lt;&gt;"",
    SUMIFS([43]InvestingJournal!$F:$F,
           [43]InvestingJournal!$C:$C,"Loan Advance",
           [43]InvestingJournal!$A:$A,"&lt;="&amp;A21),
    "")</f>
        <v>630000</v>
      </c>
      <c r="E21" s="18">
        <f>IF(A21&lt;&gt;"",
    SUMIFS([43]FinancingJournal!$E:$E,
           [43]FinancingJournal!$C:$C,"Borrowing",
           [43]FinancingJournal!$A:$A,"&lt;="&amp;A21)
    +
    SUMIFS([43]FinancingJournal!$E:$E,
           [43]FinancingJournal!$C:$C,"Withdrawal",
           [43]FinancingJournal!$A:$A,"&lt;="&amp;A21),
    "")</f>
        <v>298200</v>
      </c>
      <c r="F21" s="60">
        <v>1087850</v>
      </c>
      <c r="G21" s="60">
        <v>61670</v>
      </c>
      <c r="H21" s="60">
        <v>589030</v>
      </c>
      <c r="I21" s="60">
        <v>507348.65733446425</v>
      </c>
      <c r="J21" s="61"/>
      <c r="P21" s="9"/>
    </row>
    <row r="22" spans="1:16" ht="21.75" customHeight="1" x14ac:dyDescent="0.2">
      <c r="A22" s="56">
        <v>46206</v>
      </c>
      <c r="B22" s="14">
        <f>IF(A22&lt;&gt;"",
    SUMIFS([43]FinancingJournal!$E:$E,
           [43]FinancingJournal!$C:$C,"Capital Injection",
           [43]FinancingJournal!$A:$A,"&lt;="&amp;A22),
    "")</f>
        <v>188380</v>
      </c>
      <c r="C22" s="15">
        <f>IF(A22&lt;&gt;"",
    SUMIFS([43]InvestingJournal!$F:$F,
           [43]InvestingJournal!$C:$C,"Izra Advance",
           [43]InvestingJournal!$A:$A,"&lt;="&amp;A22),
    "")</f>
        <v>105350</v>
      </c>
      <c r="D22" s="15">
        <f>IF(A22&lt;&gt;"",
    SUMIFS([43]InvestingJournal!$F:$F,
           [43]InvestingJournal!$C:$C,"Loan Advance",
           [43]InvestingJournal!$A:$A,"&lt;="&amp;A22),
    "")</f>
        <v>630000</v>
      </c>
      <c r="E22" s="15">
        <f>IF(A22&lt;&gt;"",
    SUMIFS([43]FinancingJournal!$E:$E,
           [43]FinancingJournal!$C:$C,"Borrowing",
           [43]FinancingJournal!$A:$A,"&lt;="&amp;A22)
    +
    SUMIFS([43]FinancingJournal!$E:$E,
           [43]FinancingJournal!$C:$C,"Withdrawal",
           [43]FinancingJournal!$A:$A,"&lt;="&amp;A22),
    "")</f>
        <v>298200</v>
      </c>
      <c r="F22" s="57">
        <v>1093850</v>
      </c>
      <c r="G22" s="57">
        <v>31670</v>
      </c>
      <c r="H22" s="57">
        <v>625030</v>
      </c>
      <c r="I22" s="57">
        <v>543348.65733446425</v>
      </c>
      <c r="J22" s="58" t="s">
        <v>61</v>
      </c>
    </row>
    <row r="23" spans="1:16" ht="21.75" customHeight="1" x14ac:dyDescent="0.2">
      <c r="A23" s="59">
        <v>46211</v>
      </c>
      <c r="B23" s="17">
        <f>IF(A23&lt;&gt;"",
    SUMIFS([43]FinancingJournal!$E:$E,
           [43]FinancingJournal!$C:$C,"Capital Injection",
           [43]FinancingJournal!$A:$A,"&lt;="&amp;A23),
    "")</f>
        <v>188380</v>
      </c>
      <c r="C23" s="18">
        <f>IF(A23&lt;&gt;"",
    SUMIFS([43]InvestingJournal!$F:$F,
           [43]InvestingJournal!$C:$C,"Izra Advance",
           [43]InvestingJournal!$A:$A,"&lt;="&amp;A23),
    "")</f>
        <v>105350</v>
      </c>
      <c r="D23" s="18">
        <f>IF(A23&lt;&gt;"",
    SUMIFS([43]InvestingJournal!$F:$F,
           [43]InvestingJournal!$C:$C,"Loan Advance",
           [43]InvestingJournal!$A:$A,"&lt;="&amp;A23),
    "")</f>
        <v>630000</v>
      </c>
      <c r="E23" s="18">
        <f>IF(A23&lt;&gt;"",
    SUMIFS([43]FinancingJournal!$E:$E,
           [43]FinancingJournal!$C:$C,"Borrowing",
           [43]FinancingJournal!$A:$A,"&lt;="&amp;A23)
    +
    SUMIFS([43]FinancingJournal!$E:$E,
           [43]FinancingJournal!$C:$C,"Withdrawal",
           [43]FinancingJournal!$A:$A,"&lt;="&amp;A23),
    "")</f>
        <v>298200</v>
      </c>
      <c r="F23" s="60">
        <v>1093330</v>
      </c>
      <c r="G23" s="60">
        <v>42900</v>
      </c>
      <c r="H23" s="60">
        <v>613280</v>
      </c>
      <c r="I23" s="60">
        <v>534277.02206937643</v>
      </c>
      <c r="J23" s="61" t="s">
        <v>92</v>
      </c>
      <c r="P23" s="9"/>
    </row>
    <row r="24" spans="1:16" ht="21.75" customHeight="1" x14ac:dyDescent="0.2">
      <c r="A24" s="56">
        <v>46213</v>
      </c>
      <c r="B24" s="14">
        <f>IF(A24&lt;&gt;"",
    SUMIFS([43]FinancingJournal!$E:$E,
           [43]FinancingJournal!$C:$C,"Capital Injection",
           [43]FinancingJournal!$A:$A,"&lt;="&amp;A24),
    "")</f>
        <v>188380</v>
      </c>
      <c r="C24" s="15">
        <f>IF(A24&lt;&gt;"",
    SUMIFS([43]InvestingJournal!$F:$F,
           [43]InvestingJournal!$C:$C,"Izra Advance",
           [43]InvestingJournal!$A:$A,"&lt;="&amp;A24),
    "")</f>
        <v>105350</v>
      </c>
      <c r="D24" s="15">
        <f>IF(A24&lt;&gt;"",
    SUMIFS([43]InvestingJournal!$F:$F,
           [43]InvestingJournal!$C:$C,"Loan Advance",
           [43]InvestingJournal!$A:$A,"&lt;="&amp;A24),
    "")</f>
        <v>630000</v>
      </c>
      <c r="E24" s="15">
        <f>IF(A24&lt;&gt;"",
    SUMIFS([43]FinancingJournal!$E:$E,
           [43]FinancingJournal!$C:$C,"Borrowing",
           [43]FinancingJournal!$A:$A,"&lt;="&amp;A24)
    +
    SUMIFS([43]FinancingJournal!$E:$E,
           [43]FinancingJournal!$C:$C,"Withdrawal",
           [43]FinancingJournal!$A:$A,"&lt;="&amp;A24),
    "")</f>
        <v>298200</v>
      </c>
      <c r="F24" s="57">
        <v>1093330</v>
      </c>
      <c r="G24" s="57">
        <v>68950</v>
      </c>
      <c r="H24" s="57">
        <v>587230</v>
      </c>
      <c r="I24" s="57">
        <v>508482.14426753257</v>
      </c>
      <c r="J24" s="58"/>
    </row>
    <row r="25" spans="1:16" ht="21.75" customHeight="1" x14ac:dyDescent="0.2">
      <c r="A25" s="59">
        <v>46213</v>
      </c>
      <c r="B25" s="17">
        <f>IF(A25&lt;&gt;"",
    SUMIFS([43]FinancingJournal!$E:$E,
           [43]FinancingJournal!$C:$C,"Capital Injection",
           [43]FinancingJournal!$A:$A,"&lt;="&amp;A25),
    "")</f>
        <v>188380</v>
      </c>
      <c r="C25" s="18">
        <f>IF(A25&lt;&gt;"",
    SUMIFS([43]InvestingJournal!$F:$F,
           [43]InvestingJournal!$C:$C,"Izra Advance",
           [43]InvestingJournal!$A:$A,"&lt;="&amp;A25),
    "")</f>
        <v>105350</v>
      </c>
      <c r="D25" s="18">
        <f>IF(A25&lt;&gt;"",
    SUMIFS([43]InvestingJournal!$F:$F,
           [43]InvestingJournal!$C:$C,"Loan Advance",
           [43]InvestingJournal!$A:$A,"&lt;="&amp;A25),
    "")</f>
        <v>630000</v>
      </c>
      <c r="E25" s="18">
        <f>IF(A25&lt;&gt;"",
    SUMIFS([43]FinancingJournal!$E:$E,
           [43]FinancingJournal!$C:$C,"Borrowing",
           [43]FinancingJournal!$A:$A,"&lt;="&amp;A25)
    +
    SUMIFS([43]FinancingJournal!$E:$E,
           [43]FinancingJournal!$C:$C,"Withdrawal",
           [43]FinancingJournal!$A:$A,"&lt;="&amp;A25),
    "")</f>
        <v>298200</v>
      </c>
      <c r="F25" s="60">
        <v>1099030</v>
      </c>
      <c r="G25" s="60">
        <v>38950</v>
      </c>
      <c r="H25" s="60">
        <v>622930</v>
      </c>
      <c r="I25" s="60">
        <v>544182.14426753251</v>
      </c>
      <c r="J25" s="61" t="s">
        <v>93</v>
      </c>
      <c r="P25" s="9"/>
    </row>
    <row r="26" spans="1:16" ht="21.75" customHeight="1" x14ac:dyDescent="0.2">
      <c r="A26" s="56">
        <v>46216</v>
      </c>
      <c r="B26" s="14">
        <f>IF(A26&lt;&gt;"",
    SUMIFS([43]FinancingJournal!$E:$E,
           [43]FinancingJournal!$C:$C,"Capital Injection",
           [43]FinancingJournal!$A:$A,"&lt;="&amp;A26),
    "")</f>
        <v>188380</v>
      </c>
      <c r="C26" s="15">
        <f>IF(A26&lt;&gt;"",
    SUMIFS([43]InvestingJournal!$F:$F,
           [43]InvestingJournal!$C:$C,"Izra Advance",
           [43]InvestingJournal!$A:$A,"&lt;="&amp;A26),
    "")</f>
        <v>105350</v>
      </c>
      <c r="D26" s="15">
        <f>IF(A26&lt;&gt;"",
    SUMIFS([43]InvestingJournal!$F:$F,
           [43]InvestingJournal!$C:$C,"Loan Advance",
           [43]InvestingJournal!$A:$A,"&lt;="&amp;A26),
    "")</f>
        <v>630000</v>
      </c>
      <c r="E26" s="15">
        <f>IF(A26&lt;&gt;"",
    SUMIFS([43]FinancingJournal!$E:$E,
           [43]FinancingJournal!$C:$C,"Borrowing",
           [43]FinancingJournal!$A:$A,"&lt;="&amp;A26)
    +
    SUMIFS([43]FinancingJournal!$E:$E,
           [43]FinancingJournal!$C:$C,"Withdrawal",
           [43]FinancingJournal!$A:$A,"&lt;="&amp;A26),
    "")</f>
        <v>298200</v>
      </c>
      <c r="F26" s="57">
        <v>1082530</v>
      </c>
      <c r="G26" s="57">
        <v>34850</v>
      </c>
      <c r="H26" s="57">
        <v>610530</v>
      </c>
      <c r="I26" s="57">
        <v>534182.59257359686</v>
      </c>
      <c r="J26" s="58" t="s">
        <v>85</v>
      </c>
    </row>
    <row r="27" spans="1:16" ht="21.75" customHeight="1" x14ac:dyDescent="0.2">
      <c r="A27" s="59">
        <v>46221</v>
      </c>
      <c r="B27" s="17">
        <f>IF(A27&lt;&gt;"",
    SUMIFS([43]FinancingJournal!$E:$E,
           [43]FinancingJournal!$C:$C,"Capital Injection",
           [43]FinancingJournal!$A:$A,"&lt;="&amp;A27),
    "")</f>
        <v>188380</v>
      </c>
      <c r="C27" s="18">
        <f>IF(A27&lt;&gt;"",
    SUMIFS([43]InvestingJournal!$F:$F,
           [43]InvestingJournal!$C:$C,"Izra Advance",
           [43]InvestingJournal!$A:$A,"&lt;="&amp;A27),
    "")</f>
        <v>105350</v>
      </c>
      <c r="D27" s="18">
        <f>IF(A27&lt;&gt;"",
    SUMIFS([43]InvestingJournal!$F:$F,
           [43]InvestingJournal!$C:$C,"Loan Advance",
           [43]InvestingJournal!$A:$A,"&lt;="&amp;A27),
    "")</f>
        <v>630000</v>
      </c>
      <c r="E27" s="18">
        <f>IF(A27&lt;&gt;"",
    SUMIFS([43]FinancingJournal!$E:$E,
           [43]FinancingJournal!$C:$C,"Borrowing",
           [43]FinancingJournal!$A:$A,"&lt;="&amp;A27)
    +
    SUMIFS([43]FinancingJournal!$E:$E,
           [43]FinancingJournal!$C:$C,"Withdrawal",
           [43]FinancingJournal!$A:$A,"&lt;="&amp;A27),
    "")</f>
        <v>298200</v>
      </c>
      <c r="F27" s="60">
        <v>1079170</v>
      </c>
      <c r="G27" s="60">
        <v>68790</v>
      </c>
      <c r="H27" s="60">
        <v>573230</v>
      </c>
      <c r="I27" s="60">
        <v>499795.99577439326</v>
      </c>
      <c r="J27" s="61" t="s">
        <v>86</v>
      </c>
      <c r="P27" s="9"/>
    </row>
    <row r="28" spans="1:16" ht="21.75" customHeight="1" x14ac:dyDescent="0.2">
      <c r="A28" s="56">
        <v>46222</v>
      </c>
      <c r="B28" s="14">
        <f>IF(A28&lt;&gt;"",
    SUMIFS([43]FinancingJournal!$E:$E,
           [43]FinancingJournal!$C:$C,"Capital Injection",
           [43]FinancingJournal!$A:$A,"&lt;="&amp;A28),
    "")</f>
        <v>188380</v>
      </c>
      <c r="C28" s="15">
        <f>IF(A28&lt;&gt;"",
    SUMIFS([43]InvestingJournal!$F:$F,
           [43]InvestingJournal!$C:$C,"Izra Advance",
           [43]InvestingJournal!$A:$A,"&lt;="&amp;A28),
    "")</f>
        <v>105350</v>
      </c>
      <c r="D28" s="15">
        <f>IF(A28&lt;&gt;"",
    SUMIFS([43]InvestingJournal!$F:$F,
           [43]InvestingJournal!$C:$C,"Loan Advance",
           [43]InvestingJournal!$A:$A,"&lt;="&amp;A28),
    "")</f>
        <v>630000</v>
      </c>
      <c r="E28" s="15">
        <f>IF(A28&lt;&gt;"",
    SUMIFS([43]FinancingJournal!$E:$E,
           [43]FinancingJournal!$C:$C,"Borrowing",
           [43]FinancingJournal!$A:$A,"&lt;="&amp;A28)
    +
    SUMIFS([43]FinancingJournal!$E:$E,
           [43]FinancingJournal!$C:$C,"Withdrawal",
           [43]FinancingJournal!$A:$A,"&lt;="&amp;A28),
    "")</f>
        <v>390700</v>
      </c>
      <c r="F28" s="57">
        <v>1079170</v>
      </c>
      <c r="G28" s="57">
        <v>161290</v>
      </c>
      <c r="H28" s="57">
        <v>573230</v>
      </c>
      <c r="I28" s="57">
        <v>499795.99577439326</v>
      </c>
      <c r="J28" s="58" t="s">
        <v>94</v>
      </c>
    </row>
    <row r="29" spans="1:16" ht="21.75" customHeight="1" x14ac:dyDescent="0.2">
      <c r="A29" s="59">
        <v>46222</v>
      </c>
      <c r="B29" s="17">
        <f>IF(A29&lt;&gt;"",
    SUMIFS([43]FinancingJournal!$E:$E,
           [43]FinancingJournal!$C:$C,"Capital Injection",
           [43]FinancingJournal!$A:$A,"&lt;="&amp;A29),
    "")</f>
        <v>188380</v>
      </c>
      <c r="C29" s="18">
        <f>IF(A29&lt;&gt;"",
    SUMIFS([43]InvestingJournal!$F:$F,
           [43]InvestingJournal!$C:$C,"Izra Advance",
           [43]InvestingJournal!$A:$A,"&lt;="&amp;A29),
    "")</f>
        <v>105350</v>
      </c>
      <c r="D29" s="18">
        <f>IF(A29&lt;&gt;"",
    SUMIFS([43]InvestingJournal!$F:$F,
           [43]InvestingJournal!$C:$C,"Loan Advance",
           [43]InvestingJournal!$A:$A,"&lt;="&amp;A29),
    "")</f>
        <v>630000</v>
      </c>
      <c r="E29" s="18">
        <f>IF(A29&lt;&gt;"",
    SUMIFS([43]FinancingJournal!$E:$E,
           [43]FinancingJournal!$C:$C,"Borrowing",
           [43]FinancingJournal!$A:$A,"&lt;="&amp;A29)
    +
    SUMIFS([43]FinancingJournal!$E:$E,
           [43]FinancingJournal!$C:$C,"Withdrawal",
           [43]FinancingJournal!$A:$A,"&lt;="&amp;A29),
    "")</f>
        <v>390700</v>
      </c>
      <c r="F29" s="60">
        <v>1098170</v>
      </c>
      <c r="G29" s="60">
        <v>61290</v>
      </c>
      <c r="H29" s="60">
        <v>692230</v>
      </c>
      <c r="I29" s="60">
        <v>618795.9957743932</v>
      </c>
      <c r="J29" s="61" t="s">
        <v>95</v>
      </c>
      <c r="P29" s="9"/>
    </row>
    <row r="30" spans="1:16" ht="21.75" customHeight="1" x14ac:dyDescent="0.2">
      <c r="A30" s="56">
        <v>46225</v>
      </c>
      <c r="B30" s="14">
        <f>IF(A30&lt;&gt;"",
    SUMIFS([43]FinancingJournal!$E:$E,
           [43]FinancingJournal!$C:$C,"Capital Injection",
           [43]FinancingJournal!$A:$A,"&lt;="&amp;A30),
    "")</f>
        <v>188380</v>
      </c>
      <c r="C30" s="15">
        <v>105350</v>
      </c>
      <c r="D30" s="15">
        <f>IF(A30&lt;&gt;"",
    SUMIFS([43]InvestingJournal!$F:$F,
           [43]InvestingJournal!$C:$C,"Loan Advance",
           [43]InvestingJournal!$A:$A,"&lt;="&amp;A30),
    "")</f>
        <v>630000</v>
      </c>
      <c r="E30" s="15">
        <v>390700</v>
      </c>
      <c r="F30" s="57">
        <v>1094320</v>
      </c>
      <c r="G30" s="57">
        <v>68070</v>
      </c>
      <c r="H30" s="57">
        <v>681600</v>
      </c>
      <c r="I30" s="57">
        <v>610597.2100687963</v>
      </c>
      <c r="J30" s="58" t="s">
        <v>96</v>
      </c>
    </row>
    <row r="31" spans="1:16" ht="21.75" customHeight="1" x14ac:dyDescent="0.2">
      <c r="A31" s="59">
        <v>46225</v>
      </c>
      <c r="B31" s="17">
        <f>IF(A31&lt;&gt;"",
    SUMIFS([43]FinancingJournal!$E:$E,
           [43]FinancingJournal!$C:$C,"Capital Injection",
           [43]FinancingJournal!$A:$A,"&lt;="&amp;A31),
    "")</f>
        <v>188380</v>
      </c>
      <c r="C31" s="18">
        <v>105350</v>
      </c>
      <c r="D31" s="18">
        <f>IF(A31&lt;&gt;"",
    SUMIFS([43]InvestingJournal!$F:$F,
           [43]InvestingJournal!$C:$C,"Loan Advance",
           [43]InvestingJournal!$A:$A,"&lt;="&amp;A31),
    "")</f>
        <v>630000</v>
      </c>
      <c r="E31" s="18">
        <v>360700</v>
      </c>
      <c r="F31" s="60">
        <v>1094320</v>
      </c>
      <c r="G31" s="60">
        <v>38070</v>
      </c>
      <c r="H31" s="60">
        <v>681600</v>
      </c>
      <c r="I31" s="60">
        <v>610597.2100687963</v>
      </c>
      <c r="J31" s="61" t="s">
        <v>97</v>
      </c>
      <c r="P31" s="9"/>
    </row>
    <row r="32" spans="1:16" ht="21.75" customHeight="1" x14ac:dyDescent="0.2">
      <c r="A32" s="56">
        <v>46225</v>
      </c>
      <c r="B32" s="14">
        <f>IF(A32&lt;&gt;"",
    SUMIFS([43]FinancingJournal!$E:$E,
           [43]FinancingJournal!$C:$C,"Capital Injection",
           [43]FinancingJournal!$A:$A,"&lt;="&amp;A32),
    "")</f>
        <v>188380</v>
      </c>
      <c r="C32" s="15">
        <f>IF(A32&lt;&gt;"",
    SUMIFS([43]InvestingJournal!$F:$F,
           [43]InvestingJournal!$C:$C,"Izra Advance",
           [43]InvestingJournal!$A:$A,"&lt;="&amp;A32),
    "")</f>
        <v>120000</v>
      </c>
      <c r="D32" s="15">
        <f>IF(A32&lt;&gt;"",
    SUMIFS([43]InvestingJournal!$F:$F,
           [43]InvestingJournal!$C:$C,"Loan Advance",
           [43]InvestingJournal!$A:$A,"&lt;="&amp;A32),
    "")</f>
        <v>630000</v>
      </c>
      <c r="E32" s="15">
        <v>360700</v>
      </c>
      <c r="F32" s="57">
        <v>1094320</v>
      </c>
      <c r="G32" s="57">
        <v>23420</v>
      </c>
      <c r="H32" s="57">
        <v>681600</v>
      </c>
      <c r="I32" s="57">
        <v>610597.2100687963</v>
      </c>
      <c r="J32" s="58" t="s">
        <v>98</v>
      </c>
    </row>
    <row r="33" spans="1:16" ht="21.75" customHeight="1" x14ac:dyDescent="0.2">
      <c r="A33" s="59">
        <v>46225</v>
      </c>
      <c r="B33" s="17">
        <f>IF(A33&lt;&gt;"",
    SUMIFS([43]FinancingJournal!$E:$E,
           [43]FinancingJournal!$C:$C,"Capital Injection",
           [43]FinancingJournal!$A:$A,"&lt;="&amp;A33),
    "")</f>
        <v>188380</v>
      </c>
      <c r="C33" s="18">
        <f>IF(A33&lt;&gt;"",
    SUMIFS([43]InvestingJournal!$F:$F,
           [43]InvestingJournal!$C:$C,"Izra Advance",
           [43]InvestingJournal!$A:$A,"&lt;="&amp;A33),
    "")</f>
        <v>120000</v>
      </c>
      <c r="D33" s="18">
        <f>IF(A33&lt;&gt;"",
    SUMIFS([43]InvestingJournal!$F:$F,
           [43]InvestingJournal!$C:$C,"Loan Advance",
           [43]InvestingJournal!$A:$A,"&lt;="&amp;A33),
    "")</f>
        <v>630000</v>
      </c>
      <c r="E33" s="18">
        <f>IF(A33&lt;&gt;"",
    SUMIFS([43]FinancingJournal!$E:$E,
           [43]FinancingJournal!$C:$C,"Borrowing",
           [43]FinancingJournal!$A:$A,"&lt;="&amp;A33)
    +
    SUMIFS([43]FinancingJournal!$E:$E,
           [43]FinancingJournal!$C:$C,"Withdrawal",
           [43]FinancingJournal!$A:$A,"&lt;="&amp;A33),
    "")</f>
        <v>450500</v>
      </c>
      <c r="F33" s="60">
        <v>1094320</v>
      </c>
      <c r="G33" s="60">
        <v>113220</v>
      </c>
      <c r="H33" s="60">
        <v>681600</v>
      </c>
      <c r="I33" s="60">
        <v>610597.2100687963</v>
      </c>
      <c r="J33" s="61" t="s">
        <v>99</v>
      </c>
      <c r="P33" s="9"/>
    </row>
    <row r="34" spans="1:16" ht="21.75" customHeight="1" x14ac:dyDescent="0.2">
      <c r="A34" s="56">
        <v>46225</v>
      </c>
      <c r="B34" s="14">
        <f>IF(A34&lt;&gt;"",
    SUMIFS([43]FinancingJournal!$E:$E,
           [43]FinancingJournal!$C:$C,"Capital Injection",
           [43]FinancingJournal!$A:$A,"&lt;="&amp;A34),
    "")</f>
        <v>188380</v>
      </c>
      <c r="C34" s="15">
        <f>IF(A34&lt;&gt;"",
    SUMIFS([43]InvestingJournal!$F:$F,
           [43]InvestingJournal!$C:$C,"Izra Advance",
           [43]InvestingJournal!$A:$A,"&lt;="&amp;A34),
    "")</f>
        <v>120000</v>
      </c>
      <c r="D34" s="15">
        <f>IF(A34&lt;&gt;"",
    SUMIFS([43]InvestingJournal!$F:$F,
           [43]InvestingJournal!$C:$C,"Loan Advance",
           [43]InvestingJournal!$A:$A,"&lt;="&amp;A34),
    "")</f>
        <v>630000</v>
      </c>
      <c r="E34" s="15">
        <f>IF(A34&lt;&gt;"",
    SUMIFS([43]FinancingJournal!$E:$E,
           [43]FinancingJournal!$C:$C,"Borrowing",
           [43]FinancingJournal!$A:$A,"&lt;="&amp;A34)
    +
    SUMIFS([43]FinancingJournal!$E:$E,
           [43]FinancingJournal!$C:$C,"Withdrawal",
           [43]FinancingJournal!$A:$A,"&lt;="&amp;A34),
    "")</f>
        <v>450500</v>
      </c>
      <c r="F34" s="57">
        <v>1105720</v>
      </c>
      <c r="G34" s="57">
        <v>53220</v>
      </c>
      <c r="H34" s="57">
        <v>753000</v>
      </c>
      <c r="I34" s="57">
        <v>681997.2100687963</v>
      </c>
      <c r="J34" s="58" t="s">
        <v>100</v>
      </c>
    </row>
    <row r="35" spans="1:16" ht="21.75" customHeight="1" x14ac:dyDescent="0.2">
      <c r="A35" s="16">
        <v>46230</v>
      </c>
      <c r="B35" s="17">
        <f>IF(A35&lt;&gt;"",
    SUMIFS([43]FinancingJournal!$E:$E,
           [43]FinancingJournal!$C:$C,"Capital Injection",
           [43]FinancingJournal!$A:$A,"&lt;="&amp;A35),
    "")</f>
        <v>188380</v>
      </c>
      <c r="C35" s="18">
        <f>IF(A35&lt;&gt;"",
    SUMIFS([43]InvestingJournal!$F:$F,
           [43]InvestingJournal!$C:$C,"Izra Advance",
           [43]InvestingJournal!$A:$A,"&lt;="&amp;A35),
    "")</f>
        <v>120000</v>
      </c>
      <c r="D35" s="18">
        <f>IF(A35&lt;&gt;"",
    SUMIFS([43]InvestingJournal!$F:$F,
           [43]InvestingJournal!$C:$C,"Loan Advance",
           [43]InvestingJournal!$A:$A,"&lt;="&amp;A35),
    "")</f>
        <v>630000</v>
      </c>
      <c r="E35" s="18">
        <f>IF(A35&lt;&gt;"",
    SUMIFS([43]FinancingJournal!$E:$E,
           [43]FinancingJournal!$C:$C,"Borrowing",
           [43]FinancingJournal!$A:$A,"&lt;="&amp;A35)
    +
    SUMIFS([43]FinancingJournal!$E:$E,
           [43]FinancingJournal!$C:$C,"Withdrawal",
           [43]FinancingJournal!$A:$A,"&lt;="&amp;A35),
    "")</f>
        <v>450500</v>
      </c>
      <c r="F35" s="29">
        <v>1103800</v>
      </c>
      <c r="G35" s="29">
        <v>93750</v>
      </c>
      <c r="H35" s="29">
        <v>710550</v>
      </c>
      <c r="I35" s="29">
        <v>630364.49191414972</v>
      </c>
      <c r="J35" s="32" t="s">
        <v>101</v>
      </c>
      <c r="P35" s="9"/>
    </row>
    <row r="36" spans="1:16" ht="21.75" customHeight="1" x14ac:dyDescent="0.2">
      <c r="A36" s="11">
        <v>46230</v>
      </c>
      <c r="B36" s="14">
        <f>IF(A36&lt;&gt;"",
    SUMIFS([43]FinancingJournal!$E:$E,
           [43]FinancingJournal!$C:$C,"Capital Injection",
           [43]FinancingJournal!$A:$A,"&lt;="&amp;A36),
    "")</f>
        <v>188380</v>
      </c>
      <c r="C36" s="15">
        <f>IF(A36&lt;&gt;"",
    SUMIFS([43]InvestingJournal!$F:$F,
           [43]InvestingJournal!$C:$C,"Izra Advance",
           [43]InvestingJournal!$A:$A,"&lt;="&amp;A36),
    "")</f>
        <v>120000</v>
      </c>
      <c r="D36" s="15">
        <f>IF(A36&lt;&gt;"",
    SUMIFS([43]InvestingJournal!$F:$F,
           [43]InvestingJournal!$C:$C,"Loan Advance",
           [43]InvestingJournal!$A:$A,"&lt;="&amp;A36),
    "")</f>
        <v>630000</v>
      </c>
      <c r="E36" s="15">
        <f>IF(A36&lt;&gt;"",
    SUMIFS([43]FinancingJournal!$E:$E,
           [43]FinancingJournal!$C:$C,"Borrowing",
           [43]FinancingJournal!$A:$A,"&lt;="&amp;A36)
    +
    SUMIFS([43]FinancingJournal!$E:$E,
           [43]FinancingJournal!$C:$C,"Withdrawal",
           [43]FinancingJournal!$A:$A,"&lt;="&amp;A36),
    "")</f>
        <v>450500</v>
      </c>
      <c r="F36" s="26">
        <v>1107600</v>
      </c>
      <c r="G36" s="26">
        <v>73750</v>
      </c>
      <c r="H36" s="26">
        <v>734350</v>
      </c>
      <c r="I36" s="26">
        <v>654164.49191414972</v>
      </c>
      <c r="J36" s="31" t="s">
        <v>102</v>
      </c>
    </row>
    <row r="37" spans="1:16" ht="21.75" customHeight="1" x14ac:dyDescent="0.2">
      <c r="A37" s="16">
        <v>46234</v>
      </c>
      <c r="B37" s="17">
        <f>IF(A37&lt;&gt;"",
    SUMIFS([43]FinancingJournal!$E:$E,
           [43]FinancingJournal!$C:$C,"Capital Injection",
           [43]FinancingJournal!$A:$A,"&lt;="&amp;A37),
    "")</f>
        <v>188380</v>
      </c>
      <c r="C37" s="18">
        <v>120000</v>
      </c>
      <c r="D37" s="18">
        <f>IF(A37&lt;&gt;"",
    SUMIFS([43]InvestingJournal!$F:$F,
           [43]InvestingJournal!$C:$C,"Loan Advance",
           [43]InvestingJournal!$A:$A,"&lt;="&amp;A37),
    "")</f>
        <v>630000</v>
      </c>
      <c r="E37" s="18">
        <v>450500</v>
      </c>
      <c r="F37" s="29">
        <v>1107600</v>
      </c>
      <c r="G37" s="29">
        <v>110550</v>
      </c>
      <c r="H37" s="29">
        <v>697550</v>
      </c>
      <c r="I37" s="29">
        <v>610074.45420352323</v>
      </c>
      <c r="J37" s="32"/>
      <c r="P37" s="9"/>
    </row>
    <row r="38" spans="1:16" ht="21.75" customHeight="1" x14ac:dyDescent="0.2">
      <c r="A38" s="11">
        <v>46234</v>
      </c>
      <c r="B38" s="14">
        <f>IF(A38&lt;&gt;"",
    SUMIFS([43]FinancingJournal!$E:$E,
           [43]FinancingJournal!$C:$C,"Capital Injection",
           [43]FinancingJournal!$A:$A,"&lt;="&amp;A38),
    "")</f>
        <v>188380</v>
      </c>
      <c r="C38" s="15">
        <v>120000</v>
      </c>
      <c r="D38" s="15">
        <f>IF(A38&lt;&gt;"",
    SUMIFS([43]InvestingJournal!$F:$F,
           [43]InvestingJournal!$C:$C,"Loan Advance",
           [43]InvestingJournal!$A:$A,"&lt;="&amp;A38),
    "")</f>
        <v>630000</v>
      </c>
      <c r="E38" s="15">
        <v>470500</v>
      </c>
      <c r="F38" s="26">
        <v>1107600</v>
      </c>
      <c r="G38" s="26">
        <v>130550</v>
      </c>
      <c r="H38" s="26">
        <v>697550</v>
      </c>
      <c r="I38" s="26">
        <v>610074.45420352323</v>
      </c>
      <c r="J38" s="31" t="s">
        <v>103</v>
      </c>
    </row>
    <row r="39" spans="1:16" ht="21.75" customHeight="1" x14ac:dyDescent="0.2">
      <c r="A39" s="16">
        <v>46234</v>
      </c>
      <c r="B39" s="17">
        <f>IF(A39&lt;&gt;"",
    SUMIFS([43]FinancingJournal!$E:$E,
           [43]FinancingJournal!$C:$C,"Capital Injection",
           [43]FinancingJournal!$A:$A,"&lt;="&amp;A39),
    "")</f>
        <v>188380</v>
      </c>
      <c r="C39" s="18">
        <v>120000</v>
      </c>
      <c r="D39" s="18">
        <f>IF(A39&lt;&gt;"",
    SUMIFS([43]InvestingJournal!$F:$F,
           [43]InvestingJournal!$C:$C,"Loan Advance",
           [43]InvestingJournal!$A:$A,"&lt;="&amp;A39),
    "")</f>
        <v>630000</v>
      </c>
      <c r="E39" s="18">
        <v>470500</v>
      </c>
      <c r="F39" s="29">
        <v>1111400</v>
      </c>
      <c r="G39" s="29">
        <v>110550</v>
      </c>
      <c r="H39" s="29">
        <v>721350</v>
      </c>
      <c r="I39" s="29">
        <v>633874.45420352323</v>
      </c>
      <c r="J39" s="32" t="s">
        <v>104</v>
      </c>
      <c r="P39" s="9"/>
    </row>
    <row r="40" spans="1:16" ht="21.75" customHeight="1" x14ac:dyDescent="0.2">
      <c r="A40" s="11">
        <v>46234</v>
      </c>
      <c r="B40" s="14">
        <f>IF(A40&lt;&gt;"",
    SUMIFS([43]FinancingJournal!$E:$E,
           [43]FinancingJournal!$C:$C,"Capital Injection",
           [43]FinancingJournal!$A:$A,"&lt;="&amp;A40),
    "")</f>
        <v>188380</v>
      </c>
      <c r="C40" s="15">
        <v>120000</v>
      </c>
      <c r="D40" s="15">
        <f>IF(A40&lt;&gt;"",
    SUMIFS([43]InvestingJournal!$F:$F,
           [43]InvestingJournal!$C:$C,"Loan Advance",
           [43]InvestingJournal!$A:$A,"&lt;="&amp;A40),
    "")</f>
        <v>630000</v>
      </c>
      <c r="E40" s="15">
        <f>IF(A40&lt;&gt;"",
    SUMIFS([43]FinancingJournal!$E:$E,
           [43]FinancingJournal!$C:$C,"Borrowing",
           [43]FinancingJournal!$A:$A,"&lt;="&amp;A40)
    +
    SUMIFS([43]FinancingJournal!$E:$E,
           [43]FinancingJournal!$C:$C,"Withdrawal",
           [43]FinancingJournal!$A:$A,"&lt;="&amp;A40),
    "")</f>
        <v>473500</v>
      </c>
      <c r="F40" s="26">
        <v>1111400</v>
      </c>
      <c r="G40" s="26">
        <v>113550</v>
      </c>
      <c r="H40" s="26">
        <v>721350</v>
      </c>
      <c r="I40" s="26">
        <v>633874.45420352323</v>
      </c>
      <c r="J40" s="31" t="s">
        <v>105</v>
      </c>
    </row>
    <row r="41" spans="1:16" ht="21.75" customHeight="1" x14ac:dyDescent="0.2">
      <c r="A41" s="16">
        <v>46234</v>
      </c>
      <c r="B41" s="17">
        <f>IF(A41&lt;&gt;"",
    SUMIFS([43]FinancingJournal!$E:$E,
           [43]FinancingJournal!$C:$C,"Capital Injection",
           [43]FinancingJournal!$A:$A,"&lt;="&amp;A41),
    "")</f>
        <v>188380</v>
      </c>
      <c r="C41" s="18">
        <f>IF(A41&lt;&gt;"",
    SUMIFS([43]InvestingJournal!$F:$F,
           [43]InvestingJournal!$C:$C,"Izra Advance",
           [43]InvestingJournal!$A:$A,"&lt;="&amp;A41)
    +
    SUMIFS([43]InvestingJournal!$F:$F,
           [43]InvestingJournal!$C:$C,"Investment to Unit",
           [43]InvestingJournal!$A:$A,"&lt;="&amp;A41),
    "")</f>
        <v>134000</v>
      </c>
      <c r="D41" s="18">
        <f>IF(A41&lt;&gt;"",
    SUMIFS([43]InvestingJournal!$F:$F,
           [43]InvestingJournal!$C:$C,"Loan Advance",
           [43]InvestingJournal!$A:$A,"&lt;="&amp;A41),
    "")</f>
        <v>630000</v>
      </c>
      <c r="E41" s="18">
        <f>IF(A41&lt;&gt;"",
    SUMIFS([43]FinancingJournal!$E:$E,
           [43]FinancingJournal!$C:$C,"Borrowing",
           [43]FinancingJournal!$A:$A,"&lt;="&amp;A41)
    +
    SUMIFS([43]FinancingJournal!$E:$E,
           [43]FinancingJournal!$C:$C,"Withdrawal",
           [43]FinancingJournal!$A:$A,"&lt;="&amp;A41),
    "")</f>
        <v>473500</v>
      </c>
      <c r="F41" s="29">
        <v>1111400</v>
      </c>
      <c r="G41" s="29">
        <v>99550</v>
      </c>
      <c r="H41" s="29">
        <v>721350</v>
      </c>
      <c r="I41" s="29">
        <v>633874.45420352323</v>
      </c>
      <c r="J41" s="32" t="s">
        <v>107</v>
      </c>
      <c r="P41" s="9"/>
    </row>
    <row r="42" spans="1:16" ht="21.75" customHeight="1" x14ac:dyDescent="0.2">
      <c r="A42" s="11">
        <v>46234</v>
      </c>
      <c r="B42" s="14">
        <f>IF(A42&lt;&gt;"",
    SUMIFS([43]FinancingJournal!$E:$E,
           [43]FinancingJournal!$C:$C,"Capital Injection",
           [43]FinancingJournal!$A:$A,"&lt;="&amp;A42),
    "")</f>
        <v>188380</v>
      </c>
      <c r="C42" s="15">
        <f>IF(A42&lt;&gt;"",
    SUMIFS([43]InvestingJournal!$F:$F,
           [43]InvestingJournal!$C:$C,"Izra Advance",
           [43]InvestingJournal!$A:$A,"&lt;="&amp;A42)
    +
    SUMIFS([43]InvestingJournal!$F:$F,
           [43]InvestingJournal!$C:$C,"Investment to Unit",
           [43]InvestingJournal!$A:$A,"&lt;="&amp;A42),
    "")</f>
        <v>134000</v>
      </c>
      <c r="D42" s="15">
        <f>IF(A42&lt;&gt;"",
    SUMIFS([43]InvestingJournal!$F:$F,
           [43]InvestingJournal!$C:$C,"Loan Advance",
           [43]InvestingJournal!$A:$A,"&lt;="&amp;A42),
    "")</f>
        <v>630000</v>
      </c>
      <c r="E42" s="15">
        <f>IF(A42&lt;&gt;"",
    SUMIFS([43]FinancingJournal!$E:$E,
           [43]FinancingJournal!$C:$C,"Borrowing",
           [43]FinancingJournal!$A:$A,"&lt;="&amp;A42)
    +
    SUMIFS([43]FinancingJournal!$E:$E,
           [43]FinancingJournal!$C:$C,"Withdrawal",
           [43]FinancingJournal!$A:$A,"&lt;="&amp;A42),
    "")</f>
        <v>473500</v>
      </c>
      <c r="F42" s="26">
        <v>1102626</v>
      </c>
      <c r="G42" s="26">
        <v>90776</v>
      </c>
      <c r="H42" s="26">
        <v>721350</v>
      </c>
      <c r="I42" s="26">
        <v>633874.45420352323</v>
      </c>
      <c r="J42" s="31" t="s">
        <v>108</v>
      </c>
    </row>
    <row r="43" spans="1:16" ht="21.75" customHeight="1" x14ac:dyDescent="0.2">
      <c r="A43" s="16">
        <v>46235</v>
      </c>
      <c r="B43" s="17">
        <f>IF(A43&lt;&gt;"",
    SUMIFS([43]FinancingJournal!$E:$E,
           [43]FinancingJournal!$C:$C,"Capital Injection",
           [43]FinancingJournal!$A:$A,"&lt;="&amp;A43),
    "")</f>
        <v>188380</v>
      </c>
      <c r="C43" s="18">
        <v>134000</v>
      </c>
      <c r="D43" s="18">
        <v>630000</v>
      </c>
      <c r="E43" s="18">
        <v>473500</v>
      </c>
      <c r="F43" s="29">
        <v>1102626</v>
      </c>
      <c r="G43" s="29">
        <v>92626</v>
      </c>
      <c r="H43" s="29">
        <v>719500</v>
      </c>
      <c r="I43" s="29">
        <v>632401.44487104646</v>
      </c>
      <c r="J43" s="32"/>
      <c r="P43" s="9"/>
    </row>
    <row r="44" spans="1:16" ht="21.75" customHeight="1" x14ac:dyDescent="0.2">
      <c r="A44" s="11">
        <v>46236</v>
      </c>
      <c r="B44" s="14">
        <f>IF(A44&lt;&gt;"",
    SUMIFS([43]FinancingJournal!$E:$E,
           [43]FinancingJournal!$C:$C,"Capital Injection",
           [43]FinancingJournal!$A:$A,"&lt;="&amp;A44),
    "")</f>
        <v>188380</v>
      </c>
      <c r="C44" s="15">
        <f>IF(A44&lt;&gt;"",
    SUMIFS([43]InvestingJournal!$F:$F,
           [43]InvestingJournal!$C:$C,"Izra Advance",
           [43]InvestingJournal!$A:$A,"&lt;="&amp;A44)
    +
    SUMIFS([43]InvestingJournal!$F:$F,
           [43]InvestingJournal!$C:$C,"Investment to Unit",
           [43]InvestingJournal!$A:$A,"&lt;="&amp;A44),
    "")</f>
        <v>134000</v>
      </c>
      <c r="D44" s="15">
        <f>IF(A44&lt;&gt;"",
    SUMIFS([43]InvestingJournal!$F:$F,
           [43]InvestingJournal!$C:$C,"Loan Advance",
           [43]InvestingJournal!$A:$A,"&lt;="&amp;A44),
    "")</f>
        <v>630000</v>
      </c>
      <c r="E44" s="15">
        <f>IF(A44&lt;&gt;"",
    SUMIFS([43]FinancingJournal!$E:$E,
           [43]FinancingJournal!$C:$C,"Borrowing",
           [43]FinancingJournal!$A:$A,"&lt;="&amp;A44)
    +
    SUMIFS([43]FinancingJournal!$E:$E,
           [43]FinancingJournal!$C:$C,"Withdrawal",
           [43]FinancingJournal!$A:$A,"&lt;="&amp;A44),
    "")</f>
        <v>523500</v>
      </c>
      <c r="F44" s="26">
        <v>1102626</v>
      </c>
      <c r="G44" s="26">
        <v>142626</v>
      </c>
      <c r="H44" s="26">
        <v>719500</v>
      </c>
      <c r="I44" s="26">
        <v>632401.44487104646</v>
      </c>
      <c r="J44" s="31" t="s">
        <v>118</v>
      </c>
    </row>
    <row r="45" spans="1:16" ht="21.75" customHeight="1" x14ac:dyDescent="0.2">
      <c r="A45" s="16">
        <v>46237</v>
      </c>
      <c r="B45" s="17">
        <f>IF(A45&lt;&gt;"",
    SUMIFS([43]FinancingJournal!$E:$E,
           [43]FinancingJournal!$C:$C,"Capital Injection",
           [43]FinancingJournal!$A:$A,"&lt;="&amp;A45),
    "")</f>
        <v>188380</v>
      </c>
      <c r="C45" s="18">
        <v>134000</v>
      </c>
      <c r="D45" s="18">
        <v>630000</v>
      </c>
      <c r="E45" s="18">
        <v>523500</v>
      </c>
      <c r="F45" s="29">
        <v>1102626</v>
      </c>
      <c r="G45" s="29">
        <v>156126</v>
      </c>
      <c r="H45" s="29">
        <v>706000</v>
      </c>
      <c r="I45" s="29">
        <v>622136.85112141666</v>
      </c>
      <c r="J45" s="32"/>
      <c r="P45" s="9"/>
    </row>
    <row r="46" spans="1:16" ht="21.75" customHeight="1" x14ac:dyDescent="0.2">
      <c r="A46" s="11">
        <v>46237</v>
      </c>
      <c r="B46" s="14">
        <f>IF(A46&lt;&gt;"",
    SUMIFS([43]FinancingJournal!$E:$E,
           [43]FinancingJournal!$C:$C,"Capital Injection",
           [43]FinancingJournal!$A:$A,"&lt;="&amp;A46),
    "")</f>
        <v>188380</v>
      </c>
      <c r="C46" s="15">
        <v>134000</v>
      </c>
      <c r="D46" s="15">
        <v>630000</v>
      </c>
      <c r="E46" s="15">
        <v>523500</v>
      </c>
      <c r="F46" s="26">
        <v>1121626</v>
      </c>
      <c r="G46" s="26">
        <v>56126</v>
      </c>
      <c r="H46" s="26">
        <v>825000</v>
      </c>
      <c r="I46" s="26">
        <v>741136.85112141666</v>
      </c>
      <c r="J46" s="31" t="s">
        <v>109</v>
      </c>
    </row>
    <row r="47" spans="1:16" ht="21.75" customHeight="1" x14ac:dyDescent="0.2">
      <c r="A47" s="16">
        <v>46239</v>
      </c>
      <c r="B47" s="17">
        <f>IF(A47&lt;&gt;"",
    SUMIFS([43]FinancingJournal!$E:$E,
           [43]FinancingJournal!$C:$C,"Capital Injection",
           [43]FinancingJournal!$A:$A,"&lt;="&amp;A47),
    "")</f>
        <v>188380</v>
      </c>
      <c r="C47" s="18">
        <v>134000</v>
      </c>
      <c r="D47" s="18">
        <v>630000</v>
      </c>
      <c r="E47" s="18">
        <v>523500</v>
      </c>
      <c r="F47" s="29">
        <v>1121626</v>
      </c>
      <c r="G47" s="29">
        <v>65326</v>
      </c>
      <c r="H47" s="29">
        <v>815800</v>
      </c>
      <c r="I47" s="29">
        <v>734003.61897045327</v>
      </c>
      <c r="J47" s="32"/>
      <c r="P47" s="9"/>
    </row>
    <row r="48" spans="1:16" ht="21.75" customHeight="1" x14ac:dyDescent="0.2">
      <c r="A48" s="11">
        <v>46239</v>
      </c>
      <c r="B48" s="14">
        <f>IF(A48&lt;&gt;"",
    SUMIFS([43]FinancingJournal!$E:$E,
           [43]FinancingJournal!$C:$C,"Capital Injection",
           [43]FinancingJournal!$A:$A,"&lt;="&amp;A48),
    "")</f>
        <v>188380</v>
      </c>
      <c r="C48" s="15">
        <v>134000</v>
      </c>
      <c r="D48" s="15">
        <v>630000</v>
      </c>
      <c r="E48" s="15">
        <v>523500</v>
      </c>
      <c r="F48" s="26">
        <v>1123626</v>
      </c>
      <c r="G48" s="26">
        <v>55326</v>
      </c>
      <c r="H48" s="26">
        <v>827800</v>
      </c>
      <c r="I48" s="26">
        <v>746003.61897045327</v>
      </c>
      <c r="J48" s="31" t="s">
        <v>110</v>
      </c>
    </row>
    <row r="49" spans="1:16" ht="21.75" customHeight="1" x14ac:dyDescent="0.2">
      <c r="A49" s="16">
        <v>46240</v>
      </c>
      <c r="B49" s="17">
        <f>IF(A49&lt;&gt;"",
    SUMIFS([43]FinancingJournal!$E:$E,
           [43]FinancingJournal!$C:$C,"Capital Injection",
           [43]FinancingJournal!$A:$A,"&lt;="&amp;A49),
    "")</f>
        <v>188380</v>
      </c>
      <c r="C49" s="18">
        <v>134000</v>
      </c>
      <c r="D49" s="18">
        <v>630000</v>
      </c>
      <c r="E49" s="18">
        <v>523500</v>
      </c>
      <c r="F49" s="29">
        <v>1123626</v>
      </c>
      <c r="G49" s="29">
        <v>61226</v>
      </c>
      <c r="H49" s="29">
        <v>821900</v>
      </c>
      <c r="I49" s="29">
        <v>739303.30697611708</v>
      </c>
      <c r="J49" s="32"/>
      <c r="P49" s="9"/>
    </row>
    <row r="50" spans="1:16" ht="21.75" customHeight="1" x14ac:dyDescent="0.2">
      <c r="A50" s="11">
        <v>46240</v>
      </c>
      <c r="B50" s="14">
        <f>IF(A50&lt;&gt;"",
    SUMIFS([43]FinancingJournal!$E:$E,
           [43]FinancingJournal!$C:$C,"Capital Injection",
           [43]FinancingJournal!$A:$A,"&lt;="&amp;A50),
    "")</f>
        <v>188380</v>
      </c>
      <c r="C50" s="15">
        <f>IF(A50&lt;&gt;"",
    SUMIFS([43]InvestingJournal!$F:$F,
           [43]InvestingJournal!$C:$C,"Izra Advance",
           [43]InvestingJournal!$A:$A,"&lt;="&amp;A50)
    +
    SUMIFS([43]InvestingJournal!$F:$F,
           [43]InvestingJournal!$C:$C,"Investment to Unit",
           [43]InvestingJournal!$A:$A,"&lt;="&amp;A50),
    "")</f>
        <v>137000</v>
      </c>
      <c r="D50" s="15">
        <f>IF(A50&lt;&gt;"",
    SUMIFS([43]InvestingJournal!$F:$F,
           [43]InvestingJournal!$C:$C,"Loan Advance",
           [43]InvestingJournal!$A:$A,"&lt;="&amp;A50),
    "")</f>
        <v>630000</v>
      </c>
      <c r="E50" s="15">
        <v>523500</v>
      </c>
      <c r="F50" s="26">
        <v>1123326</v>
      </c>
      <c r="G50" s="26">
        <v>57926</v>
      </c>
      <c r="H50" s="26">
        <v>821900</v>
      </c>
      <c r="I50" s="26">
        <v>739303.30697611708</v>
      </c>
      <c r="J50" s="31" t="s">
        <v>119</v>
      </c>
    </row>
    <row r="51" spans="1:16" ht="21.75" customHeight="1" x14ac:dyDescent="0.2">
      <c r="A51" s="16">
        <v>46241</v>
      </c>
      <c r="B51" s="17">
        <f>IF(A51&lt;&gt;"",
    SUMIFS([43]FinancingJournal!$E:$E,
           [43]FinancingJournal!$C:$C,"Capital Injection",
           [43]FinancingJournal!$A:$A,"&lt;="&amp;A51),
    "")</f>
        <v>188380</v>
      </c>
      <c r="C51" s="18">
        <v>137000</v>
      </c>
      <c r="D51" s="18">
        <v>630000</v>
      </c>
      <c r="E51" s="18">
        <v>523500</v>
      </c>
      <c r="F51" s="29">
        <v>1123326</v>
      </c>
      <c r="G51" s="29">
        <v>84326</v>
      </c>
      <c r="H51" s="29">
        <v>795500</v>
      </c>
      <c r="I51" s="29">
        <v>714560.34486046841</v>
      </c>
      <c r="J51" s="32"/>
      <c r="P51" s="9"/>
    </row>
    <row r="52" spans="1:16" ht="21.75" customHeight="1" x14ac:dyDescent="0.2">
      <c r="A52" s="11">
        <v>46241</v>
      </c>
      <c r="B52" s="14">
        <f>IF(A52&lt;&gt;"",
    SUMIFS([43]FinancingJournal!$E:$E,
           [43]FinancingJournal!$C:$C,"Capital Injection",
           [43]FinancingJournal!$A:$A,"&lt;="&amp;A52),
    "")</f>
        <v>188380</v>
      </c>
      <c r="C52" s="15">
        <v>137000</v>
      </c>
      <c r="D52" s="15">
        <v>630000</v>
      </c>
      <c r="E52" s="15">
        <v>523500</v>
      </c>
      <c r="F52" s="26">
        <v>1131126</v>
      </c>
      <c r="G52" s="26">
        <v>44326</v>
      </c>
      <c r="H52" s="26">
        <v>843300</v>
      </c>
      <c r="I52" s="26">
        <v>762360.34486046841</v>
      </c>
      <c r="J52" s="31" t="s">
        <v>111</v>
      </c>
    </row>
    <row r="53" spans="1:16" ht="21.75" customHeight="1" x14ac:dyDescent="0.2">
      <c r="A53" s="16">
        <v>46245</v>
      </c>
      <c r="B53" s="17">
        <f>IF(A53&lt;&gt;"",
    SUMIFS([43]FinancingJournal!$E:$E,
           [43]FinancingJournal!$C:$C,"Capital Injection",
           [43]FinancingJournal!$A:$A,"&lt;="&amp;A53),
    "")</f>
        <v>188380</v>
      </c>
      <c r="C53" s="18">
        <v>137000</v>
      </c>
      <c r="D53" s="18">
        <v>630000</v>
      </c>
      <c r="E53" s="18">
        <v>523500</v>
      </c>
      <c r="F53" s="29">
        <v>1128326</v>
      </c>
      <c r="G53" s="29">
        <v>71126</v>
      </c>
      <c r="H53" s="29">
        <v>813700</v>
      </c>
      <c r="I53" s="29">
        <v>717042.55683881603</v>
      </c>
      <c r="J53" s="32" t="s">
        <v>112</v>
      </c>
      <c r="P53" s="9"/>
    </row>
    <row r="54" spans="1:16" ht="21.75" customHeight="1" x14ac:dyDescent="0.2">
      <c r="A54" s="11">
        <v>46245</v>
      </c>
      <c r="B54" s="14">
        <f>IF(A54&lt;&gt;"",
    SUMIFS([43]FinancingJournal!$E:$E,
           [43]FinancingJournal!$C:$C,"Capital Injection",
           [43]FinancingJournal!$A:$A,"&lt;="&amp;A54),
    "")</f>
        <v>188380</v>
      </c>
      <c r="C54" s="15">
        <v>137000</v>
      </c>
      <c r="D54" s="15">
        <v>630000</v>
      </c>
      <c r="E54" s="15">
        <v>523500</v>
      </c>
      <c r="F54" s="26">
        <v>1129326</v>
      </c>
      <c r="G54" s="26">
        <v>66126</v>
      </c>
      <c r="H54" s="26">
        <v>819700</v>
      </c>
      <c r="I54" s="26">
        <v>723042.55683881603</v>
      </c>
      <c r="J54" s="31" t="s">
        <v>113</v>
      </c>
    </row>
    <row r="55" spans="1:16" ht="21.75" customHeight="1" x14ac:dyDescent="0.2">
      <c r="A55" s="16">
        <v>46248</v>
      </c>
      <c r="B55" s="17">
        <f>IF(A55&lt;&gt;"",
    SUMIFS([43]FinancingJournal!$E:$E,
           [43]FinancingJournal!$C:$C,"Capital Injection",
           [43]FinancingJournal!$A:$A,"&lt;="&amp;A55),
    "")</f>
        <v>188380</v>
      </c>
      <c r="C55" s="18">
        <v>137000</v>
      </c>
      <c r="D55" s="18">
        <v>630000</v>
      </c>
      <c r="E55" s="18">
        <v>523500</v>
      </c>
      <c r="F55" s="29">
        <v>1125826</v>
      </c>
      <c r="G55" s="29">
        <v>101726</v>
      </c>
      <c r="H55" s="29">
        <v>780600</v>
      </c>
      <c r="I55" s="29">
        <v>686342.92313490203</v>
      </c>
      <c r="J55" s="32" t="s">
        <v>114</v>
      </c>
      <c r="P55" s="9"/>
    </row>
    <row r="56" spans="1:16" ht="21.75" customHeight="1" x14ac:dyDescent="0.2">
      <c r="A56" s="11">
        <v>46248</v>
      </c>
      <c r="B56" s="14">
        <f>IF(A56&lt;&gt;"",
    SUMIFS([43]FinancingJournal!$E:$E,
           [43]FinancingJournal!$C:$C,"Capital Injection",
           [43]FinancingJournal!$A:$A,"&lt;="&amp;A56),
    "")</f>
        <v>188380</v>
      </c>
      <c r="C56" s="15">
        <v>137000</v>
      </c>
      <c r="D56" s="15">
        <v>630000</v>
      </c>
      <c r="E56" s="15">
        <v>523500</v>
      </c>
      <c r="F56" s="26">
        <v>1129626</v>
      </c>
      <c r="G56" s="26">
        <v>81726</v>
      </c>
      <c r="H56" s="26">
        <v>804400</v>
      </c>
      <c r="I56" s="26">
        <v>710142.92313490203</v>
      </c>
      <c r="J56" s="31" t="s">
        <v>115</v>
      </c>
    </row>
    <row r="57" spans="1:16" ht="21.75" customHeight="1" x14ac:dyDescent="0.2">
      <c r="A57" s="16">
        <v>46255</v>
      </c>
      <c r="B57" s="17">
        <f>IF(A57&lt;&gt;"",
    SUMIFS([43]FinancingJournal!$E:$E,
           [43]FinancingJournal!$C:$C,"Capital Injection",
           [43]FinancingJournal!$A:$A,"&lt;="&amp;A57),
    "")</f>
        <v>188380</v>
      </c>
      <c r="C57" s="18">
        <v>137000</v>
      </c>
      <c r="D57" s="18">
        <v>630000</v>
      </c>
      <c r="E57" s="18">
        <v>523500</v>
      </c>
      <c r="F57" s="29">
        <v>1103976</v>
      </c>
      <c r="G57" s="29">
        <v>118076</v>
      </c>
      <c r="H57" s="29">
        <v>742400</v>
      </c>
      <c r="I57" s="29">
        <v>657059.79450026399</v>
      </c>
      <c r="J57" s="32" t="s">
        <v>120</v>
      </c>
      <c r="P57" s="9"/>
    </row>
    <row r="58" spans="1:16" ht="21.75" customHeight="1" x14ac:dyDescent="0.2">
      <c r="A58" s="11">
        <v>46255</v>
      </c>
      <c r="B58" s="14">
        <f>IF(A58&lt;&gt;"",
    SUMIFS([43]FinancingJournal!$E:$E,
           [43]FinancingJournal!$C:$C,"Capital Injection",
           [43]FinancingJournal!$A:$A,"&lt;="&amp;A58),
    "")</f>
        <v>188380</v>
      </c>
      <c r="C58" s="15">
        <v>137000</v>
      </c>
      <c r="D58" s="15">
        <v>630000</v>
      </c>
      <c r="E58" s="15">
        <v>523500</v>
      </c>
      <c r="F58" s="26">
        <v>1111576</v>
      </c>
      <c r="G58" s="26">
        <v>78076</v>
      </c>
      <c r="H58" s="26">
        <v>790000</v>
      </c>
      <c r="I58" s="26">
        <v>704659.79450026399</v>
      </c>
      <c r="J58" s="31" t="s">
        <v>116</v>
      </c>
    </row>
    <row r="59" spans="1:16" ht="21.75" customHeight="1" x14ac:dyDescent="0.2">
      <c r="A59" s="16">
        <v>46258</v>
      </c>
      <c r="B59" s="17">
        <f>IF(A59&lt;&gt;"",
    SUMIFS([43]FinancingJournal!$E:$E,
           [43]FinancingJournal!$C:$C,"Capital Injection",
           [43]FinancingJournal!$A:$A,"&lt;="&amp;A59),
    "")</f>
        <v>188380</v>
      </c>
      <c r="C59" s="18">
        <v>137000</v>
      </c>
      <c r="D59" s="18">
        <v>630000</v>
      </c>
      <c r="E59" s="18">
        <v>523500</v>
      </c>
      <c r="F59" s="29">
        <v>1111576</v>
      </c>
      <c r="G59" s="29">
        <v>103576</v>
      </c>
      <c r="H59" s="29">
        <v>764500</v>
      </c>
      <c r="I59" s="29">
        <v>677265.35902767815</v>
      </c>
      <c r="J59" s="32"/>
      <c r="P59" s="9"/>
    </row>
    <row r="60" spans="1:16" ht="21.75" customHeight="1" x14ac:dyDescent="0.2">
      <c r="A60" s="11">
        <v>46258</v>
      </c>
      <c r="B60" s="14">
        <f>IF(A60&lt;&gt;"",
    SUMIFS([43]FinancingJournal!$E:$E,
           [43]FinancingJournal!$C:$C,"Capital Injection",
           [43]FinancingJournal!$A:$A,"&lt;="&amp;A60),
    "")</f>
        <v>188380</v>
      </c>
      <c r="C60" s="15">
        <v>137000</v>
      </c>
      <c r="D60" s="15">
        <v>630000</v>
      </c>
      <c r="E60" s="15">
        <v>523500</v>
      </c>
      <c r="F60" s="26">
        <v>1121276</v>
      </c>
      <c r="G60" s="26">
        <v>53576</v>
      </c>
      <c r="H60" s="26">
        <v>824200</v>
      </c>
      <c r="I60" s="26">
        <v>736965.35902767815</v>
      </c>
      <c r="J60" s="31" t="s">
        <v>117</v>
      </c>
    </row>
    <row r="61" spans="1:16" ht="21.75" customHeight="1" x14ac:dyDescent="0.2">
      <c r="A61" s="16">
        <v>46262</v>
      </c>
      <c r="B61" s="17">
        <f>IF(A61&lt;&gt;"",
    SUMIFS([43]FinancingJournal!$E:$E,
           [43]FinancingJournal!$C:$C,"Capital Injection",
           [43]FinancingJournal!$A:$A,"&lt;="&amp;A61),
    "")</f>
        <v>188380</v>
      </c>
      <c r="C61" s="18">
        <v>137000</v>
      </c>
      <c r="D61" s="18">
        <v>630000</v>
      </c>
      <c r="E61" s="18">
        <v>523500</v>
      </c>
      <c r="F61" s="29">
        <v>1121276</v>
      </c>
      <c r="G61" s="29">
        <v>113276</v>
      </c>
      <c r="H61" s="29">
        <v>764500</v>
      </c>
      <c r="I61" s="29">
        <v>680355.89127765363</v>
      </c>
      <c r="J61" s="32"/>
      <c r="P61" s="9"/>
    </row>
    <row r="62" spans="1:16" ht="21.75" customHeight="1" x14ac:dyDescent="0.2">
      <c r="A62" s="11">
        <v>46262</v>
      </c>
      <c r="B62" s="14">
        <f>IF(A62&lt;&gt;"",
    SUMIFS([43]FinancingJournal!$E:$E,
           [43]FinancingJournal!$C:$C,"Capital Injection",
           [43]FinancingJournal!$A:$A,"&lt;="&amp;A62),
    "")</f>
        <v>188380</v>
      </c>
      <c r="C62" s="15">
        <v>137000</v>
      </c>
      <c r="D62" s="15">
        <v>630000</v>
      </c>
      <c r="E62" s="15">
        <v>523500</v>
      </c>
      <c r="F62" s="26">
        <v>1132976</v>
      </c>
      <c r="G62" s="26">
        <v>53276</v>
      </c>
      <c r="H62" s="26">
        <v>836200</v>
      </c>
      <c r="I62" s="26">
        <v>752055.89127765363</v>
      </c>
      <c r="J62" s="31" t="s">
        <v>121</v>
      </c>
    </row>
    <row r="63" spans="1:16" ht="21.75" customHeight="1" x14ac:dyDescent="0.2">
      <c r="A63" s="16">
        <v>46262</v>
      </c>
      <c r="B63" s="17">
        <f>IF(A63&lt;&gt;"",
    SUMIFS([43]FinancingJournal!$E:$E,
           [43]FinancingJournal!$C:$C,"Capital Injection",
           [43]FinancingJournal!$A:$A,"&lt;="&amp;A63),
    "")</f>
        <v>188380</v>
      </c>
      <c r="C63" s="18">
        <v>137000</v>
      </c>
      <c r="D63" s="18">
        <v>630000</v>
      </c>
      <c r="E63" s="18">
        <f>IF(A63&lt;&gt;"",
    SUMIFS([43]FinancingJournal!$E:$E,
           [43]FinancingJournal!$C:$C,"Borrowing",
           [43]FinancingJournal!$A:$A,"&lt;="&amp;A63)
    +
    SUMIFS([43]FinancingJournal!$E:$E,
           [43]FinancingJournal!$C:$C,"Withdrawal",
           [43]FinancingJournal!$A:$A,"&lt;="&amp;A63),
    "")</f>
        <v>544730</v>
      </c>
      <c r="F63" s="29">
        <v>1132976</v>
      </c>
      <c r="G63" s="29">
        <v>74506</v>
      </c>
      <c r="H63" s="29">
        <v>836200</v>
      </c>
      <c r="I63" s="29">
        <v>752055.89127765363</v>
      </c>
      <c r="J63" s="32" t="s">
        <v>122</v>
      </c>
      <c r="P63" s="9"/>
    </row>
    <row r="64" spans="1:16" ht="21.75" customHeight="1" x14ac:dyDescent="0.2">
      <c r="A64" s="11">
        <v>46262</v>
      </c>
      <c r="B64" s="14">
        <f>IF(A64&lt;&gt;"",
    SUMIFS([43]FinancingJournal!$E:$E,
           [43]FinancingJournal!$C:$C,"Capital Injection",
           [43]FinancingJournal!$A:$A,"&lt;="&amp;A64),
    "")</f>
        <v>188380</v>
      </c>
      <c r="C64" s="15">
        <v>137000</v>
      </c>
      <c r="D64" s="15">
        <v>630000</v>
      </c>
      <c r="E64" s="15">
        <v>544730</v>
      </c>
      <c r="F64" s="26">
        <v>1128446</v>
      </c>
      <c r="G64" s="26">
        <v>69976</v>
      </c>
      <c r="H64" s="26">
        <v>836200</v>
      </c>
      <c r="I64" s="26">
        <v>752055.89127765363</v>
      </c>
      <c r="J64" s="31" t="s">
        <v>123</v>
      </c>
    </row>
    <row r="65" spans="1:16" ht="21.75" customHeight="1" x14ac:dyDescent="0.2">
      <c r="A65" s="16">
        <v>46265</v>
      </c>
      <c r="B65" s="17">
        <f>IF(A65&lt;&gt;"",
    SUMIFS([43]FinancingJournal!$E:$E,
           [43]FinancingJournal!$C:$C,"Capital Injection",
           [43]FinancingJournal!$A:$A,"&lt;="&amp;A65),
    "")</f>
        <v>188380</v>
      </c>
      <c r="C65" s="18">
        <v>137000</v>
      </c>
      <c r="D65" s="18">
        <v>630000</v>
      </c>
      <c r="E65" s="18">
        <v>544730</v>
      </c>
      <c r="F65" s="29">
        <v>1128446</v>
      </c>
      <c r="G65" s="29">
        <v>99676</v>
      </c>
      <c r="H65" s="29">
        <v>806500</v>
      </c>
      <c r="I65" s="29">
        <v>724375.30059960543</v>
      </c>
      <c r="J65" s="32"/>
      <c r="P65" s="9"/>
    </row>
    <row r="66" spans="1:16" ht="21.75" customHeight="1" x14ac:dyDescent="0.2">
      <c r="A66" s="11">
        <v>46265</v>
      </c>
      <c r="B66" s="14">
        <f>IF(A66&lt;&gt;"",
    SUMIFS([43]FinancingJournal!$E:$E,
           [43]FinancingJournal!$C:$C,"Capital Injection",
           [43]FinancingJournal!$A:$A,"&lt;="&amp;A66),
    "")</f>
        <v>188380</v>
      </c>
      <c r="C66" s="15">
        <v>137000</v>
      </c>
      <c r="D66" s="15">
        <v>630000</v>
      </c>
      <c r="E66" s="15">
        <v>544730</v>
      </c>
      <c r="F66" s="26">
        <v>1134446</v>
      </c>
      <c r="G66" s="26">
        <v>69676</v>
      </c>
      <c r="H66" s="26">
        <v>842500</v>
      </c>
      <c r="I66" s="26">
        <v>760375.30059960543</v>
      </c>
      <c r="J66" s="31" t="s">
        <v>124</v>
      </c>
    </row>
    <row r="67" spans="1:16" ht="21.75" customHeight="1" x14ac:dyDescent="0.2">
      <c r="A67" s="16">
        <v>46269</v>
      </c>
      <c r="B67" s="17">
        <f>IF(A67&lt;&gt;"",
    SUMIFS([43]FinancingJournal!$E:$E,
           [43]FinancingJournal!$C:$C,"Capital Injection",
           [43]FinancingJournal!$A:$A,"&lt;="&amp;A67),
    "")</f>
        <v>188380</v>
      </c>
      <c r="C67" s="18">
        <v>137000</v>
      </c>
      <c r="D67" s="18">
        <v>630000</v>
      </c>
      <c r="E67" s="18">
        <v>544730</v>
      </c>
      <c r="F67" s="29">
        <v>1133946</v>
      </c>
      <c r="G67" s="29">
        <v>119776</v>
      </c>
      <c r="H67" s="29">
        <v>791900</v>
      </c>
      <c r="I67" s="29">
        <v>700649.57947438816</v>
      </c>
      <c r="J67" s="32" t="s">
        <v>125</v>
      </c>
      <c r="P67" s="9"/>
    </row>
    <row r="68" spans="1:16" ht="21.75" customHeight="1" x14ac:dyDescent="0.2">
      <c r="A68" s="11">
        <v>46269</v>
      </c>
      <c r="B68" s="14">
        <f>IF(A68&lt;&gt;"",
    SUMIFS([43]FinancingJournal!$E:$E,
           [43]FinancingJournal!$C:$C,"Capital Injection",
           [43]FinancingJournal!$A:$A,"&lt;="&amp;A68),
    "")</f>
        <v>188380</v>
      </c>
      <c r="C68" s="15">
        <f>IF(A68&lt;&gt;"",
    SUMIFS([43]InvestingJournal!$F:$F,
           [43]InvestingJournal!$C:$C,"Izra Advance",
           [43]InvestingJournal!$A:$A,"&lt;="&amp;A68)
    +
    SUMIFS([43]InvestingJournal!$F:$F,
           [43]InvestingJournal!$C:$C,"Investment to Unit",
           [43]InvestingJournal!$A:$A,"&lt;="&amp;A68),
    "")</f>
        <v>137000</v>
      </c>
      <c r="D68" s="15">
        <f>IF(A68&lt;&gt;"",
    SUMIFS([43]InvestingJournal!$F:$F,
           [43]InvestingJournal!$C:$C,"Loan Advance",
           [43]InvestingJournal!$A:$A,"&lt;="&amp;A68),
    "")</f>
        <v>630000</v>
      </c>
      <c r="E68" s="15">
        <f>IF(A68&lt;&gt;"",
    SUMIFS([43]FinancingJournal!$E:$E,
           [43]FinancingJournal!$C:$C,"Borrowing",
           [43]FinancingJournal!$A:$A,"&lt;="&amp;A68)
    +
    SUMIFS([43]FinancingJournal!$E:$E,
           [43]FinancingJournal!$C:$C,"Withdrawal",
           [43]FinancingJournal!$A:$A,"&lt;="&amp;A68),
    "")</f>
        <v>544730</v>
      </c>
      <c r="F68" s="26">
        <v>1140596</v>
      </c>
      <c r="G68" s="26">
        <v>84776</v>
      </c>
      <c r="H68" s="26">
        <v>833550</v>
      </c>
      <c r="I68" s="26">
        <v>742299.57947438816</v>
      </c>
      <c r="J68" s="31" t="s">
        <v>126</v>
      </c>
    </row>
    <row r="69" spans="1:16" ht="21.75" customHeight="1" x14ac:dyDescent="0.2">
      <c r="A69" s="16">
        <v>46272</v>
      </c>
      <c r="B69" s="17">
        <f>IF(A69&lt;&gt;"",
    SUMIFS([43]FinancingJournal!$E:$E,
           [43]FinancingJournal!$C:$C,"Capital Injection",
           [43]FinancingJournal!$A:$A,"&lt;="&amp;A69),
    "")</f>
        <v>188380</v>
      </c>
      <c r="C69" s="18">
        <f>IF(A69&lt;&gt;"",
    SUMIFS([43]InvestingJournal!$F:$F,
           [43]InvestingJournal!$C:$C,"Izra Advance",
           [43]InvestingJournal!$A:$A,"&lt;="&amp;A69)
    +
    SUMIFS([43]InvestingJournal!$F:$F,
           [43]InvestingJournal!$C:$C,"Investment to Unit",
           [43]InvestingJournal!$A:$A,"&lt;="&amp;A69),
    "")</f>
        <v>137000</v>
      </c>
      <c r="D69" s="18">
        <f>IF(A69&lt;&gt;"",
    SUMIFS([43]InvestingJournal!$F:$F,
           [43]InvestingJournal!$C:$C,"Loan Advance",
           [43]InvestingJournal!$A:$A,"&lt;="&amp;A69),
    "")</f>
        <v>630000</v>
      </c>
      <c r="E69" s="18">
        <f>IF(A69&lt;&gt;"",
    SUMIFS([43]FinancingJournal!$E:$E,
           [43]FinancingJournal!$C:$C,"Borrowing",
           [43]FinancingJournal!$A:$A,"&lt;="&amp;A69)
    +
    SUMIFS([43]FinancingJournal!$E:$E,
           [43]FinancingJournal!$C:$C,"Withdrawal",
           [43]FinancingJournal!$A:$A,"&lt;="&amp;A69),
    "")</f>
        <v>544730</v>
      </c>
      <c r="F69" s="29">
        <v>1140596</v>
      </c>
      <c r="G69" s="29">
        <v>119276</v>
      </c>
      <c r="H69" s="29">
        <v>799050</v>
      </c>
      <c r="I69" s="29">
        <v>714115.19037920842</v>
      </c>
      <c r="J69" s="32"/>
      <c r="P69" s="9"/>
    </row>
    <row r="70" spans="1:16" ht="21.75" customHeight="1" x14ac:dyDescent="0.2">
      <c r="A70" s="11">
        <v>46272</v>
      </c>
      <c r="B70" s="14">
        <f>IF(A70&lt;&gt;"",
    SUMIFS([43]FinancingJournal!$E:$E,
           [43]FinancingJournal!$C:$C,"Capital Injection",
           [43]FinancingJournal!$A:$A,"&lt;="&amp;A70),
    "")</f>
        <v>188380</v>
      </c>
      <c r="C70" s="15">
        <f>IF(A70&lt;&gt;"",
    SUMIFS([43]InvestingJournal!$F:$F,
           [43]InvestingJournal!$C:$C,"Izra Advance",
           [43]InvestingJournal!$A:$A,"&lt;="&amp;A70)
    +
    SUMIFS([43]InvestingJournal!$F:$F,
           [43]InvestingJournal!$C:$C,"Investment to Unit",
           [43]InvestingJournal!$A:$A,"&lt;="&amp;A70),
    "")</f>
        <v>137000</v>
      </c>
      <c r="D70" s="15">
        <f>IF(A70&lt;&gt;"",
    SUMIFS([43]InvestingJournal!$F:$F,
           [43]InvestingJournal!$C:$C,"Loan Advance",
           [43]InvestingJournal!$A:$A,"&lt;="&amp;A70),
    "")</f>
        <v>630000</v>
      </c>
      <c r="E70" s="15">
        <f>IF(A70&lt;&gt;"",
    SUMIFS([43]FinancingJournal!$E:$E,
           [43]FinancingJournal!$C:$C,"Borrowing",
           [43]FinancingJournal!$A:$A,"&lt;="&amp;A70)
    +
    SUMIFS([43]FinancingJournal!$E:$E,
           [43]FinancingJournal!$C:$C,"Withdrawal",
           [43]FinancingJournal!$A:$A,"&lt;="&amp;A70),
    "")</f>
        <v>544730</v>
      </c>
      <c r="F70" s="26">
        <v>1146596</v>
      </c>
      <c r="G70" s="26">
        <v>89276</v>
      </c>
      <c r="H70" s="26">
        <v>835050</v>
      </c>
      <c r="I70" s="26">
        <v>750115.19037920842</v>
      </c>
      <c r="J70" s="31" t="s">
        <v>127</v>
      </c>
    </row>
    <row r="71" spans="1:16" ht="21.75" customHeight="1" x14ac:dyDescent="0.2">
      <c r="A71" s="16">
        <v>46276</v>
      </c>
      <c r="B71" s="17">
        <f>IF(A71&lt;&gt;"",
    SUMIFS([43]FinancingJournal!$E:$E,
           [43]FinancingJournal!$C:$C,"Capital Injection",
           [43]FinancingJournal!$A:$A,"&lt;="&amp;A71),
    "")</f>
        <v>188380</v>
      </c>
      <c r="C71" s="18">
        <f>IF(A71&lt;&gt;"",
    SUMIFS([43]InvestingJournal!$F:$F,
           [43]InvestingJournal!$C:$C,"Izra Advance",
           [43]InvestingJournal!$A:$A,"&lt;="&amp;A71)
    +
    SUMIFS([43]InvestingJournal!$F:$F,
           [43]InvestingJournal!$C:$C,"Investment to Unit",
           [43]InvestingJournal!$A:$A,"&lt;="&amp;A71),
    "")</f>
        <v>137000</v>
      </c>
      <c r="D71" s="18">
        <f>IF(A71&lt;&gt;"",
    SUMIFS([43]InvestingJournal!$F:$F,
           [43]InvestingJournal!$C:$C,"Loan Advance",
           [43]InvestingJournal!$A:$A,"&lt;="&amp;A71),
    "")</f>
        <v>630000</v>
      </c>
      <c r="E71" s="18">
        <f>IF(A71&lt;&gt;"",
    SUMIFS([43]FinancingJournal!$E:$E,
           [43]FinancingJournal!$C:$C,"Borrowing",
           [43]FinancingJournal!$A:$A,"&lt;="&amp;A71)
    +
    SUMIFS([43]FinancingJournal!$E:$E,
           [43]FinancingJournal!$C:$C,"Withdrawal",
           [43]FinancingJournal!$A:$A,"&lt;="&amp;A71),
    "")</f>
        <v>544730</v>
      </c>
      <c r="F71" s="29">
        <v>1146596</v>
      </c>
      <c r="G71" s="29">
        <v>136776</v>
      </c>
      <c r="H71" s="29">
        <v>787550</v>
      </c>
      <c r="I71" s="29">
        <v>698832.83311614464</v>
      </c>
      <c r="J71" s="32"/>
      <c r="P71" s="9"/>
    </row>
    <row r="72" spans="1:16" ht="21.75" customHeight="1" x14ac:dyDescent="0.2">
      <c r="A72" s="11">
        <v>46276</v>
      </c>
      <c r="B72" s="14">
        <f>IF(A72&lt;&gt;"",
    SUMIFS([43]FinancingJournal!$E:$E,
           [43]FinancingJournal!$C:$C,"Capital Injection",
           [43]FinancingJournal!$A:$A,"&lt;="&amp;A72),
    "")</f>
        <v>188380</v>
      </c>
      <c r="C72" s="15">
        <f>IF(A72&lt;&gt;"",
    SUMIFS([43]InvestingJournal!$F:$F,
           [43]InvestingJournal!$C:$C,"Izra Advance",
           [43]InvestingJournal!$A:$A,"&lt;="&amp;A72)
    +
    SUMIFS([43]InvestingJournal!$F:$F,
           [43]InvestingJournal!$C:$C,"Investment to Unit",
           [43]InvestingJournal!$A:$A,"&lt;="&amp;A72),
    "")</f>
        <v>137000</v>
      </c>
      <c r="D72" s="15">
        <f>IF(A72&lt;&gt;"",
    SUMIFS([43]InvestingJournal!$F:$F,
           [43]InvestingJournal!$C:$C,"Loan Advance",
           [43]InvestingJournal!$A:$A,"&lt;="&amp;A72),
    "")</f>
        <v>630000</v>
      </c>
      <c r="E72" s="15">
        <f>IF(A72&lt;&gt;"",
    SUMIFS([43]FinancingJournal!$E:$E,
           [43]FinancingJournal!$C:$C,"Borrowing",
           [43]FinancingJournal!$A:$A,"&lt;="&amp;A72)
    +
    SUMIFS([43]FinancingJournal!$E:$E,
           [43]FinancingJournal!$C:$C,"Withdrawal",
           [43]FinancingJournal!$A:$A,"&lt;="&amp;A72),
    "")</f>
        <v>544730</v>
      </c>
      <c r="F72" s="26">
        <v>1157996</v>
      </c>
      <c r="G72" s="26">
        <v>76776</v>
      </c>
      <c r="H72" s="26">
        <v>858950</v>
      </c>
      <c r="I72" s="26">
        <v>770232.83311614464</v>
      </c>
      <c r="J72" s="31" t="s">
        <v>128</v>
      </c>
    </row>
    <row r="73" spans="1:16" ht="21.75" customHeight="1" x14ac:dyDescent="0.2">
      <c r="A73" s="16">
        <v>46276</v>
      </c>
      <c r="B73" s="17">
        <f>IF(A73&lt;&gt;"",
    SUMIFS([43]FinancingJournal!$E:$E,
           [43]FinancingJournal!$C:$C,"Capital Injection",
           [43]FinancingJournal!$A:$A,"&lt;="&amp;A73),
    "")</f>
        <v>188380</v>
      </c>
      <c r="C73" s="18">
        <f>IF(A73&lt;&gt;"",
    SUMIFS([43]InvestingJournal!$F:$F,
           [43]InvestingJournal!$C:$C,"Izra Advance",
           [43]InvestingJournal!$A:$A,"&lt;="&amp;A73)
    +
    SUMIFS([43]InvestingJournal!$F:$F,
           [43]InvestingJournal!$C:$C,"Investment to Unit",
           [43]InvestingJournal!$A:$A,"&lt;="&amp;A73),
    "")</f>
        <v>137000</v>
      </c>
      <c r="D73" s="18">
        <f>IF(A73&lt;&gt;"",
    SUMIFS([43]InvestingJournal!$F:$F,
           [43]InvestingJournal!$C:$C,"Loan Advance",
           [43]InvestingJournal!$A:$A,"&lt;="&amp;A73),
    "")</f>
        <v>630000</v>
      </c>
      <c r="E73" s="18">
        <f>IF(A73&lt;&gt;"",
    SUMIFS([43]FinancingJournal!$E:$E,
           [43]FinancingJournal!$C:$C,"Borrowing",
           [43]FinancingJournal!$A:$A,"&lt;="&amp;A73)
    +
    SUMIFS([43]FinancingJournal!$E:$E,
           [43]FinancingJournal!$C:$C,"Withdrawal",
           [43]FinancingJournal!$A:$A,"&lt;="&amp;A73),
    "")</f>
        <v>544730</v>
      </c>
      <c r="F73" s="29">
        <v>1156446</v>
      </c>
      <c r="G73" s="29">
        <v>75226</v>
      </c>
      <c r="H73" s="29">
        <v>858950</v>
      </c>
      <c r="I73" s="29">
        <v>770232.83311614464</v>
      </c>
      <c r="J73" s="32" t="s">
        <v>129</v>
      </c>
      <c r="P73" s="9"/>
    </row>
    <row r="74" spans="1:16" ht="21.75" customHeight="1" x14ac:dyDescent="0.2">
      <c r="A74" s="11">
        <v>46283</v>
      </c>
      <c r="B74" s="14">
        <f>IF(A74&lt;&gt;"",
    SUMIFS([43]FinancingJournal!$E:$E,
           [43]FinancingJournal!$C:$C,"Capital Injection",
           [43]FinancingJournal!$A:$A,"&lt;="&amp;A74),
    "")</f>
        <v>188380</v>
      </c>
      <c r="C74" s="15">
        <f>IF(A74&lt;&gt;"",
    SUMIFS([43]InvestingJournal!$F:$F,
           [43]InvestingJournal!$C:$C,"Izra Advance",
           [43]InvestingJournal!$A:$A,"&lt;="&amp;A74)
    +
    SUMIFS([43]InvestingJournal!$F:$F,
           [43]InvestingJournal!$C:$C,"Investment to Unit",
           [43]InvestingJournal!$A:$A,"&lt;="&amp;A74),
    "")</f>
        <v>137000</v>
      </c>
      <c r="D74" s="15">
        <f>IF(A74&lt;&gt;"",
    SUMIFS([43]InvestingJournal!$F:$F,
           [43]InvestingJournal!$C:$C,"Loan Advance",
           [43]InvestingJournal!$A:$A,"&lt;="&amp;A74),
    "")</f>
        <v>630000</v>
      </c>
      <c r="E74" s="15">
        <f>IF(A74&lt;&gt;"",
    SUMIFS([43]FinancingJournal!$E:$E,
           [43]FinancingJournal!$C:$C,"Borrowing",
           [43]FinancingJournal!$A:$A,"&lt;="&amp;A74)
    +
    SUMIFS([43]FinancingJournal!$E:$E,
           [43]FinancingJournal!$C:$C,"Withdrawal",
           [43]FinancingJournal!$A:$A,"&lt;="&amp;A74),
    "")</f>
        <v>544730</v>
      </c>
      <c r="F74" s="26">
        <v>1139946</v>
      </c>
      <c r="G74" s="26">
        <v>141576</v>
      </c>
      <c r="H74" s="26">
        <v>776100</v>
      </c>
      <c r="I74" s="26">
        <v>689099.64753996639</v>
      </c>
      <c r="J74" s="31" t="s">
        <v>130</v>
      </c>
    </row>
    <row r="75" spans="1:16" ht="21.75" customHeight="1" x14ac:dyDescent="0.2">
      <c r="A75" s="16">
        <v>46283</v>
      </c>
      <c r="B75" s="17">
        <f>IF(A75&lt;&gt;"",
    SUMIFS([43]FinancingJournal!$E:$E,
           [43]FinancingJournal!$C:$C,"Capital Injection",
           [43]FinancingJournal!$A:$A,"&lt;="&amp;A75),
    "")</f>
        <v>188380</v>
      </c>
      <c r="C75" s="18">
        <f>IF(A75&lt;&gt;"",
    SUMIFS([43]InvestingJournal!$F:$F,
           [43]InvestingJournal!$C:$C,"Izra Advance",
           [43]InvestingJournal!$A:$A,"&lt;="&amp;A75)
    +
    SUMIFS([43]InvestingJournal!$F:$F,
           [43]InvestingJournal!$C:$C,"Investment to Unit",
           [43]InvestingJournal!$A:$A,"&lt;="&amp;A75),
    "")</f>
        <v>137000</v>
      </c>
      <c r="D75" s="18">
        <f>IF(A75&lt;&gt;"",
    SUMIFS([43]InvestingJournal!$F:$F,
           [43]InvestingJournal!$C:$C,"Loan Advance",
           [43]InvestingJournal!$A:$A,"&lt;="&amp;A75),
    "")</f>
        <v>630000</v>
      </c>
      <c r="E75" s="18">
        <f>IF(A75&lt;&gt;"",
    SUMIFS([43]FinancingJournal!$E:$E,
           [43]FinancingJournal!$C:$C,"Borrowing",
           [43]FinancingJournal!$A:$A,"&lt;="&amp;A75)
    +
    SUMIFS([43]FinancingJournal!$E:$E,
           [43]FinancingJournal!$C:$C,"Withdrawal",
           [43]FinancingJournal!$A:$A,"&lt;="&amp;A75),
    "")</f>
        <v>544730</v>
      </c>
      <c r="F75" s="29">
        <v>1149946</v>
      </c>
      <c r="G75" s="29">
        <v>91576</v>
      </c>
      <c r="H75" s="29">
        <v>836100</v>
      </c>
      <c r="I75" s="29">
        <v>749099.64753996639</v>
      </c>
      <c r="J75" s="32" t="s">
        <v>131</v>
      </c>
      <c r="P75" s="9"/>
    </row>
    <row r="76" spans="1:16" ht="21.75" customHeight="1" x14ac:dyDescent="0.2">
      <c r="A76" s="11">
        <v>46286</v>
      </c>
      <c r="B76" s="14">
        <f>IF(A76&lt;&gt;"",
    SUMIFS([43]FinancingJournal!$E:$E,
           [43]FinancingJournal!$C:$C,"Capital Injection",
           [43]FinancingJournal!$A:$A,"&lt;="&amp;A76),
    "")</f>
        <v>188380</v>
      </c>
      <c r="C76" s="15">
        <f>IF(A76&lt;&gt;"",
    SUMIFS([43]InvestingJournal!$F:$F,
           [43]InvestingJournal!$C:$C,"Izra Advance",
           [43]InvestingJournal!$A:$A,"&lt;="&amp;A76)
    +
    SUMIFS([43]InvestingJournal!$F:$F,
           [43]InvestingJournal!$C:$C,"Investment to Unit",
           [43]InvestingJournal!$A:$A,"&lt;="&amp;A76),
    "")</f>
        <v>137000</v>
      </c>
      <c r="D76" s="15">
        <f>IF(A76&lt;&gt;"",
    SUMIFS([43]InvestingJournal!$F:$F,
           [43]InvestingJournal!$C:$C,"Loan Advance",
           [43]InvestingJournal!$A:$A,"&lt;="&amp;A76),
    "")</f>
        <v>630000</v>
      </c>
      <c r="E76" s="15">
        <f>IF(A76&lt;&gt;"",
    SUMIFS([43]FinancingJournal!$E:$E,
           [43]FinancingJournal!$C:$C,"Borrowing",
           [43]FinancingJournal!$A:$A,"&lt;="&amp;A76)
    +
    SUMIFS([43]FinancingJournal!$E:$E,
           [43]FinancingJournal!$C:$C,"Withdrawal",
           [43]FinancingJournal!$A:$A,"&lt;="&amp;A76),
    "")</f>
        <v>544730</v>
      </c>
      <c r="F76" s="26">
        <v>1137946</v>
      </c>
      <c r="G76" s="26">
        <v>118776</v>
      </c>
      <c r="H76" s="26">
        <v>796900</v>
      </c>
      <c r="I76" s="26">
        <v>715259.71349669166</v>
      </c>
      <c r="J76" s="31" t="s">
        <v>132</v>
      </c>
    </row>
    <row r="77" spans="1:16" ht="21.75" customHeight="1" x14ac:dyDescent="0.2">
      <c r="A77" s="16">
        <v>46286</v>
      </c>
      <c r="B77" s="17">
        <f>IF(A77&lt;&gt;"",
    SUMIFS([43]FinancingJournal!$E:$E,
           [43]FinancingJournal!$C:$C,"Capital Injection",
           [43]FinancingJournal!$A:$A,"&lt;="&amp;A77),
    "")</f>
        <v>188380</v>
      </c>
      <c r="C77" s="18">
        <f>IF(A77&lt;&gt;"",
    SUMIFS([43]InvestingJournal!$F:$F,
           [43]InvestingJournal!$C:$C,"Izra Advance",
           [43]InvestingJournal!$A:$A,"&lt;="&amp;A77)
    +
    SUMIFS([43]InvestingJournal!$F:$F,
           [43]InvestingJournal!$C:$C,"Investment to Unit",
           [43]InvestingJournal!$A:$A,"&lt;="&amp;A77),
    "")</f>
        <v>137000</v>
      </c>
      <c r="D77" s="18">
        <f>IF(A77&lt;&gt;"",
    SUMIFS([43]InvestingJournal!$F:$F,
           [43]InvestingJournal!$C:$C,"Loan Advance",
           [43]InvestingJournal!$A:$A,"&lt;="&amp;A77),
    "")</f>
        <v>630000</v>
      </c>
      <c r="E77" s="18">
        <f>IF(A77&lt;&gt;"",
    SUMIFS([43]FinancingJournal!$E:$E,
           [43]FinancingJournal!$C:$C,"Borrowing",
           [43]FinancingJournal!$A:$A,"&lt;="&amp;A77)
    +
    SUMIFS([43]FinancingJournal!$E:$E,
           [43]FinancingJournal!$C:$C,"Withdrawal",
           [43]FinancingJournal!$A:$A,"&lt;="&amp;A77),
    "")</f>
        <v>544730</v>
      </c>
      <c r="F77" s="29">
        <v>1146496</v>
      </c>
      <c r="G77" s="29">
        <v>73776</v>
      </c>
      <c r="H77" s="29">
        <v>850450</v>
      </c>
      <c r="I77" s="29">
        <v>768809.71349669166</v>
      </c>
      <c r="J77" s="32" t="s">
        <v>133</v>
      </c>
      <c r="P77" s="9"/>
    </row>
    <row r="78" spans="1:16" ht="21.75" customHeight="1" x14ac:dyDescent="0.2">
      <c r="A78" s="11">
        <v>46290</v>
      </c>
      <c r="B78" s="14">
        <f>IF(A78&lt;&gt;"",
    SUMIFS([43]FinancingJournal!$E:$E,
           [43]FinancingJournal!$C:$C,"Capital Injection",
           [43]FinancingJournal!$A:$A,"&lt;="&amp;A78),
    "")</f>
        <v>188380</v>
      </c>
      <c r="C78" s="15">
        <f>IF(A78&lt;&gt;"",
    SUMIFS([43]InvestingJournal!$F:$F,
           [43]InvestingJournal!$C:$C,"Izra Advance",
           [43]InvestingJournal!$A:$A,"&lt;="&amp;A78)
    +
    SUMIFS([43]InvestingJournal!$F:$F,
           [43]InvestingJournal!$C:$C,"Investment to Unit",
           [43]InvestingJournal!$A:$A,"&lt;="&amp;A78),
    "")</f>
        <v>137000</v>
      </c>
      <c r="D78" s="15">
        <f>IF(A78&lt;&gt;"",
    SUMIFS([43]InvestingJournal!$F:$F,
           [43]InvestingJournal!$C:$C,"Loan Advance",
           [43]InvestingJournal!$A:$A,"&lt;="&amp;A78),
    "")</f>
        <v>630000</v>
      </c>
      <c r="E78" s="15">
        <f>IF(A78&lt;&gt;"",
    SUMIFS([43]FinancingJournal!$E:$E,
           [43]FinancingJournal!$C:$C,"Borrowing",
           [43]FinancingJournal!$A:$A,"&lt;="&amp;A78)
    +
    SUMIFS([43]FinancingJournal!$E:$E,
           [43]FinancingJournal!$C:$C,"Withdrawal",
           [43]FinancingJournal!$A:$A,"&lt;="&amp;A78),
    "")</f>
        <v>544730</v>
      </c>
      <c r="F78" s="26">
        <v>1146496</v>
      </c>
      <c r="G78" s="26">
        <v>131676</v>
      </c>
      <c r="H78" s="26">
        <v>792550</v>
      </c>
      <c r="I78" s="26">
        <v>714836.66219130636</v>
      </c>
      <c r="J78" s="31" t="s">
        <v>134</v>
      </c>
    </row>
    <row r="79" spans="1:16" ht="21.75" customHeight="1" x14ac:dyDescent="0.2">
      <c r="A79" s="16">
        <v>46290</v>
      </c>
      <c r="B79" s="17">
        <f>IF(A79&lt;&gt;"",
    SUMIFS([43]FinancingJournal!$E:$E,
           [43]FinancingJournal!$C:$C,"Capital Injection",
           [43]FinancingJournal!$A:$A,"&lt;="&amp;A79),
    "")</f>
        <v>188380</v>
      </c>
      <c r="C79" s="18">
        <f>IF(A79&lt;&gt;"",
    SUMIFS([43]InvestingJournal!$F:$F,
           [43]InvestingJournal!$C:$C,"Izra Advance",
           [43]InvestingJournal!$A:$A,"&lt;="&amp;A79)
    +
    SUMIFS([43]InvestingJournal!$F:$F,
           [43]InvestingJournal!$C:$C,"Investment to Unit",
           [43]InvestingJournal!$A:$A,"&lt;="&amp;A79),
    "")</f>
        <v>137000</v>
      </c>
      <c r="D79" s="18">
        <f>IF(A79&lt;&gt;"",
    SUMIFS([43]InvestingJournal!$F:$F,
           [43]InvestingJournal!$C:$C,"Loan Advance",
           [43]InvestingJournal!$A:$A,"&lt;="&amp;A79),
    "")</f>
        <v>630000</v>
      </c>
      <c r="E79" s="18">
        <f>IF(A79&lt;&gt;"",
    SUMIFS([43]FinancingJournal!$E:$E,
           [43]FinancingJournal!$C:$C,"Borrowing",
           [43]FinancingJournal!$A:$A,"&lt;="&amp;A79)
    +
    SUMIFS([43]FinancingJournal!$E:$E,
           [43]FinancingJournal!$C:$C,"Withdrawal",
           [43]FinancingJournal!$A:$A,"&lt;="&amp;A79),
    "")</f>
        <v>544730</v>
      </c>
      <c r="F79" s="29">
        <v>1154196</v>
      </c>
      <c r="G79" s="29">
        <v>91676</v>
      </c>
      <c r="H79" s="29">
        <v>840250</v>
      </c>
      <c r="I79" s="29">
        <v>714836.66219130729</v>
      </c>
      <c r="J79" s="32" t="s">
        <v>135</v>
      </c>
      <c r="P79" s="9"/>
    </row>
    <row r="80" spans="1:16" ht="21.75" customHeight="1" x14ac:dyDescent="0.2">
      <c r="A80" s="11">
        <v>46293</v>
      </c>
      <c r="B80" s="14">
        <f>IF(A80&lt;&gt;"",
    SUMIFS([43]FinancingJournal!$E:$E,
           [43]FinancingJournal!$C:$C,"Capital Injection",
           [43]FinancingJournal!$A:$A,"&lt;="&amp;A80),
    "")</f>
        <v>188380</v>
      </c>
      <c r="C80" s="15">
        <f>IF(A80&lt;&gt;"",
    SUMIFS([43]InvestingJournal!$F:$F,
           [43]InvestingJournal!$C:$C,"Izra Advance",
           [43]InvestingJournal!$A:$A,"&lt;="&amp;A80)
    +
    SUMIFS([43]InvestingJournal!$F:$F,
           [43]InvestingJournal!$C:$C,"Investment to Unit",
           [43]InvestingJournal!$A:$A,"&lt;="&amp;A80),
    "")</f>
        <v>137000</v>
      </c>
      <c r="D80" s="15">
        <f>IF(A80&lt;&gt;"",
    SUMIFS([43]InvestingJournal!$F:$F,
           [43]InvestingJournal!$C:$C,"Loan Advance",
           [43]InvestingJournal!$A:$A,"&lt;="&amp;A80),
    "")</f>
        <v>630000</v>
      </c>
      <c r="E80" s="15">
        <f>IF(A80&lt;&gt;"",
    SUMIFS([43]FinancingJournal!$E:$E,
           [43]FinancingJournal!$C:$C,"Borrowing",
           [43]FinancingJournal!$A:$A,"&lt;="&amp;A80)
    +
    SUMIFS([43]FinancingJournal!$E:$E,
           [43]FinancingJournal!$C:$C,"Withdrawal",
           [43]FinancingJournal!$A:$A,"&lt;="&amp;A80),
    "")</f>
        <v>544730</v>
      </c>
      <c r="F80" s="26">
        <v>1150696</v>
      </c>
      <c r="G80" s="26">
        <v>118326</v>
      </c>
      <c r="H80" s="26">
        <v>810100</v>
      </c>
      <c r="I80" s="26">
        <v>687347.36541989387</v>
      </c>
      <c r="J80" s="31" t="s">
        <v>136</v>
      </c>
    </row>
    <row r="81" spans="1:16" ht="21.75" customHeight="1" x14ac:dyDescent="0.2">
      <c r="A81" s="16">
        <v>46293</v>
      </c>
      <c r="B81" s="17">
        <f>IF(A81&lt;&gt;"",
    SUMIFS([43]FinancingJournal!$E:$E,
           [43]FinancingJournal!$C:$C,"Capital Injection",
           [43]FinancingJournal!$A:$A,"&lt;="&amp;A81),
    "")</f>
        <v>188380</v>
      </c>
      <c r="C81" s="18">
        <f>IF(A81&lt;&gt;"",
    SUMIFS([43]InvestingJournal!$F:$F,
           [43]InvestingJournal!$C:$C,"Izra Advance",
           [43]InvestingJournal!$A:$A,"&lt;="&amp;A81)
    +
    SUMIFS([43]InvestingJournal!$F:$F,
           [43]InvestingJournal!$C:$C,"Investment to Unit",
           [43]InvestingJournal!$A:$A,"&lt;="&amp;A81),
    "")</f>
        <v>137000</v>
      </c>
      <c r="D81" s="18">
        <f>IF(A81&lt;&gt;"",
    SUMIFS([43]InvestingJournal!$F:$F,
           [43]InvestingJournal!$C:$C,"Loan Advance",
           [43]InvestingJournal!$A:$A,"&lt;="&amp;A81),
    "")</f>
        <v>630000</v>
      </c>
      <c r="E81" s="18">
        <f>IF(A81&lt;&gt;"",
    SUMIFS([43]FinancingJournal!$E:$E,
           [43]FinancingJournal!$C:$C,"Borrowing",
           [43]FinancingJournal!$A:$A,"&lt;="&amp;A81)
    +
    SUMIFS([43]FinancingJournal!$E:$E,
           [43]FinancingJournal!$C:$C,"Withdrawal",
           [43]FinancingJournal!$A:$A,"&lt;="&amp;A81),
    "")</f>
        <v>544730</v>
      </c>
      <c r="F81" s="29">
        <v>1156396</v>
      </c>
      <c r="G81" s="29">
        <v>88326</v>
      </c>
      <c r="H81" s="29">
        <v>845800</v>
      </c>
      <c r="I81" s="29">
        <v>687347.36541989481</v>
      </c>
      <c r="J81" s="32" t="s">
        <v>137</v>
      </c>
      <c r="P81" s="9"/>
    </row>
    <row r="82" spans="1:16" ht="21.75" customHeight="1" x14ac:dyDescent="0.2">
      <c r="A82" s="11">
        <v>46294</v>
      </c>
      <c r="B82" s="14">
        <f>IF(A82&lt;&gt;"",
    SUMIFS([43]FinancingJournal!$E:$E,
           [43]FinancingJournal!$C:$C,"Capital Injection",
           [43]FinancingJournal!$A:$A,"&lt;="&amp;A82),
    "")</f>
        <v>188380</v>
      </c>
      <c r="C82" s="15">
        <f>IF(A82&lt;&gt;"",
    SUMIFS([43]InvestingJournal!$F:$F,
           [43]InvestingJournal!$C:$C,"Izra Advance",
           [43]InvestingJournal!$A:$A,"&lt;="&amp;A82)
    +
    SUMIFS([43]InvestingJournal!$F:$F,
           [43]InvestingJournal!$C:$C,"Investment to Unit",
           [43]InvestingJournal!$A:$A,"&lt;="&amp;A82),
    "")</f>
        <v>137000</v>
      </c>
      <c r="D82" s="15">
        <f>IF(A82&lt;&gt;"",
    SUMIFS([43]InvestingJournal!$F:$F,
           [43]InvestingJournal!$C:$C,"Loan Advance",
           [43]InvestingJournal!$A:$A,"&lt;="&amp;A82),
    "")</f>
        <v>630000</v>
      </c>
      <c r="E82" s="15">
        <f>IF(A82&lt;&gt;"",
    SUMIFS([43]FinancingJournal!$E:$E,
           [43]FinancingJournal!$C:$C,"Borrowing",
           [43]FinancingJournal!$A:$A,"&lt;="&amp;A82)
    +
    SUMIFS([43]FinancingJournal!$E:$E,
           [43]FinancingJournal!$C:$C,"Withdrawal",
           [43]FinancingJournal!$A:$A,"&lt;="&amp;A82),
    "")</f>
        <v>544730</v>
      </c>
      <c r="F82" s="26">
        <v>1156396</v>
      </c>
      <c r="G82" s="26">
        <v>89726</v>
      </c>
      <c r="H82" s="26">
        <v>844400</v>
      </c>
      <c r="I82" s="26">
        <v>686242.6936539209</v>
      </c>
      <c r="J82" s="31"/>
    </row>
    <row r="83" spans="1:16" ht="21.75" customHeight="1" x14ac:dyDescent="0.2">
      <c r="A83" s="16">
        <v>46297</v>
      </c>
      <c r="B83" s="17">
        <f>IF(A83&lt;&gt;"",
    SUMIFS([43]FinancingJournal!$E:$E,
           [43]FinancingJournal!$C:$C,"Capital Injection",
           [43]FinancingJournal!$A:$A,"&lt;="&amp;A83),
    "")</f>
        <v>188380</v>
      </c>
      <c r="C83" s="18">
        <f>IF(A83&lt;&gt;"",
    SUMIFS([43]InvestingJournal!$F:$F,
           [43]InvestingJournal!$C:$C,"Izra Advance",
           [43]InvestingJournal!$A:$A,"&lt;="&amp;A83)
    +
    SUMIFS([43]InvestingJournal!$F:$F,
           [43]InvestingJournal!$C:$C,"Investment to Unit",
           [43]InvestingJournal!$A:$A,"&lt;="&amp;A83),
    "")</f>
        <v>137000</v>
      </c>
      <c r="D83" s="18">
        <f>IF(A83&lt;&gt;"",
    SUMIFS([43]InvestingJournal!$F:$F,
           [43]InvestingJournal!$C:$C,"Loan Advance",
           [43]InvestingJournal!$A:$A,"&lt;="&amp;A83),
    "")</f>
        <v>630000</v>
      </c>
      <c r="E83" s="18">
        <f>IF(A83&lt;&gt;"",
    SUMIFS([43]FinancingJournal!$E:$E,
           [43]FinancingJournal!$C:$C,"Borrowing",
           [43]FinancingJournal!$A:$A,"&lt;="&amp;A83)
    +
    SUMIFS([43]FinancingJournal!$E:$E,
           [43]FinancingJournal!$C:$C,"Withdrawal",
           [43]FinancingJournal!$A:$A,"&lt;="&amp;A83),
    "")</f>
        <v>544730</v>
      </c>
      <c r="F83" s="29">
        <v>1156396</v>
      </c>
      <c r="G83" s="29">
        <v>135726</v>
      </c>
      <c r="H83" s="29">
        <v>798400</v>
      </c>
      <c r="I83" s="29">
        <v>713719.66513654869</v>
      </c>
      <c r="J83" s="32"/>
      <c r="P83" s="9"/>
    </row>
    <row r="84" spans="1:16" ht="21.75" customHeight="1" x14ac:dyDescent="0.2">
      <c r="A84" s="11">
        <v>46300</v>
      </c>
      <c r="B84" s="14">
        <f>IF(A84&lt;&gt;"",
    SUMIFS([43]FinancingJournal!$E:$E,
           [43]FinancingJournal!$C:$C,"Capital Injection",
           [43]FinancingJournal!$A:$A,"&lt;="&amp;A84),
    "")</f>
        <v>188380</v>
      </c>
      <c r="C84" s="15">
        <f>IF(A84&lt;&gt;"",
    SUMIFS([43]InvestingJournal!$F:$F,
           [43]InvestingJournal!$C:$C,"Izra Advance",
           [43]InvestingJournal!$A:$A,"&lt;="&amp;A84)
    +
    SUMIFS([43]InvestingJournal!$F:$F,
           [43]InvestingJournal!$C:$C,"Investment to Unit",
           [43]InvestingJournal!$A:$A,"&lt;="&amp;A84),
    "")</f>
        <v>137000</v>
      </c>
      <c r="D84" s="15">
        <f>IF(A84&lt;&gt;"",
    SUMIFS([43]InvestingJournal!$F:$F,
           [43]InvestingJournal!$C:$C,"Loan Advance",
           [43]InvestingJournal!$A:$A,"&lt;="&amp;A84),
    "")</f>
        <v>630000</v>
      </c>
      <c r="E84" s="15">
        <f>IF(A84&lt;&gt;"",
    SUMIFS([43]FinancingJournal!$E:$E,
           [43]FinancingJournal!$C:$C,"Borrowing",
           [43]FinancingJournal!$A:$A,"&lt;="&amp;A84)
    +
    SUMIFS([43]FinancingJournal!$E:$E,
           [43]FinancingJournal!$C:$C,"Withdrawal",
           [43]FinancingJournal!$A:$A,"&lt;="&amp;A84),
    "")</f>
        <v>544730</v>
      </c>
      <c r="F84" s="26">
        <v>1156396</v>
      </c>
      <c r="G84" s="26">
        <v>171526</v>
      </c>
      <c r="H84" s="26">
        <v>762600</v>
      </c>
      <c r="I84" s="26">
        <v>677581.77118180622</v>
      </c>
      <c r="J84" s="31"/>
    </row>
    <row r="85" spans="1:16" ht="21.75" customHeight="1" x14ac:dyDescent="0.2">
      <c r="A85" s="16">
        <v>46300</v>
      </c>
      <c r="B85" s="17">
        <f>IF(A85&lt;&gt;"",
    SUMIFS([43]FinancingJournal!$E:$E,
           [43]FinancingJournal!$C:$C,"Capital Injection",
           [43]FinancingJournal!$A:$A,"&lt;="&amp;A85),
    "")</f>
        <v>188380</v>
      </c>
      <c r="C85" s="18">
        <f>IF(A85&lt;&gt;"",
    SUMIFS([43]InvestingJournal!$F:$F,
           [43]InvestingJournal!$C:$C,"Izra Advance",
           [43]InvestingJournal!$A:$A,"&lt;="&amp;A85)
    +
    SUMIFS([43]InvestingJournal!$F:$F,
           [43]InvestingJournal!$C:$C,"Investment to Unit",
           [43]InvestingJournal!$A:$A,"&lt;="&amp;A85),
    "")</f>
        <v>137000</v>
      </c>
      <c r="D85" s="18">
        <f>IF(A85&lt;&gt;"",
    SUMIFS([43]InvestingJournal!$F:$F,
           [43]InvestingJournal!$C:$C,"Loan Advance",
           [43]InvestingJournal!$A:$A,"&lt;="&amp;A85),
    "")</f>
        <v>630000</v>
      </c>
      <c r="E85" s="18">
        <f>IF(A85&lt;&gt;"",
    SUMIFS([43]FinancingJournal!$E:$E,
           [43]FinancingJournal!$C:$C,"Borrowing",
           [43]FinancingJournal!$A:$A,"&lt;="&amp;A85)
    +
    SUMIFS([43]FinancingJournal!$E:$E,
           [43]FinancingJournal!$C:$C,"Withdrawal",
           [43]FinancingJournal!$A:$A,"&lt;="&amp;A85),
    "")</f>
        <v>544730</v>
      </c>
      <c r="F85" s="29">
        <v>1173496</v>
      </c>
      <c r="G85" s="29">
        <v>81526</v>
      </c>
      <c r="H85" s="29">
        <v>869700</v>
      </c>
      <c r="I85" s="29">
        <v>784681.77118180622</v>
      </c>
      <c r="J85" s="32" t="s">
        <v>140</v>
      </c>
      <c r="P85" s="9"/>
    </row>
    <row r="86" spans="1:16" ht="21.75" customHeight="1" x14ac:dyDescent="0.2">
      <c r="A86" s="11">
        <v>46304</v>
      </c>
      <c r="B86" s="14">
        <f>IF(A86&lt;&gt;"",
    SUMIFS([43]FinancingJournal!$E:$E,
           [43]FinancingJournal!$C:$C,"Capital Injection",
           [43]FinancingJournal!$A:$A,"&lt;="&amp;A86),
    "")</f>
        <v>188380</v>
      </c>
      <c r="C86" s="15">
        <f>IF(A86&lt;&gt;"",
    SUMIFS([43]InvestingJournal!$F:$F,
           [43]InvestingJournal!$C:$C,"Izra Advance",
           [43]InvestingJournal!$A:$A,"&lt;="&amp;A86)
    +
    SUMIFS([43]InvestingJournal!$F:$F,
           [43]InvestingJournal!$C:$C,"Investment to Unit",
           [43]InvestingJournal!$A:$A,"&lt;="&amp;A86),
    "")</f>
        <v>137000</v>
      </c>
      <c r="D86" s="15">
        <f>IF(A86&lt;&gt;"",
    SUMIFS([43]InvestingJournal!$F:$F,
           [43]InvestingJournal!$C:$C,"Loan Advance",
           [43]InvestingJournal!$A:$A,"&lt;="&amp;A86),
    "")</f>
        <v>630000</v>
      </c>
      <c r="E86" s="15">
        <f>IF(A86&lt;&gt;"",
    SUMIFS([43]FinancingJournal!$E:$E,
           [43]FinancingJournal!$C:$C,"Borrowing",
           [43]FinancingJournal!$A:$A,"&lt;="&amp;A86)
    +
    SUMIFS([43]FinancingJournal!$E:$E,
           [43]FinancingJournal!$C:$C,"Withdrawal",
           [43]FinancingJournal!$A:$A,"&lt;="&amp;A86),
    "")</f>
        <v>544730</v>
      </c>
      <c r="F86" s="26">
        <v>1172396</v>
      </c>
      <c r="G86" s="26">
        <v>113126</v>
      </c>
      <c r="H86" s="26">
        <v>837000</v>
      </c>
      <c r="I86" s="26">
        <v>757831.34267144953</v>
      </c>
      <c r="J86" s="31" t="s">
        <v>141</v>
      </c>
    </row>
    <row r="87" spans="1:16" ht="21.75" customHeight="1" x14ac:dyDescent="0.2">
      <c r="A87" s="16">
        <v>46304</v>
      </c>
      <c r="B87" s="17">
        <f>IF(A87&lt;&gt;"",
    SUMIFS([43]FinancingJournal!$E:$E,
           [43]FinancingJournal!$C:$C,"Capital Injection",
           [43]FinancingJournal!$A:$A,"&lt;="&amp;A87),
    "")</f>
        <v>188380</v>
      </c>
      <c r="C87" s="18">
        <f>IF(A87&lt;&gt;"",
    SUMIFS([43]InvestingJournal!$F:$F,
           [43]InvestingJournal!$C:$C,"Izra Advance",
           [43]InvestingJournal!$A:$A,"&lt;="&amp;A87)
    +
    SUMIFS([43]InvestingJournal!$F:$F,
           [43]InvestingJournal!$C:$C,"Investment to Unit",
           [43]InvestingJournal!$A:$A,"&lt;="&amp;A87),
    "")</f>
        <v>137000</v>
      </c>
      <c r="D87" s="18">
        <f>IF(A87&lt;&gt;"",
    SUMIFS([43]InvestingJournal!$F:$F,
           [43]InvestingJournal!$C:$C,"Loan Advance",
           [43]InvestingJournal!$A:$A,"&lt;="&amp;A87),
    "")</f>
        <v>630000</v>
      </c>
      <c r="E87" s="18">
        <f>IF(A87&lt;&gt;"",
    SUMIFS([43]FinancingJournal!$E:$E,
           [43]FinancingJournal!$C:$C,"Borrowing",
           [43]FinancingJournal!$A:$A,"&lt;="&amp;A87)
    +
    SUMIFS([43]FinancingJournal!$E:$E,
           [43]FinancingJournal!$C:$C,"Withdrawal",
           [43]FinancingJournal!$A:$A,"&lt;="&amp;A87),
    "")</f>
        <v>544730</v>
      </c>
      <c r="F87" s="29">
        <v>1178096</v>
      </c>
      <c r="G87" s="29">
        <v>83126</v>
      </c>
      <c r="H87" s="29">
        <v>872700</v>
      </c>
      <c r="I87" s="29">
        <v>793531.34267144953</v>
      </c>
      <c r="J87" s="32" t="s">
        <v>142</v>
      </c>
      <c r="P87" s="9"/>
    </row>
    <row r="88" spans="1:16" ht="21.75" customHeight="1" x14ac:dyDescent="0.2">
      <c r="A88" s="11">
        <v>46307</v>
      </c>
      <c r="B88" s="14">
        <f>IF(A88&lt;&gt;"",
    SUMIFS([43]FinancingJournal!$E:$E,
           [43]FinancingJournal!$C:$C,"Capital Injection",
           [43]FinancingJournal!$A:$A,"&lt;="&amp;A88),
    "")</f>
        <v>188380</v>
      </c>
      <c r="C88" s="15">
        <f>IF(A88&lt;&gt;"",
    SUMIFS([43]InvestingJournal!$F:$F,
           [43]InvestingJournal!$C:$C,"Izra Advance",
           [43]InvestingJournal!$A:$A,"&lt;="&amp;A88)
    +
    SUMIFS([43]InvestingJournal!$F:$F,
           [43]InvestingJournal!$C:$C,"Investment to Unit",
           [43]InvestingJournal!$A:$A,"&lt;="&amp;A88),
    "")</f>
        <v>137000</v>
      </c>
      <c r="D88" s="15">
        <f>IF(A88&lt;&gt;"",
    SUMIFS([43]InvestingJournal!$F:$F,
           [43]InvestingJournal!$C:$C,"Loan Advance",
           [43]InvestingJournal!$A:$A,"&lt;="&amp;A88),
    "")</f>
        <v>630000</v>
      </c>
      <c r="E88" s="15">
        <f>IF(A88&lt;&gt;"",
    SUMIFS([43]FinancingJournal!$E:$E,
           [43]FinancingJournal!$C:$C,"Borrowing",
           [43]FinancingJournal!$A:$A,"&lt;="&amp;A88)
    +
    SUMIFS([43]FinancingJournal!$E:$E,
           [43]FinancingJournal!$C:$C,"Withdrawal",
           [43]FinancingJournal!$A:$A,"&lt;="&amp;A88),
    "")</f>
        <v>544730</v>
      </c>
      <c r="F88" s="26">
        <v>1177796</v>
      </c>
      <c r="G88" s="26">
        <v>124226</v>
      </c>
      <c r="H88" s="26">
        <v>831300</v>
      </c>
      <c r="I88" s="26">
        <v>743138.90718049894</v>
      </c>
      <c r="J88" s="31" t="s">
        <v>143</v>
      </c>
    </row>
    <row r="89" spans="1:16" ht="21.75" customHeight="1" x14ac:dyDescent="0.2">
      <c r="A89" s="16"/>
      <c r="B89" s="17" t="str">
        <f>IF(A89&lt;&gt;"",
    SUMIFS([43]FinancingJournal!$E:$E,
           [43]FinancingJournal!$C:$C,"Capital Injection",
           [43]FinancingJournal!$A:$A,"&lt;="&amp;A89),
    "")</f>
        <v/>
      </c>
      <c r="C89" s="18" t="str">
        <f>IF(A89&lt;&gt;"",
    SUMIFS([43]InvestingJournal!$F:$F,
           [43]InvestingJournal!$C:$C,"Izra Advance",
           [43]InvestingJournal!$A:$A,"&lt;="&amp;A89)
    +
    SUMIFS([43]InvestingJournal!$F:$F,
           [43]InvestingJournal!$C:$C,"Investment to Unit",
           [43]InvestingJournal!$A:$A,"&lt;="&amp;A89),
    "")</f>
        <v/>
      </c>
      <c r="D89" s="18" t="str">
        <f>IF(A89&lt;&gt;"",
    SUMIFS([43]InvestingJournal!$F:$F,
           [43]InvestingJournal!$C:$C,"Loan Advance",
           [43]InvestingJournal!$A:$A,"&lt;="&amp;A89),
    "")</f>
        <v/>
      </c>
      <c r="E89" s="18" t="str">
        <f>IF(A89&lt;&gt;"",
    SUMIFS([43]FinancingJournal!$E:$E,
           [43]FinancingJournal!$C:$C,"Borrowing",
           [43]FinancingJournal!$A:$A,"&lt;="&amp;A89)
    +
    SUMIFS([43]FinancingJournal!$E:$E,
           [43]FinancingJournal!$C:$C,"Withdrawal",
           [43]FinancingJournal!$A:$A,"&lt;="&amp;A89),
    "")</f>
        <v/>
      </c>
      <c r="F89" s="29"/>
      <c r="G89" s="29"/>
      <c r="H89" s="29"/>
      <c r="I89" s="29"/>
      <c r="J89" s="32"/>
      <c r="P89" s="9"/>
    </row>
    <row r="90" spans="1:16" ht="21.75" customHeight="1" x14ac:dyDescent="0.2">
      <c r="A90" s="11"/>
      <c r="B90" s="14" t="str">
        <f>IF(A90&lt;&gt;"",
    SUMIFS([43]FinancingJournal!$E:$E,
           [43]FinancingJournal!$C:$C,"Capital Injection",
           [43]FinancingJournal!$A:$A,"&lt;="&amp;A90),
    "")</f>
        <v/>
      </c>
      <c r="C90" s="15" t="str">
        <f>IF(A90&lt;&gt;"",
    SUMIFS([43]InvestingJournal!$F:$F,
           [43]InvestingJournal!$C:$C,"Izra Advance",
           [43]InvestingJournal!$A:$A,"&lt;="&amp;A90)
    +
    SUMIFS([43]InvestingJournal!$F:$F,
           [43]InvestingJournal!$C:$C,"Investment to Unit",
           [43]InvestingJournal!$A:$A,"&lt;="&amp;A90),
    "")</f>
        <v/>
      </c>
      <c r="D90" s="15" t="str">
        <f>IF(A90&lt;&gt;"",
    SUMIFS([43]InvestingJournal!$F:$F,
           [43]InvestingJournal!$C:$C,"Loan Advance",
           [43]InvestingJournal!$A:$A,"&lt;="&amp;A90),
    "")</f>
        <v/>
      </c>
      <c r="E90" s="15" t="str">
        <f>IF(A90&lt;&gt;"",
    SUMIFS([43]FinancingJournal!$E:$E,
           [43]FinancingJournal!$C:$C,"Borrowing",
           [43]FinancingJournal!$A:$A,"&lt;="&amp;A90)
    +
    SUMIFS([43]FinancingJournal!$E:$E,
           [43]FinancingJournal!$C:$C,"Withdrawal",
           [43]FinancingJournal!$A:$A,"&lt;="&amp;A90),
    "")</f>
        <v/>
      </c>
      <c r="F90" s="26"/>
      <c r="G90" s="26"/>
      <c r="H90" s="26"/>
      <c r="I90" s="26"/>
      <c r="J90" s="31"/>
    </row>
    <row r="91" spans="1:16" ht="21.75" customHeight="1" x14ac:dyDescent="0.2">
      <c r="A91" s="16"/>
      <c r="B91" s="17" t="str">
        <f>IF(A91&lt;&gt;"",
    SUMIFS([43]FinancingJournal!$E:$E,
           [43]FinancingJournal!$C:$C,"Capital Injection",
           [43]FinancingJournal!$A:$A,"&lt;="&amp;A91),
    "")</f>
        <v/>
      </c>
      <c r="C91" s="18" t="str">
        <f>IF(A91&lt;&gt;"",
    SUMIFS([43]InvestingJournal!$F:$F,
           [43]InvestingJournal!$C:$C,"Izra Advance",
           [43]InvestingJournal!$A:$A,"&lt;="&amp;A91)
    +
    SUMIFS([43]InvestingJournal!$F:$F,
           [43]InvestingJournal!$C:$C,"Investment to Unit",
           [43]InvestingJournal!$A:$A,"&lt;="&amp;A91),
    "")</f>
        <v/>
      </c>
      <c r="D91" s="18" t="str">
        <f>IF(A91&lt;&gt;"",
    SUMIFS([43]InvestingJournal!$F:$F,
           [43]InvestingJournal!$C:$C,"Loan Advance",
           [43]InvestingJournal!$A:$A,"&lt;="&amp;A91),
    "")</f>
        <v/>
      </c>
      <c r="E91" s="18" t="str">
        <f>IF(A91&lt;&gt;"",
    SUMIFS([43]FinancingJournal!$E:$E,
           [43]FinancingJournal!$C:$C,"Borrowing",
           [43]FinancingJournal!$A:$A,"&lt;="&amp;A91)
    +
    SUMIFS([43]FinancingJournal!$E:$E,
           [43]FinancingJournal!$C:$C,"Withdrawal",
           [43]FinancingJournal!$A:$A,"&lt;="&amp;A91),
    "")</f>
        <v/>
      </c>
      <c r="F91" s="29"/>
      <c r="G91" s="29"/>
      <c r="H91" s="29"/>
      <c r="I91" s="29"/>
      <c r="J91" s="32"/>
      <c r="P91" s="9"/>
    </row>
    <row r="92" spans="1:16" ht="21.75" customHeight="1" x14ac:dyDescent="0.2">
      <c r="A92" s="11"/>
      <c r="B92" s="14" t="str">
        <f>IF(A92&lt;&gt;"",
    SUMIFS([43]FinancingJournal!$E:$E,
           [43]FinancingJournal!$C:$C,"Capital Injection",
           [43]FinancingJournal!$A:$A,"&lt;="&amp;A92),
    "")</f>
        <v/>
      </c>
      <c r="C92" s="15" t="str">
        <f>IF(A92&lt;&gt;"",
    SUMIFS([43]InvestingJournal!$F:$F,
           [43]InvestingJournal!$C:$C,"Izra Advance",
           [43]InvestingJournal!$A:$A,"&lt;="&amp;A92)
    +
    SUMIFS([43]InvestingJournal!$F:$F,
           [43]InvestingJournal!$C:$C,"Investment to Unit",
           [43]InvestingJournal!$A:$A,"&lt;="&amp;A92),
    "")</f>
        <v/>
      </c>
      <c r="D92" s="15" t="str">
        <f>IF(A92&lt;&gt;"",
    SUMIFS([43]InvestingJournal!$F:$F,
           [43]InvestingJournal!$C:$C,"Loan Advance",
           [43]InvestingJournal!$A:$A,"&lt;="&amp;A92),
    "")</f>
        <v/>
      </c>
      <c r="E92" s="15" t="str">
        <f>IF(A92&lt;&gt;"",
    SUMIFS([43]FinancingJournal!$E:$E,
           [43]FinancingJournal!$C:$C,"Borrowing",
           [43]FinancingJournal!$A:$A,"&lt;="&amp;A92)
    +
    SUMIFS([43]FinancingJournal!$E:$E,
           [43]FinancingJournal!$C:$C,"Withdrawal",
           [43]FinancingJournal!$A:$A,"&lt;="&amp;A92),
    "")</f>
        <v/>
      </c>
      <c r="F92" s="26"/>
      <c r="G92" s="26"/>
      <c r="H92" s="26"/>
      <c r="I92" s="26"/>
      <c r="J92" s="31"/>
    </row>
    <row r="93" spans="1:16" ht="21.75" customHeight="1" x14ac:dyDescent="0.2">
      <c r="A93" s="16"/>
      <c r="B93" s="17" t="str">
        <f>IF(A93&lt;&gt;"",
    SUMIFS([43]FinancingJournal!$E:$E,
           [43]FinancingJournal!$C:$C,"Capital Injection",
           [43]FinancingJournal!$A:$A,"&lt;="&amp;A93),
    "")</f>
        <v/>
      </c>
      <c r="C93" s="18" t="str">
        <f>IF(A93&lt;&gt;"",
    SUMIFS([43]InvestingJournal!$F:$F,
           [43]InvestingJournal!$C:$C,"Izra Advance",
           [43]InvestingJournal!$A:$A,"&lt;="&amp;A93)
    +
    SUMIFS([43]InvestingJournal!$F:$F,
           [43]InvestingJournal!$C:$C,"Investment to Unit",
           [43]InvestingJournal!$A:$A,"&lt;="&amp;A93),
    "")</f>
        <v/>
      </c>
      <c r="D93" s="18" t="str">
        <f>IF(A93&lt;&gt;"",
    SUMIFS([43]InvestingJournal!$F:$F,
           [43]InvestingJournal!$C:$C,"Loan Advance",
           [43]InvestingJournal!$A:$A,"&lt;="&amp;A93),
    "")</f>
        <v/>
      </c>
      <c r="E93" s="18" t="str">
        <f>IF(A93&lt;&gt;"",
    SUMIFS([43]FinancingJournal!$E:$E,
           [43]FinancingJournal!$C:$C,"Borrowing",
           [43]FinancingJournal!$A:$A,"&lt;="&amp;A93)
    +
    SUMIFS([43]FinancingJournal!$E:$E,
           [43]FinancingJournal!$C:$C,"Withdrawal",
           [43]FinancingJournal!$A:$A,"&lt;="&amp;A93),
    "")</f>
        <v/>
      </c>
      <c r="F93" s="29"/>
      <c r="G93" s="29"/>
      <c r="H93" s="29"/>
      <c r="I93" s="29"/>
      <c r="J93" s="32"/>
      <c r="P93" s="9"/>
    </row>
    <row r="94" spans="1:16" ht="21.75" customHeight="1" x14ac:dyDescent="0.2">
      <c r="A94" s="11"/>
      <c r="B94" s="14" t="str">
        <f>IF(A94&lt;&gt;"",
    SUMIFS([43]FinancingJournal!$E:$E,
           [43]FinancingJournal!$C:$C,"Capital Injection",
           [43]FinancingJournal!$A:$A,"&lt;="&amp;A94),
    "")</f>
        <v/>
      </c>
      <c r="C94" s="15" t="str">
        <f>IF(A94&lt;&gt;"",
    SUMIFS([43]InvestingJournal!$F:$F,
           [43]InvestingJournal!$C:$C,"Izra Advance",
           [43]InvestingJournal!$A:$A,"&lt;="&amp;A94)
    +
    SUMIFS([43]InvestingJournal!$F:$F,
           [43]InvestingJournal!$C:$C,"Investment to Unit",
           [43]InvestingJournal!$A:$A,"&lt;="&amp;A94),
    "")</f>
        <v/>
      </c>
      <c r="D94" s="15" t="str">
        <f>IF(A94&lt;&gt;"",
    SUMIFS([43]InvestingJournal!$F:$F,
           [43]InvestingJournal!$C:$C,"Loan Advance",
           [43]InvestingJournal!$A:$A,"&lt;="&amp;A94),
    "")</f>
        <v/>
      </c>
      <c r="E94" s="15" t="str">
        <f>IF(A94&lt;&gt;"",
    SUMIFS([43]FinancingJournal!$E:$E,
           [43]FinancingJournal!$C:$C,"Borrowing",
           [43]FinancingJournal!$A:$A,"&lt;="&amp;A94)
    +
    SUMIFS([43]FinancingJournal!$E:$E,
           [43]FinancingJournal!$C:$C,"Withdrawal",
           [43]FinancingJournal!$A:$A,"&lt;="&amp;A94),
    "")</f>
        <v/>
      </c>
      <c r="F94" s="26"/>
      <c r="G94" s="26"/>
      <c r="H94" s="26"/>
      <c r="I94" s="26"/>
      <c r="J94" s="31"/>
    </row>
    <row r="95" spans="1:16" ht="21.75" customHeight="1" x14ac:dyDescent="0.2">
      <c r="A95" s="16"/>
      <c r="B95" s="17" t="str">
        <f>IF(A95&lt;&gt;"",
    SUMIFS([43]FinancingJournal!$E:$E,
           [43]FinancingJournal!$C:$C,"Capital Injection",
           [43]FinancingJournal!$A:$A,"&lt;="&amp;A95),
    "")</f>
        <v/>
      </c>
      <c r="C95" s="18" t="str">
        <f>IF(A95&lt;&gt;"",
    SUMIFS([43]InvestingJournal!$F:$F,
           [43]InvestingJournal!$C:$C,"Izra Advance",
           [43]InvestingJournal!$A:$A,"&lt;="&amp;A95)
    +
    SUMIFS([43]InvestingJournal!$F:$F,
           [43]InvestingJournal!$C:$C,"Investment to Unit",
           [43]InvestingJournal!$A:$A,"&lt;="&amp;A95),
    "")</f>
        <v/>
      </c>
      <c r="D95" s="18" t="str">
        <f>IF(A95&lt;&gt;"",
    SUMIFS([43]InvestingJournal!$F:$F,
           [43]InvestingJournal!$C:$C,"Loan Advance",
           [43]InvestingJournal!$A:$A,"&lt;="&amp;A95),
    "")</f>
        <v/>
      </c>
      <c r="E95" s="18" t="str">
        <f>IF(A95&lt;&gt;"",
    SUMIFS([43]FinancingJournal!$E:$E,
           [43]FinancingJournal!$C:$C,"Borrowing",
           [43]FinancingJournal!$A:$A,"&lt;="&amp;A95)
    +
    SUMIFS([43]FinancingJournal!$E:$E,
           [43]FinancingJournal!$C:$C,"Withdrawal",
           [43]FinancingJournal!$A:$A,"&lt;="&amp;A95),
    "")</f>
        <v/>
      </c>
      <c r="F95" s="29"/>
      <c r="G95" s="29"/>
      <c r="H95" s="29"/>
      <c r="I95" s="29"/>
      <c r="J95" s="32"/>
      <c r="P95" s="9"/>
    </row>
    <row r="96" spans="1:16" ht="21.75" customHeight="1" x14ac:dyDescent="0.2">
      <c r="A96" s="11"/>
      <c r="B96" s="14" t="str">
        <f>IF(A96&lt;&gt;"",
    SUMIFS([43]FinancingJournal!$E:$E,
           [43]FinancingJournal!$C:$C,"Capital Injection",
           [43]FinancingJournal!$A:$A,"&lt;="&amp;A96),
    "")</f>
        <v/>
      </c>
      <c r="C96" s="15" t="str">
        <f>IF(A96&lt;&gt;"",
    SUMIFS([43]InvestingJournal!$F:$F,
           [43]InvestingJournal!$C:$C,"Izra Advance",
           [43]InvestingJournal!$A:$A,"&lt;="&amp;A96)
    +
    SUMIFS([43]InvestingJournal!$F:$F,
           [43]InvestingJournal!$C:$C,"Investment to Unit",
           [43]InvestingJournal!$A:$A,"&lt;="&amp;A96),
    "")</f>
        <v/>
      </c>
      <c r="D96" s="15" t="str">
        <f>IF(A96&lt;&gt;"",
    SUMIFS([43]InvestingJournal!$F:$F,
           [43]InvestingJournal!$C:$C,"Loan Advance",
           [43]InvestingJournal!$A:$A,"&lt;="&amp;A96),
    "")</f>
        <v/>
      </c>
      <c r="E96" s="15" t="str">
        <f>IF(A96&lt;&gt;"",
    SUMIFS([43]FinancingJournal!$E:$E,
           [43]FinancingJournal!$C:$C,"Borrowing",
           [43]FinancingJournal!$A:$A,"&lt;="&amp;A96)
    +
    SUMIFS([43]FinancingJournal!$E:$E,
           [43]FinancingJournal!$C:$C,"Withdrawal",
           [43]FinancingJournal!$A:$A,"&lt;="&amp;A96),
    "")</f>
        <v/>
      </c>
      <c r="F96" s="26"/>
      <c r="G96" s="26"/>
      <c r="H96" s="26"/>
      <c r="I96" s="26"/>
      <c r="J96" s="31"/>
    </row>
    <row r="97" spans="1:16" ht="21.75" customHeight="1" x14ac:dyDescent="0.2">
      <c r="A97" s="16"/>
      <c r="B97" s="17" t="str">
        <f>IF(A97&lt;&gt;"",
    SUMIFS([43]FinancingJournal!$E:$E,
           [43]FinancingJournal!$C:$C,"Capital Injection",
           [43]FinancingJournal!$A:$A,"&lt;="&amp;A97),
    "")</f>
        <v/>
      </c>
      <c r="C97" s="18" t="str">
        <f>IF(A97&lt;&gt;"",
    SUMIFS([43]InvestingJournal!$F:$F,
           [43]InvestingJournal!$C:$C,"Izra Advance",
           [43]InvestingJournal!$A:$A,"&lt;="&amp;A97)
    +
    SUMIFS([43]InvestingJournal!$F:$F,
           [43]InvestingJournal!$C:$C,"Investment to Unit",
           [43]InvestingJournal!$A:$A,"&lt;="&amp;A97),
    "")</f>
        <v/>
      </c>
      <c r="D97" s="18" t="str">
        <f>IF(A97&lt;&gt;"",
    SUMIFS([43]InvestingJournal!$F:$F,
           [43]InvestingJournal!$C:$C,"Loan Advance",
           [43]InvestingJournal!$A:$A,"&lt;="&amp;A97),
    "")</f>
        <v/>
      </c>
      <c r="E97" s="18" t="str">
        <f>IF(A97&lt;&gt;"",
    SUMIFS([43]FinancingJournal!$E:$E,
           [43]FinancingJournal!$C:$C,"Borrowing",
           [43]FinancingJournal!$A:$A,"&lt;="&amp;A97)
    +
    SUMIFS([43]FinancingJournal!$E:$E,
           [43]FinancingJournal!$C:$C,"Withdrawal",
           [43]FinancingJournal!$A:$A,"&lt;="&amp;A97),
    "")</f>
        <v/>
      </c>
      <c r="F97" s="29"/>
      <c r="G97" s="29"/>
      <c r="H97" s="29"/>
      <c r="I97" s="29"/>
      <c r="J97" s="32"/>
      <c r="P97" s="9"/>
    </row>
    <row r="98" spans="1:16" ht="21.75" customHeight="1" x14ac:dyDescent="0.2">
      <c r="A98" s="11"/>
      <c r="B98" s="14" t="str">
        <f>IF(A98&lt;&gt;"",
    SUMIFS([43]FinancingJournal!$E:$E,
           [43]FinancingJournal!$C:$C,"Capital Injection",
           [43]FinancingJournal!$A:$A,"&lt;="&amp;A98),
    "")</f>
        <v/>
      </c>
      <c r="C98" s="15" t="str">
        <f>IF(A98&lt;&gt;"",
    SUMIFS([43]InvestingJournal!$F:$F,
           [43]InvestingJournal!$C:$C,"Izra Advance",
           [43]InvestingJournal!$A:$A,"&lt;="&amp;A98)
    +
    SUMIFS([43]InvestingJournal!$F:$F,
           [43]InvestingJournal!$C:$C,"Investment to Unit",
           [43]InvestingJournal!$A:$A,"&lt;="&amp;A98),
    "")</f>
        <v/>
      </c>
      <c r="D98" s="15" t="str">
        <f>IF(A98&lt;&gt;"",
    SUMIFS([43]InvestingJournal!$F:$F,
           [43]InvestingJournal!$C:$C,"Loan Advance",
           [43]InvestingJournal!$A:$A,"&lt;="&amp;A98),
    "")</f>
        <v/>
      </c>
      <c r="E98" s="15" t="str">
        <f>IF(A98&lt;&gt;"",
    SUMIFS([43]FinancingJournal!$E:$E,
           [43]FinancingJournal!$C:$C,"Borrowing",
           [43]FinancingJournal!$A:$A,"&lt;="&amp;A98)
    +
    SUMIFS([43]FinancingJournal!$E:$E,
           [43]FinancingJournal!$C:$C,"Withdrawal",
           [43]FinancingJournal!$A:$A,"&lt;="&amp;A98),
    "")</f>
        <v/>
      </c>
      <c r="F98" s="26"/>
      <c r="G98" s="26"/>
      <c r="H98" s="26"/>
      <c r="I98" s="26"/>
      <c r="J98" s="31"/>
    </row>
    <row r="99" spans="1:16" ht="21.75" customHeight="1" x14ac:dyDescent="0.2">
      <c r="A99" s="16"/>
      <c r="B99" s="17" t="str">
        <f>IF(A99&lt;&gt;"",
    SUMIFS([43]FinancingJournal!$E:$E,
           [43]FinancingJournal!$C:$C,"Capital Injection",
           [43]FinancingJournal!$A:$A,"&lt;="&amp;A99),
    "")</f>
        <v/>
      </c>
      <c r="C99" s="18" t="str">
        <f>IF(A99&lt;&gt;"",
    SUMIFS([43]InvestingJournal!$F:$F,
           [43]InvestingJournal!$C:$C,"Izra Advance",
           [43]InvestingJournal!$A:$A,"&lt;="&amp;A99)
    +
    SUMIFS([43]InvestingJournal!$F:$F,
           [43]InvestingJournal!$C:$C,"Investment to Unit",
           [43]InvestingJournal!$A:$A,"&lt;="&amp;A99),
    "")</f>
        <v/>
      </c>
      <c r="D99" s="18" t="str">
        <f>IF(A99&lt;&gt;"",
    SUMIFS([43]InvestingJournal!$F:$F,
           [43]InvestingJournal!$C:$C,"Loan Advance",
           [43]InvestingJournal!$A:$A,"&lt;="&amp;A99),
    "")</f>
        <v/>
      </c>
      <c r="E99" s="18" t="str">
        <f>IF(A99&lt;&gt;"",
    SUMIFS([43]FinancingJournal!$E:$E,
           [43]FinancingJournal!$C:$C,"Borrowing",
           [43]FinancingJournal!$A:$A,"&lt;="&amp;A99)
    +
    SUMIFS([43]FinancingJournal!$E:$E,
           [43]FinancingJournal!$C:$C,"Withdrawal",
           [43]FinancingJournal!$A:$A,"&lt;="&amp;A99),
    "")</f>
        <v/>
      </c>
      <c r="F99" s="29"/>
      <c r="G99" s="29"/>
      <c r="H99" s="29"/>
      <c r="I99" s="29"/>
      <c r="J99" s="32"/>
      <c r="P99" s="9"/>
    </row>
    <row r="100" spans="1:16" ht="21.75" customHeight="1" x14ac:dyDescent="0.2">
      <c r="A100" s="11"/>
      <c r="B100" s="14" t="str">
        <f>IF(A100&lt;&gt;"",
    SUMIFS([43]FinancingJournal!$E:$E,
           [43]FinancingJournal!$C:$C,"Capital Injection",
           [43]FinancingJournal!$A:$A,"&lt;="&amp;A100),
    "")</f>
        <v/>
      </c>
      <c r="C100" s="15" t="str">
        <f>IF(A100&lt;&gt;"",
    SUMIFS([43]InvestingJournal!$F:$F,
           [43]InvestingJournal!$C:$C,"Izra Advance",
           [43]InvestingJournal!$A:$A,"&lt;="&amp;A100)
    +
    SUMIFS([43]InvestingJournal!$F:$F,
           [43]InvestingJournal!$C:$C,"Investment to Unit",
           [43]InvestingJournal!$A:$A,"&lt;="&amp;A100),
    "")</f>
        <v/>
      </c>
      <c r="D100" s="15" t="str">
        <f>IF(A100&lt;&gt;"",
    SUMIFS([43]InvestingJournal!$F:$F,
           [43]InvestingJournal!$C:$C,"Loan Advance",
           [43]InvestingJournal!$A:$A,"&lt;="&amp;A100),
    "")</f>
        <v/>
      </c>
      <c r="E100" s="15" t="str">
        <f>IF(A100&lt;&gt;"",
    SUMIFS([43]FinancingJournal!$E:$E,
           [43]FinancingJournal!$C:$C,"Borrowing",
           [43]FinancingJournal!$A:$A,"&lt;="&amp;A100)
    +
    SUMIFS([43]FinancingJournal!$E:$E,
           [43]FinancingJournal!$C:$C,"Withdrawal",
           [43]FinancingJournal!$A:$A,"&lt;="&amp;A100),
    "")</f>
        <v/>
      </c>
      <c r="F100" s="26"/>
      <c r="G100" s="26"/>
      <c r="H100" s="26"/>
      <c r="I100" s="26"/>
      <c r="J100" s="31"/>
    </row>
    <row r="101" spans="1:16" ht="21.75" customHeight="1" x14ac:dyDescent="0.2">
      <c r="A101" s="16"/>
      <c r="B101" s="17" t="str">
        <f>IF(A101&lt;&gt;"",
    SUMIFS([43]FinancingJournal!$E:$E,
           [43]FinancingJournal!$C:$C,"Capital Injection",
           [43]FinancingJournal!$A:$A,"&lt;="&amp;A101),
    "")</f>
        <v/>
      </c>
      <c r="C101" s="18"/>
      <c r="D101" s="18"/>
      <c r="E101" s="18"/>
      <c r="F101" s="29"/>
      <c r="G101" s="29"/>
      <c r="H101" s="29"/>
      <c r="I101" s="29"/>
      <c r="J101" s="32"/>
      <c r="P101" s="9"/>
    </row>
    <row r="102" spans="1:16" ht="21.75" customHeight="1" x14ac:dyDescent="0.2">
      <c r="A102" s="11"/>
      <c r="B102" s="14" t="str">
        <f>IF(A102&lt;&gt;"",
    SUMIFS([43]FinancingJournal!$E:$E,
           [43]FinancingJournal!$C:$C,"Capital Injection",
           [43]FinancingJournal!$A:$A,"&lt;="&amp;A102),
    "")</f>
        <v/>
      </c>
      <c r="C102" s="15" t="str">
        <f>IF(A102&lt;&gt;"",
    SUMIFS([43]InvestingJournal!$F:$F,
           [43]InvestingJournal!$C:$C,"Izra Advance",
           [43]InvestingJournal!$A:$A,"&lt;="&amp;A102)
    +
    SUMIFS([43]InvestingJournal!$F:$F,
           [43]InvestingJournal!$C:$C,"Investment to Unit",
           [43]InvestingJournal!$A:$A,"&lt;="&amp;A102),
    "")</f>
        <v/>
      </c>
      <c r="D102" s="15" t="str">
        <f>IF(A102&lt;&gt;"",
    SUMIFS([43]InvestingJournal!$F:$F,
           [43]InvestingJournal!$C:$C,"Loan Advance",
           [43]InvestingJournal!$A:$A,"&lt;="&amp;A102),
    "")</f>
        <v/>
      </c>
      <c r="E102" s="15" t="str">
        <f>IF(A102&lt;&gt;"",
    SUMIFS([43]FinancingJournal!$E:$E,
           [43]FinancingJournal!$C:$C,"Borrowing",
           [43]FinancingJournal!$A:$A,"&lt;="&amp;A102)
    +
    SUMIFS([43]FinancingJournal!$E:$E,
           [43]FinancingJournal!$C:$C,"Withdrawal",
           [43]FinancingJournal!$A:$A,"&lt;="&amp;A102),
    "")</f>
        <v/>
      </c>
      <c r="F102" s="26"/>
      <c r="G102" s="26"/>
      <c r="H102" s="26"/>
      <c r="I102" s="26"/>
      <c r="J102" s="31"/>
    </row>
    <row r="103" spans="1:16" ht="21.75" customHeight="1" x14ac:dyDescent="0.2">
      <c r="A103" s="16"/>
      <c r="B103" s="17" t="str">
        <f>IF(A103&lt;&gt;"",
    SUMIFS([43]FinancingJournal!$E:$E,
           [43]FinancingJournal!$C:$C,"Capital Injection",
           [43]FinancingJournal!$A:$A,"&lt;="&amp;A103),
    "")</f>
        <v/>
      </c>
      <c r="C103" s="18" t="str">
        <f>IF(A103&lt;&gt;"",
    SUMIFS([43]InvestingJournal!$F:$F,
           [43]InvestingJournal!$C:$C,"Izra Advance",
           [43]InvestingJournal!$A:$A,"&lt;="&amp;A103)
    +
    SUMIFS([43]InvestingJournal!$F:$F,
           [43]InvestingJournal!$C:$C,"Investment to Unit",
           [43]InvestingJournal!$A:$A,"&lt;="&amp;A103),
    "")</f>
        <v/>
      </c>
      <c r="D103" s="18" t="str">
        <f>IF(A103&lt;&gt;"",
    SUMIFS([43]InvestingJournal!$F:$F,
           [43]InvestingJournal!$C:$C,"Loan Advance",
           [43]InvestingJournal!$A:$A,"&lt;="&amp;A103),
    "")</f>
        <v/>
      </c>
      <c r="E103" s="18" t="str">
        <f>IF(A103&lt;&gt;"",
    SUMIFS([43]FinancingJournal!$E:$E,
           [43]FinancingJournal!$C:$C,"Borrowing",
           [43]FinancingJournal!$A:$A,"&lt;="&amp;A103)
    +
    SUMIFS([43]FinancingJournal!$E:$E,
           [43]FinancingJournal!$C:$C,"Withdrawal",
           [43]FinancingJournal!$A:$A,"&lt;="&amp;A103),
    "")</f>
        <v/>
      </c>
      <c r="F103" s="29"/>
      <c r="G103" s="29"/>
      <c r="H103" s="29"/>
      <c r="I103" s="29"/>
      <c r="J103" s="32"/>
      <c r="P103" s="9"/>
    </row>
    <row r="104" spans="1:16" ht="21.75" customHeight="1" x14ac:dyDescent="0.2">
      <c r="A104" s="11"/>
      <c r="B104" s="14" t="str">
        <f>IF(A104&lt;&gt;"",
    SUMIFS([43]FinancingJournal!$E:$E,
           [43]FinancingJournal!$C:$C,"Capital Injection",
           [43]FinancingJournal!$A:$A,"&lt;="&amp;A104),
    "")</f>
        <v/>
      </c>
      <c r="C104" s="15" t="str">
        <f>IF(A104&lt;&gt;"",
    SUMIFS([43]InvestingJournal!$F:$F,
           [43]InvestingJournal!$C:$C,"Izra Advance",
           [43]InvestingJournal!$A:$A,"&lt;="&amp;A104)
    +
    SUMIFS([43]InvestingJournal!$F:$F,
           [43]InvestingJournal!$C:$C,"Investment to Unit",
           [43]InvestingJournal!$A:$A,"&lt;="&amp;A104),
    "")</f>
        <v/>
      </c>
      <c r="D104" s="15" t="str">
        <f>IF(A104&lt;&gt;"",
    SUMIFS([43]InvestingJournal!$F:$F,
           [43]InvestingJournal!$C:$C,"Loan Advance",
           [43]InvestingJournal!$A:$A,"&lt;="&amp;A104),
    "")</f>
        <v/>
      </c>
      <c r="E104" s="15" t="str">
        <f>IF(A104&lt;&gt;"",
    SUMIFS([43]FinancingJournal!$E:$E,
           [43]FinancingJournal!$C:$C,"Borrowing",
           [43]FinancingJournal!$A:$A,"&lt;="&amp;A104)
    +
    SUMIFS([43]FinancingJournal!$E:$E,
           [43]FinancingJournal!$C:$C,"Withdrawal",
           [43]FinancingJournal!$A:$A,"&lt;="&amp;A104),
    "")</f>
        <v/>
      </c>
      <c r="F104" s="26"/>
      <c r="G104" s="26"/>
      <c r="H104" s="26"/>
      <c r="I104" s="26"/>
      <c r="J104" s="31"/>
    </row>
    <row r="105" spans="1:16" ht="21.75" customHeight="1" x14ac:dyDescent="0.2">
      <c r="A105" s="16"/>
      <c r="B105" s="17" t="str">
        <f>IF(A105&lt;&gt;"",
    SUMIFS([43]FinancingJournal!$E:$E,
           [43]FinancingJournal!$C:$C,"Capital Injection",
           [43]FinancingJournal!$A:$A,"&lt;="&amp;A105),
    "")</f>
        <v/>
      </c>
      <c r="C105" s="18" t="str">
        <f>IF(A105&lt;&gt;"",
    SUMIFS([43]InvestingJournal!$F:$F,
           [43]InvestingJournal!$C:$C,"Izra Advance",
           [43]InvestingJournal!$A:$A,"&lt;="&amp;A105)
    +
    SUMIFS([43]InvestingJournal!$F:$F,
           [43]InvestingJournal!$C:$C,"Investment to Unit",
           [43]InvestingJournal!$A:$A,"&lt;="&amp;A105),
    "")</f>
        <v/>
      </c>
      <c r="D105" s="18" t="str">
        <f>IF(A105&lt;&gt;"",
    SUMIFS([43]InvestingJournal!$F:$F,
           [43]InvestingJournal!$C:$C,"Loan Advance",
           [43]InvestingJournal!$A:$A,"&lt;="&amp;A105),
    "")</f>
        <v/>
      </c>
      <c r="E105" s="18" t="str">
        <f>IF(A105&lt;&gt;"",
    SUMIFS([43]FinancingJournal!$E:$E,
           [43]FinancingJournal!$C:$C,"Borrowing",
           [43]FinancingJournal!$A:$A,"&lt;="&amp;A105)
    +
    SUMIFS([43]FinancingJournal!$E:$E,
           [43]FinancingJournal!$C:$C,"Withdrawal",
           [43]FinancingJournal!$A:$A,"&lt;="&amp;A105),
    "")</f>
        <v/>
      </c>
      <c r="F105" s="29"/>
      <c r="G105" s="29"/>
      <c r="H105" s="29"/>
      <c r="I105" s="29"/>
      <c r="J105" s="32"/>
      <c r="P105" s="9"/>
    </row>
    <row r="106" spans="1:16" ht="21.75" customHeight="1" x14ac:dyDescent="0.2">
      <c r="A106" s="11"/>
      <c r="B106" s="14" t="str">
        <f>IF(A106&lt;&gt;"",
    SUMIFS([43]FinancingJournal!$E:$E,
           [43]FinancingJournal!$C:$C,"Capital Injection",
           [43]FinancingJournal!$A:$A,"&lt;="&amp;A106),
    "")</f>
        <v/>
      </c>
      <c r="C106" s="15" t="str">
        <f>IF(A106&lt;&gt;"",
    SUMIFS([43]InvestingJournal!$F:$F,
           [43]InvestingJournal!$C:$C,"Izra Advance",
           [43]InvestingJournal!$A:$A,"&lt;="&amp;A106)
    +
    SUMIFS([43]InvestingJournal!$F:$F,
           [43]InvestingJournal!$C:$C,"Investment to Unit",
           [43]InvestingJournal!$A:$A,"&lt;="&amp;A106),
    "")</f>
        <v/>
      </c>
      <c r="D106" s="15" t="str">
        <f>IF(A106&lt;&gt;"",
    SUMIFS([43]InvestingJournal!$F:$F,
           [43]InvestingJournal!$C:$C,"Loan Advance",
           [43]InvestingJournal!$A:$A,"&lt;="&amp;A106),
    "")</f>
        <v/>
      </c>
      <c r="E106" s="15" t="str">
        <f>IF(A106&lt;&gt;"",
    SUMIFS([43]FinancingJournal!$E:$E,
           [43]FinancingJournal!$C:$C,"Borrowing",
           [43]FinancingJournal!$A:$A,"&lt;="&amp;A106)
    +
    SUMIFS([43]FinancingJournal!$E:$E,
           [43]FinancingJournal!$C:$C,"Withdrawal",
           [43]FinancingJournal!$A:$A,"&lt;="&amp;A106),
    "")</f>
        <v/>
      </c>
      <c r="F106" s="26"/>
      <c r="G106" s="26"/>
      <c r="H106" s="26"/>
      <c r="I106" s="26"/>
      <c r="J106" s="31"/>
    </row>
    <row r="107" spans="1:16" ht="21.75" customHeight="1" x14ac:dyDescent="0.2">
      <c r="A107" s="16"/>
      <c r="B107" s="17" t="str">
        <f>IF(A107&lt;&gt;"",
    SUMIFS([43]FinancingJournal!$E:$E,
           [43]FinancingJournal!$C:$C,"Capital Injection",
           [43]FinancingJournal!$A:$A,"&lt;="&amp;A107),
    "")</f>
        <v/>
      </c>
      <c r="C107" s="18" t="str">
        <f>IF(A107&lt;&gt;"",
    SUMIFS([43]InvestingJournal!$F:$F,
           [43]InvestingJournal!$C:$C,"Izra Advance",
           [43]InvestingJournal!$A:$A,"&lt;="&amp;A107)
    +
    SUMIFS([43]InvestingJournal!$F:$F,
           [43]InvestingJournal!$C:$C,"Investment to Unit",
           [43]InvestingJournal!$A:$A,"&lt;="&amp;A107),
    "")</f>
        <v/>
      </c>
      <c r="D107" s="18" t="str">
        <f>IF(A107&lt;&gt;"",
    SUMIFS([43]InvestingJournal!$F:$F,
           [43]InvestingJournal!$C:$C,"Loan Advance",
           [43]InvestingJournal!$A:$A,"&lt;="&amp;A107),
    "")</f>
        <v/>
      </c>
      <c r="E107" s="18" t="str">
        <f>IF(A107&lt;&gt;"",
    SUMIFS([43]FinancingJournal!$E:$E,
           [43]FinancingJournal!$C:$C,"Borrowing",
           [43]FinancingJournal!$A:$A,"&lt;="&amp;A107)
    +
    SUMIFS([43]FinancingJournal!$E:$E,
           [43]FinancingJournal!$C:$C,"Withdrawal",
           [43]FinancingJournal!$A:$A,"&lt;="&amp;A107),
    "")</f>
        <v/>
      </c>
      <c r="F107" s="29"/>
      <c r="G107" s="29"/>
      <c r="H107" s="29"/>
      <c r="I107" s="29"/>
      <c r="J107" s="32"/>
      <c r="P107" s="9"/>
    </row>
    <row r="108" spans="1:16" ht="21.75" customHeight="1" x14ac:dyDescent="0.2">
      <c r="A108" s="11"/>
      <c r="B108" s="14" t="str">
        <f>IF(A108&lt;&gt;"",
    SUMIFS([43]FinancingJournal!$E:$E,
           [43]FinancingJournal!$C:$C,"Capital Injection",
           [43]FinancingJournal!$A:$A,"&lt;="&amp;A108),
    "")</f>
        <v/>
      </c>
      <c r="C108" s="15" t="str">
        <f>IF(A108&lt;&gt;"",
    SUMIFS([43]InvestingJournal!$F:$F,
           [43]InvestingJournal!$C:$C,"Izra Advance",
           [43]InvestingJournal!$A:$A,"&lt;="&amp;A108)
    +
    SUMIFS([43]InvestingJournal!$F:$F,
           [43]InvestingJournal!$C:$C,"Investment to Unit",
           [43]InvestingJournal!$A:$A,"&lt;="&amp;A108),
    "")</f>
        <v/>
      </c>
      <c r="D108" s="15" t="str">
        <f>IF(A108&lt;&gt;"",
    SUMIFS([43]InvestingJournal!$F:$F,
           [43]InvestingJournal!$C:$C,"Loan Advance",
           [43]InvestingJournal!$A:$A,"&lt;="&amp;A108),
    "")</f>
        <v/>
      </c>
      <c r="E108" s="15" t="str">
        <f>IF(A108&lt;&gt;"",
    SUMIFS([43]FinancingJournal!$E:$E,
           [43]FinancingJournal!$C:$C,"Borrowing",
           [43]FinancingJournal!$A:$A,"&lt;="&amp;A108)
    +
    SUMIFS([43]FinancingJournal!$E:$E,
           [43]FinancingJournal!$C:$C,"Withdrawal",
           [43]FinancingJournal!$A:$A,"&lt;="&amp;A108),
    "")</f>
        <v/>
      </c>
      <c r="F108" s="26"/>
      <c r="G108" s="26"/>
      <c r="H108" s="26"/>
      <c r="I108" s="26"/>
      <c r="J108" s="31"/>
    </row>
    <row r="109" spans="1:16" ht="21.75" customHeight="1" x14ac:dyDescent="0.2">
      <c r="A109" s="16"/>
      <c r="B109" s="17" t="str">
        <f>IF(A109&lt;&gt;"",
    SUMIFS([43]FinancingJournal!$E:$E,
           [43]FinancingJournal!$C:$C,"Capital Injection",
           [43]FinancingJournal!$A:$A,"&lt;="&amp;A109),
    "")</f>
        <v/>
      </c>
      <c r="C109" s="18" t="str">
        <f>IF(A109&lt;&gt;"",
    SUMIFS([43]InvestingJournal!$F:$F,
           [43]InvestingJournal!$C:$C,"Izra Advance",
           [43]InvestingJournal!$A:$A,"&lt;="&amp;A109)
    +
    SUMIFS([43]InvestingJournal!$F:$F,
           [43]InvestingJournal!$C:$C,"Investment to Unit",
           [43]InvestingJournal!$A:$A,"&lt;="&amp;A109),
    "")</f>
        <v/>
      </c>
      <c r="D109" s="18" t="str">
        <f>IF(A109&lt;&gt;"",
    SUMIFS([43]InvestingJournal!$F:$F,
           [43]InvestingJournal!$C:$C,"Loan Advance",
           [43]InvestingJournal!$A:$A,"&lt;="&amp;A109),
    "")</f>
        <v/>
      </c>
      <c r="E109" s="18" t="str">
        <f>IF(A109&lt;&gt;"",
    SUMIFS([43]FinancingJournal!$E:$E,
           [43]FinancingJournal!$C:$C,"Borrowing",
           [43]FinancingJournal!$A:$A,"&lt;="&amp;A109)
    +
    SUMIFS([43]FinancingJournal!$E:$E,
           [43]FinancingJournal!$C:$C,"Withdrawal",
           [43]FinancingJournal!$A:$A,"&lt;="&amp;A109),
    "")</f>
        <v/>
      </c>
      <c r="F109" s="29"/>
      <c r="G109" s="29"/>
      <c r="H109" s="29"/>
      <c r="I109" s="29"/>
      <c r="J109" s="32"/>
      <c r="P109" s="9"/>
    </row>
    <row r="110" spans="1:16" ht="21.75" customHeight="1" x14ac:dyDescent="0.2">
      <c r="A110" s="11"/>
      <c r="B110" s="14" t="str">
        <f>IF(A110&lt;&gt;"",
    SUMIFS([43]FinancingJournal!$E:$E,
           [43]FinancingJournal!$C:$C,"Capital Injection",
           [43]FinancingJournal!$A:$A,"&lt;="&amp;A110),
    "")</f>
        <v/>
      </c>
      <c r="C110" s="15" t="str">
        <f>IF(A110&lt;&gt;"",
    SUMIFS([43]InvestingJournal!$F:$F,
           [43]InvestingJournal!$C:$C,"Izra Advance",
           [43]InvestingJournal!$A:$A,"&lt;="&amp;A110)
    +
    SUMIFS([43]InvestingJournal!$F:$F,
           [43]InvestingJournal!$C:$C,"Investment to Unit",
           [43]InvestingJournal!$A:$A,"&lt;="&amp;A110),
    "")</f>
        <v/>
      </c>
      <c r="D110" s="15" t="str">
        <f>IF(A110&lt;&gt;"",
    SUMIFS([43]InvestingJournal!$F:$F,
           [43]InvestingJournal!$C:$C,"Loan Advance",
           [43]InvestingJournal!$A:$A,"&lt;="&amp;A110),
    "")</f>
        <v/>
      </c>
      <c r="E110" s="15" t="str">
        <f>IF(A110&lt;&gt;"",
    SUMIFS([43]FinancingJournal!$E:$E,
           [43]FinancingJournal!$C:$C,"Borrowing",
           [43]FinancingJournal!$A:$A,"&lt;="&amp;A110)
    +
    SUMIFS([43]FinancingJournal!$E:$E,
           [43]FinancingJournal!$C:$C,"Withdrawal",
           [43]FinancingJournal!$A:$A,"&lt;="&amp;A110),
    "")</f>
        <v/>
      </c>
      <c r="F110" s="26"/>
      <c r="G110" s="26"/>
      <c r="H110" s="26"/>
      <c r="I110" s="26"/>
      <c r="J110" s="31"/>
    </row>
    <row r="111" spans="1:16" ht="21.75" customHeight="1" x14ac:dyDescent="0.2">
      <c r="A111" s="16"/>
      <c r="B111" s="17" t="str">
        <f>IF(A111&lt;&gt;"",
    SUMIFS([43]FinancingJournal!$E:$E,
           [43]FinancingJournal!$C:$C,"Capital Injection",
           [43]FinancingJournal!$A:$A,"&lt;="&amp;A111),
    "")</f>
        <v/>
      </c>
      <c r="C111" s="18" t="str">
        <f>IF(A111&lt;&gt;"",
    SUMIFS([43]InvestingJournal!$F:$F,
           [43]InvestingJournal!$C:$C,"Izra Advance",
           [43]InvestingJournal!$A:$A,"&lt;="&amp;A111)
    +
    SUMIFS([43]InvestingJournal!$F:$F,
           [43]InvestingJournal!$C:$C,"Investment to Unit",
           [43]InvestingJournal!$A:$A,"&lt;="&amp;A111),
    "")</f>
        <v/>
      </c>
      <c r="D111" s="18" t="str">
        <f>IF(A111&lt;&gt;"",
    SUMIFS([43]InvestingJournal!$F:$F,
           [43]InvestingJournal!$C:$C,"Loan Advance",
           [43]InvestingJournal!$A:$A,"&lt;="&amp;A111),
    "")</f>
        <v/>
      </c>
      <c r="E111" s="18" t="str">
        <f>IF(A111&lt;&gt;"",
    SUMIFS([43]FinancingJournal!$E:$E,
           [43]FinancingJournal!$C:$C,"Borrowing",
           [43]FinancingJournal!$A:$A,"&lt;="&amp;A111)
    +
    SUMIFS([43]FinancingJournal!$E:$E,
           [43]FinancingJournal!$C:$C,"Withdrawal",
           [43]FinancingJournal!$A:$A,"&lt;="&amp;A111),
    "")</f>
        <v/>
      </c>
      <c r="F111" s="29"/>
      <c r="G111" s="29"/>
      <c r="H111" s="29"/>
      <c r="I111" s="29"/>
      <c r="J111" s="32"/>
      <c r="P111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F32"/>
  <sheetViews>
    <sheetView topLeftCell="A4" workbookViewId="0">
      <selection activeCell="D31" sqref="D31"/>
    </sheetView>
  </sheetViews>
  <sheetFormatPr defaultRowHeight="15" x14ac:dyDescent="0.25"/>
  <cols>
    <col min="2" max="2" width="31" customWidth="1"/>
    <col min="3" max="3" width="18.140625" customWidth="1"/>
    <col min="4" max="4" width="22.7109375" style="54" customWidth="1"/>
    <col min="5" max="6" width="18.140625" customWidth="1"/>
  </cols>
  <sheetData>
    <row r="2" spans="1:6" x14ac:dyDescent="0.25">
      <c r="A2" s="12"/>
      <c r="B2" s="12" t="s">
        <v>35</v>
      </c>
      <c r="C2" s="12" t="s">
        <v>60</v>
      </c>
      <c r="D2" s="51" t="s">
        <v>64</v>
      </c>
      <c r="E2" s="12" t="s">
        <v>65</v>
      </c>
      <c r="F2" s="12"/>
    </row>
    <row r="3" spans="1:6" ht="16.5" x14ac:dyDescent="0.25">
      <c r="A3" s="47">
        <v>1</v>
      </c>
      <c r="B3" s="49" t="s">
        <v>62</v>
      </c>
      <c r="C3" s="11" t="s">
        <v>63</v>
      </c>
      <c r="D3" s="52">
        <v>2100</v>
      </c>
      <c r="E3" s="11" t="s">
        <v>66</v>
      </c>
      <c r="F3" s="11" t="s">
        <v>70</v>
      </c>
    </row>
    <row r="4" spans="1:6" ht="16.5" x14ac:dyDescent="0.25">
      <c r="A4" s="48">
        <v>2</v>
      </c>
      <c r="B4" s="50" t="s">
        <v>36</v>
      </c>
      <c r="C4" s="16"/>
      <c r="D4" s="53">
        <v>500</v>
      </c>
      <c r="E4" s="16" t="s">
        <v>67</v>
      </c>
      <c r="F4" s="16" t="s">
        <v>71</v>
      </c>
    </row>
    <row r="5" spans="1:6" ht="16.5" x14ac:dyDescent="0.25">
      <c r="A5" s="47">
        <v>3</v>
      </c>
      <c r="B5" s="49" t="s">
        <v>37</v>
      </c>
      <c r="C5" s="11"/>
      <c r="D5" s="52">
        <f>100*2</f>
        <v>200</v>
      </c>
      <c r="E5" s="11" t="s">
        <v>67</v>
      </c>
      <c r="F5" s="11" t="s">
        <v>72</v>
      </c>
    </row>
    <row r="6" spans="1:6" ht="16.5" x14ac:dyDescent="0.25">
      <c r="A6" s="48">
        <v>4</v>
      </c>
      <c r="B6" s="50" t="s">
        <v>38</v>
      </c>
      <c r="C6" s="16" t="s">
        <v>68</v>
      </c>
      <c r="D6" s="53">
        <v>1400</v>
      </c>
      <c r="E6" s="16" t="s">
        <v>66</v>
      </c>
      <c r="F6" s="16" t="s">
        <v>73</v>
      </c>
    </row>
    <row r="7" spans="1:6" ht="16.5" x14ac:dyDescent="0.25">
      <c r="A7" s="47">
        <v>5</v>
      </c>
      <c r="B7" s="49" t="s">
        <v>39</v>
      </c>
      <c r="C7" s="11"/>
      <c r="D7" s="52">
        <v>400</v>
      </c>
      <c r="E7" s="11" t="s">
        <v>67</v>
      </c>
      <c r="F7" s="11" t="s">
        <v>74</v>
      </c>
    </row>
    <row r="8" spans="1:6" ht="16.5" x14ac:dyDescent="0.25">
      <c r="A8" s="48">
        <v>6</v>
      </c>
      <c r="B8" s="50" t="s">
        <v>40</v>
      </c>
      <c r="C8" s="16" t="s">
        <v>69</v>
      </c>
      <c r="D8" s="53">
        <v>1400</v>
      </c>
      <c r="E8" s="16" t="s">
        <v>66</v>
      </c>
      <c r="F8" s="16" t="s">
        <v>75</v>
      </c>
    </row>
    <row r="9" spans="1:6" ht="16.5" x14ac:dyDescent="0.25">
      <c r="A9" s="47">
        <v>7</v>
      </c>
      <c r="B9" s="49" t="s">
        <v>41</v>
      </c>
      <c r="C9" s="11" t="s">
        <v>69</v>
      </c>
      <c r="D9" s="52">
        <v>2100</v>
      </c>
      <c r="E9" s="11" t="s">
        <v>66</v>
      </c>
      <c r="F9" s="11" t="s">
        <v>73</v>
      </c>
    </row>
    <row r="10" spans="1:6" ht="16.5" x14ac:dyDescent="0.25">
      <c r="A10" s="48">
        <v>8</v>
      </c>
      <c r="B10" s="50" t="s">
        <v>42</v>
      </c>
      <c r="C10" s="16" t="s">
        <v>69</v>
      </c>
      <c r="D10" s="53">
        <v>700</v>
      </c>
      <c r="E10" s="16" t="s">
        <v>66</v>
      </c>
      <c r="F10" s="16" t="s">
        <v>73</v>
      </c>
    </row>
    <row r="11" spans="1:6" ht="16.5" x14ac:dyDescent="0.25">
      <c r="A11" s="47">
        <v>9</v>
      </c>
      <c r="B11" s="49" t="s">
        <v>43</v>
      </c>
      <c r="C11" s="11" t="s">
        <v>69</v>
      </c>
      <c r="D11" s="52">
        <v>1400</v>
      </c>
      <c r="E11" s="11" t="s">
        <v>66</v>
      </c>
      <c r="F11" s="11" t="s">
        <v>73</v>
      </c>
    </row>
    <row r="12" spans="1:6" ht="16.5" x14ac:dyDescent="0.25">
      <c r="A12" s="48">
        <v>10</v>
      </c>
      <c r="B12" s="50" t="s">
        <v>44</v>
      </c>
      <c r="C12" s="16" t="s">
        <v>76</v>
      </c>
      <c r="D12" s="53">
        <v>3000</v>
      </c>
      <c r="E12" s="16" t="s">
        <v>66</v>
      </c>
      <c r="F12" s="16" t="s">
        <v>71</v>
      </c>
    </row>
    <row r="13" spans="1:6" ht="16.5" x14ac:dyDescent="0.25">
      <c r="A13" s="47">
        <v>11</v>
      </c>
      <c r="B13" s="49" t="s">
        <v>45</v>
      </c>
      <c r="C13" s="11" t="s">
        <v>69</v>
      </c>
      <c r="D13" s="52">
        <v>1400</v>
      </c>
      <c r="E13" s="11" t="s">
        <v>66</v>
      </c>
      <c r="F13" s="11" t="s">
        <v>73</v>
      </c>
    </row>
    <row r="14" spans="1:6" ht="16.5" x14ac:dyDescent="0.25">
      <c r="A14" s="48">
        <v>12</v>
      </c>
      <c r="B14" s="50" t="s">
        <v>46</v>
      </c>
      <c r="C14" s="16"/>
      <c r="D14" s="53">
        <v>100</v>
      </c>
      <c r="E14" s="16" t="s">
        <v>77</v>
      </c>
      <c r="F14" s="16" t="s">
        <v>71</v>
      </c>
    </row>
    <row r="15" spans="1:6" ht="16.5" x14ac:dyDescent="0.25">
      <c r="A15" s="47">
        <v>13</v>
      </c>
      <c r="B15" s="49" t="s">
        <v>47</v>
      </c>
      <c r="C15" s="11" t="s">
        <v>78</v>
      </c>
      <c r="D15" s="52">
        <v>700</v>
      </c>
      <c r="E15" s="11" t="s">
        <v>66</v>
      </c>
      <c r="F15" s="11" t="s">
        <v>71</v>
      </c>
    </row>
    <row r="16" spans="1:6" ht="16.5" x14ac:dyDescent="0.25">
      <c r="A16" s="48">
        <v>14</v>
      </c>
      <c r="B16" s="50" t="s">
        <v>48</v>
      </c>
      <c r="C16" s="16"/>
      <c r="D16" s="53">
        <v>180</v>
      </c>
      <c r="E16" s="16" t="s">
        <v>67</v>
      </c>
      <c r="F16" s="16" t="s">
        <v>71</v>
      </c>
    </row>
    <row r="17" spans="1:6" ht="16.5" x14ac:dyDescent="0.25">
      <c r="A17" s="47">
        <v>15</v>
      </c>
      <c r="B17" s="49" t="s">
        <v>49</v>
      </c>
      <c r="C17" s="11"/>
      <c r="D17" s="52">
        <v>180</v>
      </c>
      <c r="E17" s="11" t="s">
        <v>67</v>
      </c>
      <c r="F17" s="11" t="s">
        <v>71</v>
      </c>
    </row>
    <row r="18" spans="1:6" ht="16.5" x14ac:dyDescent="0.25">
      <c r="A18" s="48">
        <v>16</v>
      </c>
      <c r="B18" s="50" t="s">
        <v>50</v>
      </c>
      <c r="C18" s="16" t="s">
        <v>68</v>
      </c>
      <c r="D18" s="53">
        <v>2100</v>
      </c>
      <c r="E18" s="16" t="s">
        <v>66</v>
      </c>
      <c r="F18" s="16" t="s">
        <v>75</v>
      </c>
    </row>
    <row r="19" spans="1:6" ht="16.5" x14ac:dyDescent="0.25">
      <c r="A19" s="47">
        <v>17</v>
      </c>
      <c r="B19" s="49" t="s">
        <v>51</v>
      </c>
      <c r="C19" s="11"/>
      <c r="D19" s="52">
        <v>150</v>
      </c>
      <c r="E19" s="11" t="s">
        <v>67</v>
      </c>
      <c r="F19" s="11" t="s">
        <v>71</v>
      </c>
    </row>
    <row r="20" spans="1:6" ht="16.5" x14ac:dyDescent="0.25">
      <c r="A20" s="48">
        <v>18</v>
      </c>
      <c r="B20" s="50" t="s">
        <v>52</v>
      </c>
      <c r="C20" s="16" t="s">
        <v>79</v>
      </c>
      <c r="D20" s="53">
        <v>1400</v>
      </c>
      <c r="E20" s="16" t="s">
        <v>66</v>
      </c>
      <c r="F20" s="16" t="s">
        <v>80</v>
      </c>
    </row>
    <row r="21" spans="1:6" ht="16.5" x14ac:dyDescent="0.25">
      <c r="A21" s="47">
        <v>19</v>
      </c>
      <c r="B21" s="49" t="s">
        <v>53</v>
      </c>
      <c r="C21" s="11" t="s">
        <v>69</v>
      </c>
      <c r="D21" s="52">
        <v>12600</v>
      </c>
      <c r="E21" s="11" t="s">
        <v>66</v>
      </c>
      <c r="F21" s="11" t="s">
        <v>71</v>
      </c>
    </row>
    <row r="22" spans="1:6" ht="16.5" x14ac:dyDescent="0.25">
      <c r="A22" s="48">
        <v>20</v>
      </c>
      <c r="B22" s="50" t="s">
        <v>54</v>
      </c>
      <c r="C22" s="16"/>
      <c r="D22" s="53">
        <v>200</v>
      </c>
      <c r="E22" s="16" t="s">
        <v>67</v>
      </c>
      <c r="F22" s="16" t="s">
        <v>81</v>
      </c>
    </row>
    <row r="23" spans="1:6" ht="16.5" x14ac:dyDescent="0.25">
      <c r="A23" s="47">
        <v>21</v>
      </c>
      <c r="B23" s="49" t="s">
        <v>55</v>
      </c>
      <c r="C23" s="11" t="s">
        <v>68</v>
      </c>
      <c r="D23" s="52">
        <v>1400</v>
      </c>
      <c r="E23" s="11" t="s">
        <v>66</v>
      </c>
      <c r="F23" s="11" t="s">
        <v>73</v>
      </c>
    </row>
    <row r="24" spans="1:6" ht="16.5" x14ac:dyDescent="0.25">
      <c r="A24" s="48">
        <v>22</v>
      </c>
      <c r="B24" s="50" t="s">
        <v>56</v>
      </c>
      <c r="C24" s="16" t="s">
        <v>68</v>
      </c>
      <c r="D24" s="53">
        <v>700</v>
      </c>
      <c r="E24" s="16" t="s">
        <v>66</v>
      </c>
      <c r="F24" s="16" t="s">
        <v>73</v>
      </c>
    </row>
    <row r="25" spans="1:6" ht="16.5" x14ac:dyDescent="0.25">
      <c r="A25" s="47">
        <v>23</v>
      </c>
      <c r="B25" s="49" t="s">
        <v>57</v>
      </c>
      <c r="C25" s="11"/>
      <c r="D25" s="52"/>
      <c r="E25" s="11"/>
      <c r="F25" s="11"/>
    </row>
    <row r="26" spans="1:6" ht="16.5" x14ac:dyDescent="0.25">
      <c r="A26" s="48">
        <v>24</v>
      </c>
      <c r="B26" s="50" t="s">
        <v>58</v>
      </c>
      <c r="C26" s="16" t="s">
        <v>68</v>
      </c>
      <c r="D26" s="53">
        <v>1400</v>
      </c>
      <c r="E26" s="16" t="s">
        <v>66</v>
      </c>
      <c r="F26" s="16" t="s">
        <v>71</v>
      </c>
    </row>
    <row r="27" spans="1:6" ht="16.5" x14ac:dyDescent="0.25">
      <c r="A27" s="47">
        <v>25</v>
      </c>
      <c r="B27" s="49" t="s">
        <v>59</v>
      </c>
      <c r="C27" s="11" t="s">
        <v>78</v>
      </c>
      <c r="D27" s="52">
        <v>1400</v>
      </c>
      <c r="E27" s="11" t="s">
        <v>66</v>
      </c>
      <c r="F27" s="11" t="s">
        <v>71</v>
      </c>
    </row>
    <row r="28" spans="1:6" ht="16.5" x14ac:dyDescent="0.25">
      <c r="A28" s="48">
        <v>26</v>
      </c>
      <c r="B28" s="50" t="s">
        <v>82</v>
      </c>
      <c r="C28" s="16"/>
      <c r="D28" s="53"/>
      <c r="E28" s="16"/>
      <c r="F28" s="16"/>
    </row>
    <row r="29" spans="1:6" ht="16.5" x14ac:dyDescent="0.25">
      <c r="A29" s="47">
        <v>27</v>
      </c>
      <c r="B29" s="49" t="s">
        <v>83</v>
      </c>
      <c r="C29" s="11"/>
      <c r="D29" s="52"/>
      <c r="E29" s="11"/>
      <c r="F29" s="11"/>
    </row>
    <row r="30" spans="1:6" ht="16.5" x14ac:dyDescent="0.25">
      <c r="A30" s="48">
        <v>28</v>
      </c>
      <c r="B30" s="50" t="s">
        <v>84</v>
      </c>
      <c r="C30" s="16"/>
      <c r="D30" s="53"/>
      <c r="E30" s="16"/>
      <c r="F30" s="16"/>
    </row>
    <row r="31" spans="1:6" ht="16.5" x14ac:dyDescent="0.25">
      <c r="A31" s="47">
        <v>29</v>
      </c>
    </row>
    <row r="32" spans="1:6" ht="16.5" x14ac:dyDescent="0.25">
      <c r="A32" s="4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Tracker</vt:lpstr>
      <vt:lpstr>LoaneeList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2026-10-13T07:01:23Z</dcterms:modified>
</cp:coreProperties>
</file>