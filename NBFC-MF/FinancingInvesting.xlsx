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Depositors" sheetId="5" r:id="rId1"/>
    <sheet name="FinancingJournal" sheetId="1" r:id="rId2"/>
    <sheet name="InvestingJournal" sheetId="3" r:id="rId3"/>
    <sheet name="list" sheetId="4" r:id="rId4"/>
  </sheets>
  <definedNames>
    <definedName name="Financing">list!$B$8:$B$10</definedName>
    <definedName name="Investing">list!$B$2:$B$7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5" l="1"/>
  <c r="B17" i="5"/>
  <c r="E32" i="1" l="1"/>
  <c r="F32" i="1" l="1"/>
  <c r="F3" i="3" l="1"/>
  <c r="F17" i="3" s="1"/>
  <c r="E17" i="3"/>
</calcChain>
</file>

<file path=xl/sharedStrings.xml><?xml version="1.0" encoding="utf-8"?>
<sst xmlns="http://schemas.openxmlformats.org/spreadsheetml/2006/main" count="160" uniqueCount="84">
  <si>
    <t>Date</t>
  </si>
  <si>
    <t>Ref Id</t>
  </si>
  <si>
    <t>Debit</t>
  </si>
  <si>
    <t>Credit</t>
  </si>
  <si>
    <t>Category</t>
  </si>
  <si>
    <t>Sub‑Category</t>
  </si>
  <si>
    <t>Purpose / Linkage</t>
  </si>
  <si>
    <t>Investing</t>
  </si>
  <si>
    <t>Asset Purchase</t>
  </si>
  <si>
    <t>Outflow for buying fixed assets.</t>
  </si>
  <si>
    <t>Sale of Asset</t>
  </si>
  <si>
    <t>Inflow from selling fixed assets.</t>
  </si>
  <si>
    <t>Financing</t>
  </si>
  <si>
    <t>Borrowing</t>
  </si>
  <si>
    <t>Inflow from new borrowings (loan capital received).</t>
  </si>
  <si>
    <t>Capital Injection</t>
  </si>
  <si>
    <t>Inflow from equity/funds injected by promoters.</t>
  </si>
  <si>
    <t>Repayment</t>
  </si>
  <si>
    <t>Outflow for financing repayments (your own borrowings being repaid).</t>
  </si>
  <si>
    <t>Description</t>
  </si>
  <si>
    <t>Equity Contribution - Bechau</t>
  </si>
  <si>
    <t>Equity Contribution - Aboong</t>
  </si>
  <si>
    <t>Cap-Aboong-11Sept23-01</t>
  </si>
  <si>
    <t>Cap-Ranjita-11Sept-01</t>
  </si>
  <si>
    <t>Cap-Aboong-26Nov23-01</t>
  </si>
  <si>
    <t>Cap-Aboong-18Dec23-01</t>
  </si>
  <si>
    <t>Cap-Aboong-15Dec23-01</t>
  </si>
  <si>
    <t>Cap-Aboong-14Dec23-01</t>
  </si>
  <si>
    <t>Cap-Aboong-12Dec23-01</t>
  </si>
  <si>
    <t>Cap-Aboong-23Dec23-01</t>
  </si>
  <si>
    <t>Cap-Aboong-31Jan24-01</t>
  </si>
  <si>
    <t>Cap-Aboong-14Feb24-01</t>
  </si>
  <si>
    <t>Cap-Aboong-17Mar-24-01</t>
  </si>
  <si>
    <t>Cap-Aboong-23Jun24-01</t>
  </si>
  <si>
    <t>TOTAL</t>
  </si>
  <si>
    <t>Izra Advance</t>
  </si>
  <si>
    <t>Rs 60000 paid to farmer for annual grain repayment</t>
  </si>
  <si>
    <t>Izr-Anand-11Jan26-01</t>
  </si>
  <si>
    <t>Izra advance to Suresh</t>
  </si>
  <si>
    <t>Izra advance to Anand</t>
  </si>
  <si>
    <t>Izr-Suresh-30Jun24-01</t>
  </si>
  <si>
    <t>Bor-Benao-21Dec24-01</t>
  </si>
  <si>
    <t>Deposit - Benao</t>
  </si>
  <si>
    <t>Bor-Bechau-17Apr26-01</t>
  </si>
  <si>
    <t>Deposit - Bechau</t>
  </si>
  <si>
    <t>Loan Advance</t>
  </si>
  <si>
    <t>Loan that pays monthly interest</t>
  </si>
  <si>
    <t>Loan Advance to Ramabhati</t>
  </si>
  <si>
    <t>Loan Advance to Sunanda</t>
  </si>
  <si>
    <t>Adv-Rama-15Jul25-01</t>
  </si>
  <si>
    <t>Loan Advance to Nanao</t>
  </si>
  <si>
    <t>Adv-Nan-31mar26-01</t>
  </si>
  <si>
    <t>Adv-Suna-15Jul25-01</t>
  </si>
  <si>
    <t>Loan Advance to Naoton</t>
  </si>
  <si>
    <t>Priya adjusted as loan advance</t>
  </si>
  <si>
    <t>Adv-Priya-13Feb26-01</t>
  </si>
  <si>
    <t>Adv-Nao-15May26-01</t>
  </si>
  <si>
    <t>Bor-Bechau-29jun26-01</t>
  </si>
  <si>
    <t>Bor-Bechau-18jul26-01</t>
  </si>
  <si>
    <t>Deposit-Chaoba</t>
  </si>
  <si>
    <t>Bor-chaoba-21jun26-01</t>
  </si>
  <si>
    <t>Wit-chaoba-22jul26-01</t>
  </si>
  <si>
    <t>Withdrawal</t>
  </si>
  <si>
    <t>Withdrawal-Chaoba</t>
  </si>
  <si>
    <t>Izr-Anand-22jun26-01</t>
  </si>
  <si>
    <t>Deposit-Aboong</t>
  </si>
  <si>
    <t>Bor-Aboong-22jul-01</t>
  </si>
  <si>
    <t>Bor-Aboong-21jun26-01</t>
  </si>
  <si>
    <t>Bor-Aboong-31jul-01</t>
  </si>
  <si>
    <t>PunfamFoods-31jul-01</t>
  </si>
  <si>
    <t>Investment to Unit</t>
  </si>
  <si>
    <t>Investment to Punfam Units</t>
  </si>
  <si>
    <t>Piglet Deposit to Suresh</t>
  </si>
  <si>
    <t>Bor-Aboong-31jul-02</t>
  </si>
  <si>
    <t>Aboong</t>
  </si>
  <si>
    <t>Bechau</t>
  </si>
  <si>
    <t>Benao</t>
  </si>
  <si>
    <t>Chaoba</t>
  </si>
  <si>
    <t>PunfamFoods-5aug-01</t>
  </si>
  <si>
    <t>Bor-Aboong-14aug-01</t>
  </si>
  <si>
    <t>Recover</t>
  </si>
  <si>
    <t>Loan Recovery</t>
  </si>
  <si>
    <t>Bor-Aboong-24aug-01</t>
  </si>
  <si>
    <t>Bor-Aboong-2aug-01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</si>
</sst>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color theme="0" tint="-0.14999847407452621"/>
      <name val="Segoe UI"/>
      <family val="2"/>
    </font>
    <font>
      <sz val="11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0" tint="-0.14999847407452621"/>
      <name val="Segoe UI"/>
      <family val="2"/>
    </font>
    <font>
      <b/>
      <sz val="1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165" fontId="3" fillId="4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/>
    <xf numFmtId="164" fontId="3" fillId="5" borderId="1" xfId="0" applyNumberFormat="1" applyFont="1" applyFill="1" applyBorder="1" applyAlignment="1" applyProtection="1">
      <alignment horizontal="center" vertical="center"/>
      <protection locked="0"/>
    </xf>
    <xf numFmtId="164" fontId="3" fillId="4" borderId="1" xfId="0" applyNumberFormat="1" applyFont="1" applyFill="1" applyBorder="1" applyAlignment="1" applyProtection="1">
      <alignment horizontal="center" vertical="center"/>
      <protection locked="0"/>
    </xf>
    <xf numFmtId="164" fontId="6" fillId="5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center" vertical="center"/>
    </xf>
    <xf numFmtId="164" fontId="3" fillId="5" borderId="1" xfId="0" applyNumberFormat="1" applyFont="1" applyFill="1" applyBorder="1" applyAlignment="1" applyProtection="1">
      <alignment horizontal="center" vertical="center"/>
    </xf>
    <xf numFmtId="165" fontId="3" fillId="5" borderId="1" xfId="0" applyNumberFormat="1" applyFont="1" applyFill="1" applyBorder="1" applyAlignment="1" applyProtection="1">
      <alignment horizontal="center" vertical="center"/>
    </xf>
    <xf numFmtId="165" fontId="3" fillId="5" borderId="1" xfId="0" applyNumberFormat="1" applyFont="1" applyFill="1" applyBorder="1" applyAlignment="1" applyProtection="1">
      <alignment horizontal="center" vertical="center" wrapText="1"/>
    </xf>
    <xf numFmtId="0" fontId="5" fillId="3" borderId="0" xfId="0" applyFont="1" applyFill="1" applyProtection="1">
      <protection locked="0"/>
    </xf>
    <xf numFmtId="165" fontId="3" fillId="4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Protection="1">
      <protection locked="0"/>
    </xf>
    <xf numFmtId="165" fontId="3" fillId="5" borderId="1" xfId="0" applyNumberFormat="1" applyFont="1" applyFill="1" applyBorder="1" applyAlignment="1" applyProtection="1">
      <alignment horizontal="center" vertical="center"/>
      <protection locked="0"/>
    </xf>
    <xf numFmtId="165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0" xfId="0" applyNumberFormat="1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10" sqref="B10"/>
    </sheetView>
  </sheetViews>
  <sheetFormatPr defaultRowHeight="16.5" x14ac:dyDescent="0.3"/>
  <cols>
    <col min="1" max="1" width="14.28515625" style="22" customWidth="1"/>
    <col min="2" max="5" width="17.28515625" style="22" customWidth="1"/>
    <col min="6" max="16384" width="9.140625" style="22"/>
  </cols>
  <sheetData>
    <row r="1" spans="1:5" ht="28.5" customHeight="1" x14ac:dyDescent="0.3">
      <c r="A1" s="14" t="s">
        <v>0</v>
      </c>
      <c r="B1" s="14" t="s">
        <v>74</v>
      </c>
      <c r="C1" s="14" t="s">
        <v>75</v>
      </c>
      <c r="D1" s="14" t="s">
        <v>76</v>
      </c>
      <c r="E1" s="14" t="s">
        <v>77</v>
      </c>
    </row>
    <row r="2" spans="1:5" x14ac:dyDescent="0.3">
      <c r="A2" s="17">
        <v>45620</v>
      </c>
      <c r="B2" s="18">
        <v>10200</v>
      </c>
      <c r="C2" s="18"/>
      <c r="D2" s="18"/>
      <c r="E2" s="18"/>
    </row>
    <row r="3" spans="1:5" x14ac:dyDescent="0.3">
      <c r="A3" s="17">
        <v>46194</v>
      </c>
      <c r="B3" s="18">
        <v>8000</v>
      </c>
      <c r="C3" s="18"/>
      <c r="D3" s="18"/>
      <c r="E3" s="18"/>
    </row>
    <row r="4" spans="1:5" x14ac:dyDescent="0.3">
      <c r="A4" s="17">
        <v>46225</v>
      </c>
      <c r="B4" s="18">
        <v>89800</v>
      </c>
      <c r="C4" s="18"/>
      <c r="D4" s="18"/>
      <c r="E4" s="18"/>
    </row>
    <row r="5" spans="1:5" x14ac:dyDescent="0.3">
      <c r="A5" s="17">
        <v>46202</v>
      </c>
      <c r="B5" s="18"/>
      <c r="C5" s="18">
        <v>80000</v>
      </c>
      <c r="D5" s="18"/>
      <c r="E5" s="18"/>
    </row>
    <row r="6" spans="1:5" x14ac:dyDescent="0.3">
      <c r="A6" s="17">
        <v>46222</v>
      </c>
      <c r="B6" s="18"/>
      <c r="C6" s="18">
        <v>160000</v>
      </c>
      <c r="D6" s="18"/>
      <c r="E6" s="18"/>
    </row>
    <row r="7" spans="1:5" x14ac:dyDescent="0.3">
      <c r="A7" s="17">
        <v>46234</v>
      </c>
      <c r="B7" s="18">
        <v>20000</v>
      </c>
      <c r="C7" s="18">
        <v>92500</v>
      </c>
      <c r="D7" s="18"/>
      <c r="E7" s="18"/>
    </row>
    <row r="8" spans="1:5" x14ac:dyDescent="0.3">
      <c r="A8" s="17">
        <v>46234</v>
      </c>
      <c r="B8" s="18">
        <v>3000</v>
      </c>
      <c r="C8" s="18"/>
      <c r="D8" s="18"/>
      <c r="E8" s="18"/>
    </row>
    <row r="9" spans="1:5" x14ac:dyDescent="0.3">
      <c r="A9" s="17">
        <v>46236</v>
      </c>
      <c r="B9" s="18">
        <v>50000</v>
      </c>
      <c r="C9" s="18"/>
      <c r="D9" s="18"/>
      <c r="E9" s="18"/>
    </row>
    <row r="10" spans="1:5" x14ac:dyDescent="0.3">
      <c r="A10" s="17"/>
      <c r="B10" s="18"/>
      <c r="C10" s="18"/>
      <c r="D10" s="18"/>
      <c r="E10" s="18"/>
    </row>
    <row r="11" spans="1:5" x14ac:dyDescent="0.3">
      <c r="A11" s="17"/>
      <c r="B11" s="18"/>
      <c r="C11" s="18"/>
      <c r="D11" s="18"/>
      <c r="E11" s="18"/>
    </row>
    <row r="12" spans="1:5" x14ac:dyDescent="0.3">
      <c r="A12" s="17"/>
      <c r="B12" s="18"/>
      <c r="C12" s="18"/>
      <c r="D12" s="18"/>
      <c r="E12" s="18"/>
    </row>
    <row r="13" spans="1:5" x14ac:dyDescent="0.3">
      <c r="A13" s="17"/>
      <c r="B13" s="18"/>
      <c r="C13" s="18"/>
      <c r="D13" s="18"/>
      <c r="E13" s="18"/>
    </row>
    <row r="14" spans="1:5" x14ac:dyDescent="0.3">
      <c r="A14" s="17"/>
      <c r="B14" s="18"/>
      <c r="C14" s="18"/>
      <c r="D14" s="18"/>
      <c r="E14" s="18"/>
    </row>
    <row r="15" spans="1:5" x14ac:dyDescent="0.3">
      <c r="A15" s="17"/>
      <c r="B15" s="18"/>
      <c r="C15" s="18"/>
      <c r="D15" s="18"/>
      <c r="E15" s="18"/>
    </row>
    <row r="16" spans="1:5" x14ac:dyDescent="0.3">
      <c r="A16" s="17"/>
      <c r="B16" s="18"/>
      <c r="C16" s="18"/>
      <c r="D16" s="18"/>
      <c r="E16" s="18"/>
    </row>
    <row r="17" spans="1:5" x14ac:dyDescent="0.3">
      <c r="A17" s="18" t="s">
        <v>34</v>
      </c>
      <c r="B17" s="18">
        <f>SUM(B2:B16)</f>
        <v>181000</v>
      </c>
      <c r="C17" s="18">
        <f>SUM(C2:C16)</f>
        <v>332500</v>
      </c>
      <c r="D17" s="18"/>
      <c r="E17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pane ySplit="1" topLeftCell="A14" activePane="bottomLeft" state="frozen"/>
      <selection pane="bottomLeft" activeCell="G22" sqref="G21:G22"/>
    </sheetView>
  </sheetViews>
  <sheetFormatPr defaultRowHeight="16.5" x14ac:dyDescent="0.3"/>
  <cols>
    <col min="1" max="1" width="16.140625" style="22" customWidth="1"/>
    <col min="2" max="2" width="27.28515625" style="22" customWidth="1"/>
    <col min="3" max="3" width="23.140625" style="22" customWidth="1"/>
    <col min="4" max="4" width="31.42578125" style="22" customWidth="1"/>
    <col min="5" max="6" width="19.140625" style="22" customWidth="1"/>
    <col min="7" max="7" width="19.42578125" style="22" customWidth="1"/>
    <col min="8" max="16384" width="9.140625" style="22"/>
  </cols>
  <sheetData>
    <row r="1" spans="1:6" s="20" customFormat="1" ht="28.5" customHeight="1" x14ac:dyDescent="0.3">
      <c r="A1" s="14" t="s">
        <v>0</v>
      </c>
      <c r="B1" s="14" t="s">
        <v>1</v>
      </c>
      <c r="C1" s="14" t="s">
        <v>5</v>
      </c>
      <c r="D1" s="14" t="s">
        <v>19</v>
      </c>
      <c r="E1" s="14" t="s">
        <v>2</v>
      </c>
      <c r="F1" s="14" t="s">
        <v>3</v>
      </c>
    </row>
    <row r="2" spans="1:6" x14ac:dyDescent="0.3">
      <c r="A2" s="15">
        <v>45180</v>
      </c>
      <c r="B2" s="16" t="s">
        <v>22</v>
      </c>
      <c r="C2" s="16" t="s">
        <v>15</v>
      </c>
      <c r="D2" s="16" t="s">
        <v>21</v>
      </c>
      <c r="E2" s="16">
        <v>17500</v>
      </c>
      <c r="F2" s="16"/>
    </row>
    <row r="3" spans="1:6" x14ac:dyDescent="0.3">
      <c r="A3" s="17">
        <v>45180</v>
      </c>
      <c r="B3" s="18" t="s">
        <v>23</v>
      </c>
      <c r="C3" s="18" t="s">
        <v>15</v>
      </c>
      <c r="D3" s="18" t="s">
        <v>20</v>
      </c>
      <c r="E3" s="18">
        <v>17380</v>
      </c>
      <c r="F3" s="18"/>
    </row>
    <row r="4" spans="1:6" x14ac:dyDescent="0.3">
      <c r="A4" s="15">
        <v>45256</v>
      </c>
      <c r="B4" s="16" t="s">
        <v>24</v>
      </c>
      <c r="C4" s="16" t="s">
        <v>15</v>
      </c>
      <c r="D4" s="16" t="s">
        <v>21</v>
      </c>
      <c r="E4" s="16">
        <v>10000</v>
      </c>
      <c r="F4" s="16"/>
    </row>
    <row r="5" spans="1:6" x14ac:dyDescent="0.3">
      <c r="A5" s="17">
        <v>45272</v>
      </c>
      <c r="B5" s="18" t="s">
        <v>28</v>
      </c>
      <c r="C5" s="18" t="s">
        <v>15</v>
      </c>
      <c r="D5" s="18" t="s">
        <v>21</v>
      </c>
      <c r="E5" s="18">
        <v>35000</v>
      </c>
      <c r="F5" s="18"/>
    </row>
    <row r="6" spans="1:6" x14ac:dyDescent="0.3">
      <c r="A6" s="15">
        <v>45274</v>
      </c>
      <c r="B6" s="16" t="s">
        <v>27</v>
      </c>
      <c r="C6" s="16" t="s">
        <v>15</v>
      </c>
      <c r="D6" s="16" t="s">
        <v>21</v>
      </c>
      <c r="E6" s="16">
        <v>15000</v>
      </c>
      <c r="F6" s="16"/>
    </row>
    <row r="7" spans="1:6" x14ac:dyDescent="0.3">
      <c r="A7" s="17">
        <v>45275</v>
      </c>
      <c r="B7" s="18" t="s">
        <v>26</v>
      </c>
      <c r="C7" s="18" t="s">
        <v>15</v>
      </c>
      <c r="D7" s="18" t="s">
        <v>21</v>
      </c>
      <c r="E7" s="18">
        <v>40000</v>
      </c>
      <c r="F7" s="18"/>
    </row>
    <row r="8" spans="1:6" x14ac:dyDescent="0.3">
      <c r="A8" s="15">
        <v>45278</v>
      </c>
      <c r="B8" s="16" t="s">
        <v>25</v>
      </c>
      <c r="C8" s="16" t="s">
        <v>15</v>
      </c>
      <c r="D8" s="16" t="s">
        <v>21</v>
      </c>
      <c r="E8" s="16">
        <v>15000</v>
      </c>
      <c r="F8" s="16"/>
    </row>
    <row r="9" spans="1:6" x14ac:dyDescent="0.3">
      <c r="A9" s="17">
        <v>45283</v>
      </c>
      <c r="B9" s="18" t="s">
        <v>29</v>
      </c>
      <c r="C9" s="18" t="s">
        <v>15</v>
      </c>
      <c r="D9" s="18" t="s">
        <v>21</v>
      </c>
      <c r="E9" s="18">
        <v>10000</v>
      </c>
      <c r="F9" s="18"/>
    </row>
    <row r="10" spans="1:6" x14ac:dyDescent="0.3">
      <c r="A10" s="15">
        <v>45322</v>
      </c>
      <c r="B10" s="16" t="s">
        <v>30</v>
      </c>
      <c r="C10" s="16" t="s">
        <v>15</v>
      </c>
      <c r="D10" s="16" t="s">
        <v>21</v>
      </c>
      <c r="E10" s="16">
        <v>1500</v>
      </c>
      <c r="F10" s="16"/>
    </row>
    <row r="11" spans="1:6" x14ac:dyDescent="0.3">
      <c r="A11" s="17">
        <v>45336</v>
      </c>
      <c r="B11" s="18" t="s">
        <v>31</v>
      </c>
      <c r="C11" s="18" t="s">
        <v>15</v>
      </c>
      <c r="D11" s="18" t="s">
        <v>21</v>
      </c>
      <c r="E11" s="18">
        <v>12000</v>
      </c>
      <c r="F11" s="18"/>
    </row>
    <row r="12" spans="1:6" x14ac:dyDescent="0.3">
      <c r="A12" s="15">
        <v>45368</v>
      </c>
      <c r="B12" s="16" t="s">
        <v>32</v>
      </c>
      <c r="C12" s="16" t="s">
        <v>15</v>
      </c>
      <c r="D12" s="16" t="s">
        <v>21</v>
      </c>
      <c r="E12" s="16">
        <v>5000</v>
      </c>
      <c r="F12" s="16"/>
    </row>
    <row r="13" spans="1:6" x14ac:dyDescent="0.3">
      <c r="A13" s="17">
        <v>45466</v>
      </c>
      <c r="B13" s="18" t="s">
        <v>33</v>
      </c>
      <c r="C13" s="18" t="s">
        <v>15</v>
      </c>
      <c r="D13" s="18" t="s">
        <v>21</v>
      </c>
      <c r="E13" s="18">
        <v>10000</v>
      </c>
      <c r="F13" s="18"/>
    </row>
    <row r="14" spans="1:6" x14ac:dyDescent="0.3">
      <c r="A14" s="15">
        <v>45647</v>
      </c>
      <c r="B14" s="16"/>
      <c r="C14" s="16" t="s">
        <v>13</v>
      </c>
      <c r="D14" s="16" t="s">
        <v>65</v>
      </c>
      <c r="E14" s="16">
        <v>10200</v>
      </c>
      <c r="F14" s="16"/>
    </row>
    <row r="15" spans="1:6" x14ac:dyDescent="0.3">
      <c r="A15" s="17">
        <v>45647</v>
      </c>
      <c r="B15" s="18" t="s">
        <v>41</v>
      </c>
      <c r="C15" s="18" t="s">
        <v>13</v>
      </c>
      <c r="D15" s="18" t="s">
        <v>42</v>
      </c>
      <c r="E15" s="18">
        <v>10000</v>
      </c>
      <c r="F15" s="18"/>
    </row>
    <row r="16" spans="1:6" x14ac:dyDescent="0.3">
      <c r="A16" s="15">
        <v>46123</v>
      </c>
      <c r="B16" s="16" t="s">
        <v>43</v>
      </c>
      <c r="C16" s="16" t="s">
        <v>13</v>
      </c>
      <c r="D16" s="16" t="s">
        <v>44</v>
      </c>
      <c r="E16" s="16">
        <v>80000</v>
      </c>
      <c r="F16" s="16"/>
    </row>
    <row r="17" spans="1:7" x14ac:dyDescent="0.3">
      <c r="A17" s="15">
        <v>46194</v>
      </c>
      <c r="B17" s="16" t="s">
        <v>60</v>
      </c>
      <c r="C17" s="16" t="s">
        <v>13</v>
      </c>
      <c r="D17" s="16" t="s">
        <v>59</v>
      </c>
      <c r="E17" s="16">
        <v>30000</v>
      </c>
      <c r="F17" s="16"/>
    </row>
    <row r="18" spans="1:7" x14ac:dyDescent="0.3">
      <c r="A18" s="15">
        <v>46194</v>
      </c>
      <c r="B18" s="16" t="s">
        <v>67</v>
      </c>
      <c r="C18" s="16" t="s">
        <v>13</v>
      </c>
      <c r="D18" s="16" t="s">
        <v>65</v>
      </c>
      <c r="E18" s="16">
        <v>8000</v>
      </c>
      <c r="F18" s="16"/>
    </row>
    <row r="19" spans="1:7" x14ac:dyDescent="0.3">
      <c r="A19" s="17">
        <v>46202</v>
      </c>
      <c r="B19" s="19" t="s">
        <v>57</v>
      </c>
      <c r="C19" s="18" t="s">
        <v>13</v>
      </c>
      <c r="D19" s="18" t="s">
        <v>44</v>
      </c>
      <c r="E19" s="18">
        <v>160000</v>
      </c>
      <c r="F19" s="18"/>
    </row>
    <row r="20" spans="1:7" x14ac:dyDescent="0.3">
      <c r="A20" s="15">
        <v>46222</v>
      </c>
      <c r="B20" s="16" t="s">
        <v>58</v>
      </c>
      <c r="C20" s="16" t="s">
        <v>13</v>
      </c>
      <c r="D20" s="16" t="s">
        <v>44</v>
      </c>
      <c r="E20" s="16">
        <v>92500</v>
      </c>
      <c r="F20" s="16"/>
    </row>
    <row r="21" spans="1:7" x14ac:dyDescent="0.3">
      <c r="A21" s="17">
        <v>46225</v>
      </c>
      <c r="B21" s="19" t="s">
        <v>61</v>
      </c>
      <c r="C21" s="18" t="s">
        <v>62</v>
      </c>
      <c r="D21" s="18" t="s">
        <v>63</v>
      </c>
      <c r="E21" s="18">
        <v>-30000</v>
      </c>
      <c r="F21" s="18"/>
    </row>
    <row r="22" spans="1:7" x14ac:dyDescent="0.3">
      <c r="A22" s="15">
        <v>46225</v>
      </c>
      <c r="B22" s="16" t="s">
        <v>66</v>
      </c>
      <c r="C22" s="16" t="s">
        <v>13</v>
      </c>
      <c r="D22" s="16" t="s">
        <v>65</v>
      </c>
      <c r="E22" s="16">
        <v>89800</v>
      </c>
      <c r="F22" s="16"/>
    </row>
    <row r="23" spans="1:7" x14ac:dyDescent="0.3">
      <c r="A23" s="15">
        <v>46234</v>
      </c>
      <c r="B23" s="16" t="s">
        <v>68</v>
      </c>
      <c r="C23" s="16" t="s">
        <v>13</v>
      </c>
      <c r="D23" s="16" t="s">
        <v>65</v>
      </c>
      <c r="E23" s="16">
        <v>20000</v>
      </c>
      <c r="F23" s="16"/>
      <c r="G23" s="25"/>
    </row>
    <row r="24" spans="1:7" x14ac:dyDescent="0.3">
      <c r="A24" s="15">
        <v>46234</v>
      </c>
      <c r="B24" s="16" t="s">
        <v>73</v>
      </c>
      <c r="C24" s="16" t="s">
        <v>13</v>
      </c>
      <c r="D24" s="16" t="s">
        <v>65</v>
      </c>
      <c r="E24" s="16">
        <v>3000</v>
      </c>
      <c r="F24" s="16"/>
      <c r="G24" s="25"/>
    </row>
    <row r="25" spans="1:7" x14ac:dyDescent="0.3">
      <c r="A25" s="15">
        <v>46236</v>
      </c>
      <c r="B25" s="16" t="s">
        <v>83</v>
      </c>
      <c r="C25" s="16" t="s">
        <v>13</v>
      </c>
      <c r="D25" s="16" t="s">
        <v>65</v>
      </c>
      <c r="E25" s="16">
        <v>50000</v>
      </c>
      <c r="F25" s="16"/>
    </row>
    <row r="26" spans="1:7" x14ac:dyDescent="0.3">
      <c r="A26" s="12">
        <v>46248</v>
      </c>
      <c r="B26" s="21" t="s">
        <v>79</v>
      </c>
      <c r="C26" s="21" t="s">
        <v>13</v>
      </c>
      <c r="D26" s="21" t="s">
        <v>65</v>
      </c>
      <c r="E26" s="21">
        <v>10000</v>
      </c>
      <c r="F26" s="21"/>
    </row>
    <row r="27" spans="1:7" x14ac:dyDescent="0.3">
      <c r="A27" s="12">
        <v>46262</v>
      </c>
      <c r="B27" s="21" t="s">
        <v>82</v>
      </c>
      <c r="C27" s="21" t="s">
        <v>13</v>
      </c>
      <c r="D27" s="21" t="s">
        <v>65</v>
      </c>
      <c r="E27" s="21">
        <v>7000</v>
      </c>
      <c r="F27" s="21"/>
      <c r="G27" s="25"/>
    </row>
    <row r="28" spans="1:7" x14ac:dyDescent="0.3">
      <c r="A28" s="12">
        <v>46262</v>
      </c>
      <c r="B28" s="21" t="s">
        <v>82</v>
      </c>
      <c r="C28" s="21" t="s">
        <v>13</v>
      </c>
      <c r="D28" s="21" t="s">
        <v>65</v>
      </c>
      <c r="E28" s="21">
        <v>4230</v>
      </c>
      <c r="F28" s="21"/>
    </row>
    <row r="29" spans="1:7" x14ac:dyDescent="0.3">
      <c r="A29" s="12"/>
      <c r="B29" s="21"/>
      <c r="C29" s="21"/>
      <c r="D29" s="21"/>
      <c r="E29" s="21"/>
      <c r="F29" s="21"/>
    </row>
    <row r="30" spans="1:7" x14ac:dyDescent="0.3">
      <c r="A30" s="12"/>
      <c r="B30" s="21"/>
      <c r="C30" s="21"/>
      <c r="D30" s="21"/>
      <c r="E30" s="21"/>
      <c r="F30" s="21"/>
    </row>
    <row r="31" spans="1:7" x14ac:dyDescent="0.3">
      <c r="A31" s="12"/>
      <c r="B31" s="21"/>
      <c r="C31" s="21"/>
      <c r="D31" s="21"/>
      <c r="E31" s="21"/>
      <c r="F31" s="21"/>
    </row>
    <row r="32" spans="1:7" x14ac:dyDescent="0.3">
      <c r="A32" s="13"/>
      <c r="B32" s="24"/>
      <c r="C32" s="23"/>
      <c r="D32" s="13" t="s">
        <v>34</v>
      </c>
      <c r="E32" s="23">
        <f>SUM(E2:E31)</f>
        <v>733110</v>
      </c>
      <c r="F32" s="23">
        <f>SUM(F2:F22)</f>
        <v>0</v>
      </c>
    </row>
  </sheetData>
  <dataValidations disablePrompts="1" count="1">
    <dataValidation type="list" allowBlank="1" showInputMessage="1" showErrorMessage="1" sqref="C2:C18">
      <formula1>Financing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 activeCell="H14" sqref="H14"/>
    </sheetView>
  </sheetViews>
  <sheetFormatPr defaultRowHeight="16.5" x14ac:dyDescent="0.3"/>
  <cols>
    <col min="1" max="1" width="16.140625" style="22" customWidth="1"/>
    <col min="2" max="2" width="27.28515625" style="22" customWidth="1"/>
    <col min="3" max="3" width="23.140625" style="22" customWidth="1"/>
    <col min="4" max="4" width="31.42578125" style="22" customWidth="1"/>
    <col min="5" max="6" width="19.140625" style="22" customWidth="1"/>
    <col min="7" max="7" width="9.140625" style="22"/>
    <col min="8" max="8" width="14" style="22" bestFit="1" customWidth="1"/>
    <col min="9" max="16384" width="9.140625" style="22"/>
  </cols>
  <sheetData>
    <row r="1" spans="1:8" s="20" customFormat="1" ht="28.5" customHeight="1" x14ac:dyDescent="0.3">
      <c r="A1" s="14" t="s">
        <v>0</v>
      </c>
      <c r="B1" s="14" t="s">
        <v>1</v>
      </c>
      <c r="C1" s="14" t="s">
        <v>5</v>
      </c>
      <c r="D1" s="14" t="s">
        <v>19</v>
      </c>
      <c r="E1" s="14" t="s">
        <v>2</v>
      </c>
      <c r="F1" s="14" t="s">
        <v>3</v>
      </c>
    </row>
    <row r="2" spans="1:8" x14ac:dyDescent="0.3">
      <c r="A2" s="15">
        <v>45473</v>
      </c>
      <c r="B2" s="16" t="s">
        <v>40</v>
      </c>
      <c r="C2" s="16" t="s">
        <v>35</v>
      </c>
      <c r="D2" s="16" t="s">
        <v>38</v>
      </c>
      <c r="E2" s="16"/>
      <c r="F2" s="16">
        <v>60000</v>
      </c>
      <c r="H2" s="23"/>
    </row>
    <row r="3" spans="1:8" x14ac:dyDescent="0.3">
      <c r="A3" s="17">
        <v>46033</v>
      </c>
      <c r="B3" s="18" t="s">
        <v>37</v>
      </c>
      <c r="C3" s="18" t="s">
        <v>35</v>
      </c>
      <c r="D3" s="18" t="s">
        <v>39</v>
      </c>
      <c r="E3" s="18"/>
      <c r="F3" s="18">
        <f>60000-14650</f>
        <v>45350</v>
      </c>
      <c r="H3" s="21"/>
    </row>
    <row r="4" spans="1:8" x14ac:dyDescent="0.3">
      <c r="A4" s="15">
        <v>45853</v>
      </c>
      <c r="B4" s="16" t="s">
        <v>49</v>
      </c>
      <c r="C4" s="16" t="s">
        <v>45</v>
      </c>
      <c r="D4" s="16" t="s">
        <v>47</v>
      </c>
      <c r="E4" s="16"/>
      <c r="F4" s="16">
        <v>300000</v>
      </c>
      <c r="H4" s="23"/>
    </row>
    <row r="5" spans="1:8" x14ac:dyDescent="0.3">
      <c r="A5" s="17">
        <v>45853</v>
      </c>
      <c r="B5" s="18" t="s">
        <v>52</v>
      </c>
      <c r="C5" s="18" t="s">
        <v>45</v>
      </c>
      <c r="D5" s="18" t="s">
        <v>48</v>
      </c>
      <c r="E5" s="18"/>
      <c r="F5" s="18">
        <v>120000</v>
      </c>
    </row>
    <row r="6" spans="1:8" x14ac:dyDescent="0.3">
      <c r="A6" s="15">
        <v>46066</v>
      </c>
      <c r="B6" s="16" t="s">
        <v>55</v>
      </c>
      <c r="C6" s="16" t="s">
        <v>45</v>
      </c>
      <c r="D6" s="16" t="s">
        <v>54</v>
      </c>
      <c r="E6" s="16"/>
      <c r="F6" s="16">
        <v>190000</v>
      </c>
    </row>
    <row r="7" spans="1:8" x14ac:dyDescent="0.3">
      <c r="A7" s="17">
        <v>46112</v>
      </c>
      <c r="B7" s="18" t="s">
        <v>51</v>
      </c>
      <c r="C7" s="18" t="s">
        <v>45</v>
      </c>
      <c r="D7" s="18" t="s">
        <v>50</v>
      </c>
      <c r="E7" s="18"/>
      <c r="F7" s="18">
        <v>10000</v>
      </c>
    </row>
    <row r="8" spans="1:8" x14ac:dyDescent="0.3">
      <c r="A8" s="15">
        <v>46157</v>
      </c>
      <c r="B8" s="16" t="s">
        <v>56</v>
      </c>
      <c r="C8" s="16" t="s">
        <v>45</v>
      </c>
      <c r="D8" s="16" t="s">
        <v>53</v>
      </c>
      <c r="E8" s="16"/>
      <c r="F8" s="16">
        <v>10000</v>
      </c>
    </row>
    <row r="9" spans="1:8" x14ac:dyDescent="0.3">
      <c r="A9" s="17">
        <v>46225</v>
      </c>
      <c r="B9" s="18" t="s">
        <v>64</v>
      </c>
      <c r="C9" s="18" t="s">
        <v>35</v>
      </c>
      <c r="D9" s="18" t="s">
        <v>39</v>
      </c>
      <c r="E9" s="18"/>
      <c r="F9" s="18">
        <v>14650</v>
      </c>
    </row>
    <row r="10" spans="1:8" x14ac:dyDescent="0.3">
      <c r="A10" s="15">
        <v>46234</v>
      </c>
      <c r="B10" s="16" t="s">
        <v>69</v>
      </c>
      <c r="C10" s="16" t="s">
        <v>70</v>
      </c>
      <c r="D10" s="16" t="s">
        <v>72</v>
      </c>
      <c r="E10" s="16"/>
      <c r="F10" s="16">
        <v>14000</v>
      </c>
    </row>
    <row r="11" spans="1:8" x14ac:dyDescent="0.3">
      <c r="A11" s="17">
        <v>46239</v>
      </c>
      <c r="B11" s="18" t="s">
        <v>78</v>
      </c>
      <c r="C11" s="18" t="s">
        <v>70</v>
      </c>
      <c r="D11" s="18" t="s">
        <v>72</v>
      </c>
      <c r="E11" s="18"/>
      <c r="F11" s="23">
        <v>3000</v>
      </c>
    </row>
    <row r="12" spans="1:8" x14ac:dyDescent="0.3">
      <c r="A12" s="12"/>
      <c r="B12" s="21"/>
      <c r="C12" s="21"/>
      <c r="D12" s="21"/>
      <c r="E12" s="21"/>
      <c r="F12" s="21"/>
      <c r="H12" s="25"/>
    </row>
    <row r="13" spans="1:8" x14ac:dyDescent="0.3">
      <c r="A13" s="11"/>
      <c r="B13" s="23"/>
      <c r="C13" s="23"/>
      <c r="D13" s="23"/>
      <c r="E13" s="23"/>
      <c r="F13" s="23"/>
    </row>
    <row r="14" spans="1:8" x14ac:dyDescent="0.3">
      <c r="A14" s="12"/>
      <c r="B14" s="21"/>
      <c r="C14" s="21"/>
      <c r="D14" s="21"/>
      <c r="E14" s="21"/>
      <c r="F14" s="21"/>
    </row>
    <row r="15" spans="1:8" x14ac:dyDescent="0.3">
      <c r="A15" s="11"/>
      <c r="B15" s="24"/>
      <c r="C15" s="23"/>
      <c r="D15" s="23"/>
      <c r="E15" s="23"/>
      <c r="F15" s="23"/>
    </row>
    <row r="16" spans="1:8" x14ac:dyDescent="0.3">
      <c r="A16" s="12"/>
      <c r="B16" s="21"/>
      <c r="C16" s="21"/>
      <c r="D16" s="21"/>
      <c r="E16" s="21"/>
      <c r="F16" s="21"/>
    </row>
    <row r="17" spans="1:6" x14ac:dyDescent="0.3">
      <c r="A17" s="13" t="s">
        <v>34</v>
      </c>
      <c r="B17" s="24"/>
      <c r="C17" s="23"/>
      <c r="D17" s="23"/>
      <c r="E17" s="23">
        <f>SUM(E2:E16)</f>
        <v>0</v>
      </c>
      <c r="F17" s="23">
        <f>SUM(F2:F16)</f>
        <v>767000</v>
      </c>
    </row>
  </sheetData>
  <dataValidations count="1">
    <dataValidation type="list" allowBlank="1" showInputMessage="1" showErrorMessage="1" sqref="C18:C22 C2:C16">
      <formula1>Investing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4" sqref="C14"/>
    </sheetView>
  </sheetViews>
  <sheetFormatPr defaultRowHeight="16.5" x14ac:dyDescent="0.3"/>
  <cols>
    <col min="1" max="1" width="11.7109375" style="8" customWidth="1"/>
    <col min="2" max="2" width="33.85546875" style="10" customWidth="1"/>
    <col min="3" max="3" width="62.5703125" style="8" customWidth="1"/>
    <col min="4" max="16384" width="9.140625" style="8"/>
  </cols>
  <sheetData>
    <row r="1" spans="1:3" x14ac:dyDescent="0.3">
      <c r="A1" s="1" t="s">
        <v>4</v>
      </c>
      <c r="B1" s="7" t="s">
        <v>5</v>
      </c>
      <c r="C1" s="1" t="s">
        <v>6</v>
      </c>
    </row>
    <row r="2" spans="1:3" x14ac:dyDescent="0.3">
      <c r="A2" s="2" t="s">
        <v>7</v>
      </c>
      <c r="B2" s="3" t="s">
        <v>35</v>
      </c>
      <c r="C2" s="9" t="s">
        <v>36</v>
      </c>
    </row>
    <row r="3" spans="1:3" x14ac:dyDescent="0.3">
      <c r="A3" s="4" t="s">
        <v>7</v>
      </c>
      <c r="B3" s="5" t="s">
        <v>45</v>
      </c>
      <c r="C3" s="6" t="s">
        <v>46</v>
      </c>
    </row>
    <row r="4" spans="1:3" x14ac:dyDescent="0.3">
      <c r="A4" s="4" t="s">
        <v>7</v>
      </c>
      <c r="B4" s="5" t="s">
        <v>80</v>
      </c>
      <c r="C4" s="6" t="s">
        <v>81</v>
      </c>
    </row>
    <row r="5" spans="1:3" x14ac:dyDescent="0.3">
      <c r="A5" s="2" t="s">
        <v>7</v>
      </c>
      <c r="B5" s="3" t="s">
        <v>8</v>
      </c>
      <c r="C5" s="9" t="s">
        <v>9</v>
      </c>
    </row>
    <row r="6" spans="1:3" x14ac:dyDescent="0.3">
      <c r="A6" s="2" t="s">
        <v>7</v>
      </c>
      <c r="B6" s="3" t="s">
        <v>70</v>
      </c>
      <c r="C6" s="9" t="s">
        <v>71</v>
      </c>
    </row>
    <row r="7" spans="1:3" x14ac:dyDescent="0.3">
      <c r="A7" s="4" t="s">
        <v>7</v>
      </c>
      <c r="B7" s="5" t="s">
        <v>10</v>
      </c>
      <c r="C7" s="6" t="s">
        <v>11</v>
      </c>
    </row>
    <row r="8" spans="1:3" x14ac:dyDescent="0.3">
      <c r="A8" s="2" t="s">
        <v>12</v>
      </c>
      <c r="B8" s="3" t="s">
        <v>13</v>
      </c>
      <c r="C8" s="9" t="s">
        <v>14</v>
      </c>
    </row>
    <row r="9" spans="1:3" x14ac:dyDescent="0.3">
      <c r="A9" s="4" t="s">
        <v>12</v>
      </c>
      <c r="B9" s="5" t="s">
        <v>15</v>
      </c>
      <c r="C9" s="6" t="s">
        <v>16</v>
      </c>
    </row>
    <row r="10" spans="1:3" ht="33" x14ac:dyDescent="0.3">
      <c r="A10" s="2" t="s">
        <v>12</v>
      </c>
      <c r="B10" s="3" t="s">
        <v>17</v>
      </c>
      <c r="C10" s="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Depositors</vt:lpstr>
      <vt:lpstr>FinancingJournal</vt:lpstr>
      <vt:lpstr>InvestingJournal</vt:lpstr>
      <vt:lpstr>list</vt:lpstr>
      <vt:lpstr>Financing</vt:lpstr>
      <vt:lpstr>Investing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2026-09-24T07:46:14Z</dcterms:modified>
</cp:coreProperties>
</file>