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CashFlowStatement" sheetId="8" r:id="rId1"/>
    <sheet name="IncomeStatement" sheetId="10" r:id="rId2"/>
    <sheet name="BalanceSheet" sheetId="11" r:id="rId3"/>
    <sheet name="lists" sheetId="12" r:id="rId4"/>
    <sheet name="CashBook" sheetId="13" r:id="rId5"/>
  </sheets>
  <externalReferences>
    <externalReference r:id="rId6"/>
  </externalReferences>
  <definedNames>
    <definedName name="Financing">lists!$B$21:$B$23</definedName>
    <definedName name="Investing">lists!$B$17:$B$20</definedName>
    <definedName name="Operating">lists!$B$2:$B$16</definedName>
    <definedName name="_xlnm.Print_Area" localSheetId="2">BalanceSheet!$A$1:$D$44</definedName>
    <definedName name="_xlnm.Print_Area" localSheetId="1">IncomeStatement!$A$1:$C$33</definedName>
    <definedName name="Summary">lists!$B$24:$B$25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0" l="1"/>
  <c r="C5" i="8"/>
  <c r="C27" i="10"/>
  <c r="D34" i="11"/>
  <c r="D28" i="11"/>
  <c r="D27" i="11"/>
  <c r="D29" i="11" s="1"/>
  <c r="D39" i="11" s="1"/>
  <c r="D23" i="11"/>
  <c r="D22" i="11"/>
  <c r="D21" i="11" l="1"/>
  <c r="D15" i="11"/>
  <c r="D14" i="11"/>
  <c r="D13" i="11"/>
  <c r="D7" i="11"/>
  <c r="D6" i="11"/>
  <c r="C18" i="10"/>
  <c r="C17" i="10"/>
  <c r="C16" i="10"/>
  <c r="C15" i="10"/>
  <c r="C14" i="10"/>
  <c r="C12" i="10"/>
  <c r="C8" i="10"/>
  <c r="C7" i="10"/>
  <c r="C6" i="10"/>
  <c r="C30" i="8"/>
  <c r="C29" i="8"/>
  <c r="C28" i="8"/>
  <c r="C24" i="8"/>
  <c r="C23" i="8"/>
  <c r="C18" i="8"/>
  <c r="C17" i="8"/>
  <c r="C16" i="8"/>
  <c r="C15" i="8"/>
  <c r="C14" i="8"/>
  <c r="C11" i="8"/>
  <c r="C8" i="8"/>
  <c r="C7" i="8"/>
  <c r="C6" i="8"/>
  <c r="D10" i="11" l="1"/>
  <c r="D24" i="11" l="1"/>
  <c r="D36" i="11" s="1"/>
  <c r="C24" i="10" l="1"/>
  <c r="C19" i="10"/>
  <c r="C21" i="10" s="1"/>
  <c r="C19" i="8"/>
  <c r="C9" i="8"/>
  <c r="C9" i="10"/>
  <c r="C25" i="10" l="1"/>
  <c r="C26" i="10" s="1"/>
  <c r="C29" i="10" s="1"/>
  <c r="C31" i="10" s="1"/>
  <c r="D40" i="11" s="1"/>
  <c r="D43" i="11" s="1"/>
  <c r="C20" i="8"/>
  <c r="C25" i="8" l="1"/>
  <c r="C31" i="8"/>
  <c r="D17" i="11" l="1"/>
</calcChain>
</file>

<file path=xl/sharedStrings.xml><?xml version="1.0" encoding="utf-8"?>
<sst xmlns="http://schemas.openxmlformats.org/spreadsheetml/2006/main" count="241" uniqueCount="158">
  <si>
    <t>Amount (₹)</t>
  </si>
  <si>
    <t>Liabilities</t>
  </si>
  <si>
    <t>Assets</t>
  </si>
  <si>
    <t>Borrowings</t>
  </si>
  <si>
    <t>Utilities &amp; Internet</t>
  </si>
  <si>
    <t>Office/Admin</t>
  </si>
  <si>
    <t>Section</t>
  </si>
  <si>
    <t>Item</t>
  </si>
  <si>
    <t>Operating Cash Flow</t>
  </si>
  <si>
    <t>Investing Cash Flow</t>
  </si>
  <si>
    <t>Financing Cash Flow</t>
  </si>
  <si>
    <t>Summary</t>
  </si>
  <si>
    <t xml:space="preserve">Start Date: </t>
  </si>
  <si>
    <t xml:space="preserve">End Date: </t>
  </si>
  <si>
    <t>Revenue</t>
  </si>
  <si>
    <t>Salaries</t>
  </si>
  <si>
    <t>Rent</t>
  </si>
  <si>
    <t>Misc. Expenses</t>
  </si>
  <si>
    <t>(Cost of Funds &amp; Operating Costs)</t>
  </si>
  <si>
    <t>Net Interest Income (NII)</t>
  </si>
  <si>
    <t>(
𝐿
𝑜
𝑎
𝑛
𝑅
𝑒
𝑝
𝑎
𝑦
𝑚
𝑒
𝑛
𝑡
𝑠
–
𝐼
𝑛
𝑡
𝑒
𝑟
𝑒
𝑠
𝑡
+
𝐼
𝑛
𝑡
𝑒
𝑟
𝑒
𝑠
𝑡
𝐼
𝑛
𝑐
𝑜
𝑚
𝑒
)
−
(
𝐼
𝑛
𝑡
𝑒
𝑟
𝑒
𝑠
𝑡
𝑃
𝑎
𝑦
𝑚
𝑒
𝑛
𝑡
𝑜
𝑛
𝐵
𝑜
𝑟
𝑟
𝑜
𝑤
𝑖
𝑛
𝑔
𝑠
)
=
(
231.66
+
200
)
−
300
=
131.66</t>
  </si>
  <si>
    <t>Operating Profit Before Provision</t>
  </si>
  <si>
    <t>𝑁
𝐼
𝐼
+
𝐹
𝑒
𝑒
𝑠
+
𝑂
𝑡
ℎ
𝑒
𝑟
𝐼
𝑛
𝑐
𝑜
𝑚
𝑒
−
𝑂
𝑝
𝑒
𝑟
𝑎
𝑡
𝑖
𝑛
𝑔
𝐸
𝑥
𝑝
𝑒
𝑛
𝑠
𝑒
𝑠
=
131.66
+
200
+
300
−
(
100
+
100
+
20
+
20
+
5
)
=
386.66</t>
  </si>
  <si>
    <t>Profit Before Tax (PBT)</t>
  </si>
  <si>
    <t>=386.66
−
𝐿
𝑜
𝑎
𝑛
𝐿
𝑜
𝑠
𝑠
𝑃
𝑟
𝑜
𝑣
𝑖
𝑠
𝑖
𝑜
𝑛</t>
  </si>
  <si>
    <t>Note:</t>
  </si>
  <si>
    <t>Operating Expenses:</t>
  </si>
  <si>
    <t xml:space="preserve">Interest Income (Loan Repayments – Interest EMI): </t>
  </si>
  <si>
    <t xml:space="preserve">Interest Income (other lending): </t>
  </si>
  <si>
    <t xml:space="preserve">Processing Fees: </t>
  </si>
  <si>
    <t xml:space="preserve">Other Income: </t>
  </si>
  <si>
    <t>Subtotal Inflows</t>
  </si>
  <si>
    <t xml:space="preserve">Interest Payment on Borrowings (Cost of Funds): </t>
  </si>
  <si>
    <t xml:space="preserve">Salaries: </t>
  </si>
  <si>
    <t xml:space="preserve">Rent: </t>
  </si>
  <si>
    <t xml:space="preserve">Utilities &amp; Internet: </t>
  </si>
  <si>
    <t xml:space="preserve">Office/Admin; </t>
  </si>
  <si>
    <t xml:space="preserve">Misc. Expenses: </t>
  </si>
  <si>
    <t xml:space="preserve">Asset Purchase (outflow): </t>
  </si>
  <si>
    <t xml:space="preserve">Sale of Asset (inflow): </t>
  </si>
  <si>
    <t xml:space="preserve">Capital Injection (inflow): </t>
  </si>
  <si>
    <t xml:space="preserve">Borrowings (inflow): </t>
  </si>
  <si>
    <t xml:space="preserve">Net Investing Cash  </t>
  </si>
  <si>
    <t xml:space="preserve">Subtotal Outflows  </t>
  </si>
  <si>
    <t xml:space="preserve">Net Operating Cash  </t>
  </si>
  <si>
    <t xml:space="preserve">Repayment (outflow): </t>
  </si>
  <si>
    <t xml:space="preserve">Net Financing Cash  </t>
  </si>
  <si>
    <t xml:space="preserve">Opening Balance: </t>
  </si>
  <si>
    <t xml:space="preserve">Closing Balance: </t>
  </si>
  <si>
    <t>Cash &amp; Bank Balances</t>
  </si>
  <si>
    <t>Loans &amp; Advances (Net of Principal Repayments)</t>
  </si>
  <si>
    <t>Investments</t>
  </si>
  <si>
    <t>Deposits / Capital Injection</t>
  </si>
  <si>
    <t>Other Liabilities</t>
  </si>
  <si>
    <t>Operating Payables (salaries, rent, utilities if unpaid).</t>
  </si>
  <si>
    <t>Equity</t>
  </si>
  <si>
    <t>CASH FLOW STATEMENT</t>
  </si>
  <si>
    <t>INCOME STATEMENT</t>
  </si>
  <si>
    <t>BALANCE SHEET</t>
  </si>
  <si>
    <t xml:space="preserve">Sale of Asset: </t>
  </si>
  <si>
    <t xml:space="preserve">Loan Principal Outstanding: </t>
  </si>
  <si>
    <t xml:space="preserve">Net Investments: </t>
  </si>
  <si>
    <t xml:space="preserve">Izra Advances: </t>
  </si>
  <si>
    <t>Total Assets</t>
  </si>
  <si>
    <t xml:space="preserve">Prior Assets: </t>
  </si>
  <si>
    <t xml:space="preserve">Prior Borrowings: </t>
  </si>
  <si>
    <t xml:space="preserve">Asset Purchase (for the Month): </t>
  </si>
  <si>
    <t xml:space="preserve">New Borrowings (for the Month): </t>
  </si>
  <si>
    <t xml:space="preserve">Repayments: </t>
  </si>
  <si>
    <t xml:space="preserve">Net Borrowings Outstanding </t>
  </si>
  <si>
    <t xml:space="preserve">Prior Capital Injection: </t>
  </si>
  <si>
    <t xml:space="preserve">Prior Capital Injection (for the Month): </t>
  </si>
  <si>
    <t>Category</t>
  </si>
  <si>
    <t>Sub‑Category</t>
  </si>
  <si>
    <t>Purpose / Linkage</t>
  </si>
  <si>
    <t>Operating</t>
  </si>
  <si>
    <t>Cash inflow from scheduled loan repayments (principal + interest).</t>
  </si>
  <si>
    <t>Same as above, but for daily repayment loans.</t>
  </si>
  <si>
    <t>Pure interest inflows (credit lines, overdrafts, non‑EMI loans).</t>
  </si>
  <si>
    <t>Interest Income</t>
  </si>
  <si>
    <t>Interest Payment On Borrowings</t>
  </si>
  <si>
    <t>Processing Fee</t>
  </si>
  <si>
    <t>Fee income from loan disbursements (1% or CashBook tagged “Processing Fee”).</t>
  </si>
  <si>
    <t>Other Income</t>
  </si>
  <si>
    <t>Any miscellaneous operating inflows (e.g., penalties, service charges).</t>
  </si>
  <si>
    <t>Expense</t>
  </si>
  <si>
    <t>Operating outflows (utilities, admin, salaries, rent, etc. if tracked in CashBook).</t>
  </si>
  <si>
    <t>Investing</t>
  </si>
  <si>
    <t>Izra Advance</t>
  </si>
  <si>
    <t>Rs 60000 paid to farmer for annual grain repayment</t>
  </si>
  <si>
    <t>Asset Purchase</t>
  </si>
  <si>
    <t>Outflow for buying fixed assets.</t>
  </si>
  <si>
    <t>Sale of Asset</t>
  </si>
  <si>
    <t>Inflow from selling fixed assets.</t>
  </si>
  <si>
    <t>Financing</t>
  </si>
  <si>
    <t>Borrowing</t>
  </si>
  <si>
    <t>Inflow from new borrowings (loan capital received).</t>
  </si>
  <si>
    <t>Capital Injection</t>
  </si>
  <si>
    <t>Inflow from equity/funds injected by promoters.</t>
  </si>
  <si>
    <t>Repayment</t>
  </si>
  <si>
    <t>Outflow for financing repayments (your own borrowings being repaid).</t>
  </si>
  <si>
    <t>Opening Balance</t>
  </si>
  <si>
    <t>Starting cash balance for the reporting window.</t>
  </si>
  <si>
    <t>Closing Balance</t>
  </si>
  <si>
    <t>Ending cash balance for the reporting window.</t>
  </si>
  <si>
    <t>Grain Repayment (annual)</t>
  </si>
  <si>
    <t>PaymentDate</t>
  </si>
  <si>
    <t>Reference Id</t>
  </si>
  <si>
    <t>Transaction Description</t>
  </si>
  <si>
    <t>Debit  (CashIn)</t>
  </si>
  <si>
    <t>Credit (CashOut)</t>
  </si>
  <si>
    <t>Balance</t>
  </si>
  <si>
    <t xml:space="preserve">Loan Repayments - Interest (EMI): </t>
  </si>
  <si>
    <t xml:space="preserve">Interest Income (other lending/credit lines): </t>
  </si>
  <si>
    <t xml:space="preserve">Other Income (if any): </t>
  </si>
  <si>
    <t xml:space="preserve">Total Revenue: </t>
  </si>
  <si>
    <t xml:space="preserve">Office/Admin: </t>
  </si>
  <si>
    <t xml:space="preserve">Operating Expenses: </t>
  </si>
  <si>
    <t xml:space="preserve">Loan Loss Provision: </t>
  </si>
  <si>
    <t xml:space="preserve">Total Expenses: </t>
  </si>
  <si>
    <t xml:space="preserve">Net Interest Income (NII): </t>
  </si>
  <si>
    <t xml:space="preserve">Operating Profit Before Provision: </t>
  </si>
  <si>
    <t>(in ₹)</t>
  </si>
  <si>
    <t>Cap-01Jan26-01</t>
  </si>
  <si>
    <t>Bor-05Jan26-01</t>
  </si>
  <si>
    <t>Rep-10Jan26-01</t>
  </si>
  <si>
    <t>Ass-15Jan26-01</t>
  </si>
  <si>
    <t>Sal-20Jan26-01</t>
  </si>
  <si>
    <t>Ren-25Jan26-01</t>
  </si>
  <si>
    <t>Uti-30Jan26-01</t>
  </si>
  <si>
    <t>Off-05Feb26-01</t>
  </si>
  <si>
    <t>Mis-10Feb26-01</t>
  </si>
  <si>
    <t>Int-15Feb26-01</t>
  </si>
  <si>
    <t>Pro-20Feb26-01</t>
  </si>
  <si>
    <t>Oth-25Feb26-01</t>
  </si>
  <si>
    <t>IPB-01Mar26-01</t>
  </si>
  <si>
    <t xml:space="preserve">Accrued Interest Payable: </t>
  </si>
  <si>
    <t xml:space="preserve">Total Other Liabilities: </t>
  </si>
  <si>
    <t xml:space="preserve">Total Deposits: </t>
  </si>
  <si>
    <t xml:space="preserve">Total Liabilities: </t>
  </si>
  <si>
    <t xml:space="preserve">Total Equity: </t>
  </si>
  <si>
    <t xml:space="preserve">EBITDA: </t>
  </si>
  <si>
    <t xml:space="preserve">Depreciation: </t>
  </si>
  <si>
    <t xml:space="preserve">Amortization: </t>
  </si>
  <si>
    <t xml:space="preserve">EBIT (Operating Profit): </t>
  </si>
  <si>
    <t xml:space="preserve">Income Tax: </t>
  </si>
  <si>
    <t>Net Profit (Loss):</t>
  </si>
  <si>
    <t xml:space="preserve">Reserves &amp; Surplus: Retained earnings: </t>
  </si>
  <si>
    <t xml:space="preserve">Capital: </t>
  </si>
  <si>
    <t>EMI-01Mar26-01</t>
  </si>
  <si>
    <t>EMI-01Mar26-02</t>
  </si>
  <si>
    <t>Izr-01Apr26-01</t>
  </si>
  <si>
    <t>Grn-01Dec26-01</t>
  </si>
  <si>
    <t>Cls-31Dec26-01</t>
  </si>
  <si>
    <t>Daily Loan</t>
  </si>
  <si>
    <t>Weekly Loan</t>
  </si>
  <si>
    <t>Weekly EMI</t>
  </si>
  <si>
    <t>Daily 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</si>
</sst>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₹&quot;* #,##0.00_);_(&quot;₹&quot;* \(#,##0.00\);_(&quot;₹&quot;* &quot;-&quot;??_);_(@_)"/>
    <numFmt numFmtId="164" formatCode="[$-409]d\-mmm\-yyyy;@"/>
    <numFmt numFmtId="165" formatCode="_ [$₹-4009]\ * #,##0.00_ ;_ [$₹-4009]\ * \-#,##0.00_ ;_ [$₹-4009]\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name val="Segoe UI"/>
      <family val="2"/>
    </font>
    <font>
      <sz val="8"/>
      <name val="Segoe UI"/>
      <family val="2"/>
    </font>
    <font>
      <sz val="11"/>
      <color theme="1" tint="0.14999847407452621"/>
      <name val="Segoe UI"/>
      <family val="2"/>
    </font>
    <font>
      <sz val="10"/>
      <color theme="1" tint="0.14999847407452621"/>
      <name val="Segoe UI"/>
      <family val="2"/>
    </font>
    <font>
      <b/>
      <sz val="11"/>
      <color theme="0" tint="-4.9989318521683403E-2"/>
      <name val="Segoe U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4" borderId="0" xfId="0" applyFont="1" applyFill="1"/>
    <xf numFmtId="165" fontId="2" fillId="3" borderId="1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/>
    <xf numFmtId="165" fontId="2" fillId="3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/>
    <xf numFmtId="165" fontId="5" fillId="3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left" vertical="center"/>
    </xf>
    <xf numFmtId="0" fontId="3" fillId="0" borderId="0" xfId="0" applyFont="1" applyFill="1"/>
    <xf numFmtId="0" fontId="3" fillId="0" borderId="0" xfId="0" applyFont="1" applyFill="1" applyAlignment="1">
      <alignment horizontal="left"/>
    </xf>
    <xf numFmtId="164" fontId="4" fillId="0" borderId="0" xfId="0" applyNumberFormat="1" applyFont="1" applyFill="1" applyBorder="1" applyAlignment="1">
      <alignment horizontal="left" vertical="center"/>
    </xf>
    <xf numFmtId="165" fontId="2" fillId="0" borderId="0" xfId="0" applyNumberFormat="1" applyFont="1" applyFill="1" applyBorder="1" applyAlignment="1">
      <alignment horizontal="left" vertical="center"/>
    </xf>
    <xf numFmtId="165" fontId="2" fillId="0" borderId="0" xfId="0" applyNumberFormat="1" applyFont="1" applyFill="1" applyBorder="1" applyAlignment="1">
      <alignment horizontal="right" vertical="center"/>
    </xf>
    <xf numFmtId="0" fontId="6" fillId="0" borderId="0" xfId="0" applyFont="1" applyFill="1"/>
    <xf numFmtId="0" fontId="7" fillId="0" borderId="0" xfId="0" applyFont="1" applyFill="1"/>
    <xf numFmtId="0" fontId="7" fillId="0" borderId="0" xfId="0" applyFont="1" applyFill="1" applyAlignment="1"/>
    <xf numFmtId="0" fontId="7" fillId="0" borderId="0" xfId="0" quotePrefix="1" applyFont="1" applyFill="1" applyAlignment="1"/>
    <xf numFmtId="164" fontId="4" fillId="0" borderId="0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right" vertical="center"/>
    </xf>
    <xf numFmtId="0" fontId="3" fillId="0" borderId="0" xfId="0" applyFont="1" applyFill="1" applyBorder="1"/>
    <xf numFmtId="164" fontId="4" fillId="3" borderId="0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left" vertical="center"/>
    </xf>
    <xf numFmtId="165" fontId="2" fillId="3" borderId="0" xfId="0" applyNumberFormat="1" applyFont="1" applyFill="1" applyBorder="1" applyAlignment="1">
      <alignment horizontal="right" vertical="center"/>
    </xf>
    <xf numFmtId="165" fontId="4" fillId="3" borderId="0" xfId="0" applyNumberFormat="1" applyFont="1" applyFill="1" applyBorder="1" applyAlignment="1">
      <alignment horizontal="right" vertical="center"/>
    </xf>
    <xf numFmtId="44" fontId="2" fillId="3" borderId="0" xfId="1" applyFont="1" applyFill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44" fontId="4" fillId="3" borderId="0" xfId="1" applyFont="1" applyFill="1" applyBorder="1" applyAlignment="1">
      <alignment horizontal="right" vertical="center"/>
    </xf>
    <xf numFmtId="2" fontId="2" fillId="3" borderId="0" xfId="1" applyNumberFormat="1" applyFont="1" applyFill="1" applyBorder="1" applyAlignment="1">
      <alignment horizontal="right" vertical="center"/>
    </xf>
    <xf numFmtId="2" fontId="4" fillId="3" borderId="0" xfId="1" applyNumberFormat="1" applyFont="1" applyFill="1" applyBorder="1" applyAlignment="1">
      <alignment horizontal="right" vertical="center"/>
    </xf>
    <xf numFmtId="164" fontId="2" fillId="3" borderId="0" xfId="0" applyNumberFormat="1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2" fontId="2" fillId="3" borderId="0" xfId="1" applyNumberFormat="1" applyFont="1" applyFill="1" applyBorder="1" applyAlignment="1">
      <alignment vertical="center"/>
    </xf>
    <xf numFmtId="0" fontId="3" fillId="0" borderId="0" xfId="0" applyFont="1" applyFill="1" applyAlignment="1"/>
    <xf numFmtId="0" fontId="4" fillId="3" borderId="0" xfId="0" applyFont="1" applyFill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an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  <sheetName val="Tracker"/>
    </sheetNames>
    <sheetDataSet>
      <sheetData sheetId="0">
        <row r="2">
          <cell r="K2">
            <v>332091.93122807232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view="pageBreakPreview" zoomScaleNormal="100" zoomScaleSheetLayoutView="100" workbookViewId="0">
      <selection activeCell="C31" sqref="C31"/>
    </sheetView>
  </sheetViews>
  <sheetFormatPr defaultRowHeight="16.5" x14ac:dyDescent="0.3"/>
  <cols>
    <col min="1" max="1" width="22.5703125" style="28" customWidth="1"/>
    <col min="2" max="2" width="26" style="28" customWidth="1"/>
    <col min="3" max="3" width="27.5703125" style="28" customWidth="1"/>
    <col min="4" max="16384" width="9.140625" style="28"/>
  </cols>
  <sheetData>
    <row r="1" spans="1:3" ht="15" customHeight="1" x14ac:dyDescent="0.3">
      <c r="A1" s="27" t="s">
        <v>12</v>
      </c>
      <c r="B1" s="5">
        <v>46023</v>
      </c>
      <c r="C1" s="46" t="s">
        <v>56</v>
      </c>
    </row>
    <row r="2" spans="1:3" ht="15" customHeight="1" x14ac:dyDescent="0.3">
      <c r="A2" s="27" t="s">
        <v>13</v>
      </c>
      <c r="B2" s="5">
        <v>46082</v>
      </c>
      <c r="C2" s="46"/>
    </row>
    <row r="3" spans="1:3" ht="26.25" customHeight="1" x14ac:dyDescent="0.3">
      <c r="A3" s="33" t="s">
        <v>6</v>
      </c>
      <c r="B3" s="33" t="s">
        <v>7</v>
      </c>
      <c r="C3" s="33" t="s">
        <v>0</v>
      </c>
    </row>
    <row r="4" spans="1:3" x14ac:dyDescent="0.3">
      <c r="A4" s="34" t="s">
        <v>8</v>
      </c>
      <c r="B4" s="30"/>
      <c r="C4" s="31"/>
    </row>
    <row r="5" spans="1:3" x14ac:dyDescent="0.3">
      <c r="A5" s="29"/>
      <c r="B5" s="31" t="s">
        <v>27</v>
      </c>
      <c r="C5" s="35">
        <f>SUMIFS(CashBook!$E:$E, CashBook!$C:$C, "Weekly EMI",
        CashBook!$A:$A, "&gt;="&amp;$B$1,
        CashBook!$A:$A, "&lt;="&amp;$B$2)
+SUMIFS(CashBook!$E:$E, CashBook!$C:$C, "Daily EMI",
        CashBook!$A:$A, "&gt;="&amp;$B$1,
        CashBook!$A:$A, "&lt;="&amp;$B$2)</f>
        <v>1700</v>
      </c>
    </row>
    <row r="6" spans="1:3" x14ac:dyDescent="0.3">
      <c r="A6" s="30"/>
      <c r="B6" s="31" t="s">
        <v>28</v>
      </c>
      <c r="C6" s="35">
        <f>SUMIFS(CashBook!$E:$E, CashBook!$D:$D, "Operating",
        CashBook!$C:$C, "Interest Income",
        CashBook!$A:$A, "&gt;="&amp;$B$1,
        CashBook!$A:$A, "&lt;="&amp;$B$2)</f>
        <v>2200</v>
      </c>
    </row>
    <row r="7" spans="1:3" x14ac:dyDescent="0.3">
      <c r="A7" s="30"/>
      <c r="B7" s="31" t="s">
        <v>29</v>
      </c>
      <c r="C7" s="35">
        <f>SUMIFS(CashBook!$E:$E, CashBook!$D:$D, "Operating",
        CashBook!$C:$C, "Processing Fee",
        CashBook!$A:$A, "&gt;="&amp;$B$1,
        CashBook!$A:$A, "&lt;="&amp;$B$2)</f>
        <v>200</v>
      </c>
    </row>
    <row r="8" spans="1:3" x14ac:dyDescent="0.3">
      <c r="A8" s="30"/>
      <c r="B8" s="31" t="s">
        <v>30</v>
      </c>
      <c r="C8" s="35">
        <f>SUMIFS(CashBook!$E:$E, CashBook!$D:$D, "Operating",
        CashBook!$C:$C, "Other Income",
        CashBook!$A:$A, "&gt;="&amp;$B$1,
        CashBook!$A:$A, "&lt;="&amp;$B$2)</f>
        <v>3500</v>
      </c>
    </row>
    <row r="9" spans="1:3" x14ac:dyDescent="0.3">
      <c r="A9" s="30"/>
      <c r="B9" s="32" t="s">
        <v>31</v>
      </c>
      <c r="C9" s="36">
        <f>SUM(C5:C8)</f>
        <v>7600</v>
      </c>
    </row>
    <row r="10" spans="1:3" x14ac:dyDescent="0.3">
      <c r="A10" s="30"/>
      <c r="B10" s="30"/>
      <c r="C10" s="35"/>
    </row>
    <row r="11" spans="1:3" x14ac:dyDescent="0.3">
      <c r="A11" s="30"/>
      <c r="B11" s="31" t="s">
        <v>32</v>
      </c>
      <c r="C11" s="35">
        <f>SUMIFS(CashBook!$F:$F, CashBook!$D:$D, "Operating",
        CashBook!$C:$C, "Interest Payment On Borrowings",
        CashBook!$A:$A, "&gt;="&amp;$B$1,
        CashBook!$A:$A, "&lt;="&amp;$B$2)</f>
        <v>2700</v>
      </c>
    </row>
    <row r="12" spans="1:3" x14ac:dyDescent="0.3">
      <c r="A12" s="30"/>
      <c r="B12" s="31"/>
      <c r="C12" s="35"/>
    </row>
    <row r="13" spans="1:3" x14ac:dyDescent="0.3">
      <c r="A13" s="30"/>
      <c r="B13" s="32" t="s">
        <v>26</v>
      </c>
      <c r="C13" s="35"/>
    </row>
    <row r="14" spans="1:3" x14ac:dyDescent="0.3">
      <c r="A14" s="30"/>
      <c r="B14" s="31" t="s">
        <v>33</v>
      </c>
      <c r="C14" s="35">
        <f>SUMIFS(CashBook!$F:$F, CashBook!$D:$D, "Operating",
        CashBook!$C:$C, "Salaries",
        CashBook!$A:$A, "&gt;="&amp;$B$1,
        CashBook!$A:$A, "&lt;="&amp;$B$2)</f>
        <v>12000</v>
      </c>
    </row>
    <row r="15" spans="1:3" x14ac:dyDescent="0.3">
      <c r="A15" s="30"/>
      <c r="B15" s="31" t="s">
        <v>34</v>
      </c>
      <c r="C15" s="35">
        <f>SUMIFS(CashBook!$F:$F, CashBook!$D:$D, "Operating",
        CashBook!$C:$C, "Rent",
        CashBook!$A:$A, "&gt;="&amp;$B$1,
        CashBook!$A:$A, "&lt;="&amp;$B$2)</f>
        <v>8000</v>
      </c>
    </row>
    <row r="16" spans="1:3" x14ac:dyDescent="0.3">
      <c r="A16" s="30"/>
      <c r="B16" s="31" t="s">
        <v>35</v>
      </c>
      <c r="C16" s="35">
        <f>SUMIFS(CashBook!$F:$F, CashBook!$D:$D, "Operating",
        CashBook!$C:$C, "Utilities &amp; Internet",
        CashBook!$A:$A, "&gt;="&amp;$B$1,
        CashBook!$A:$A, "&lt;="&amp;$B$2)</f>
        <v>3500</v>
      </c>
    </row>
    <row r="17" spans="1:3" x14ac:dyDescent="0.3">
      <c r="A17" s="30"/>
      <c r="B17" s="31" t="s">
        <v>36</v>
      </c>
      <c r="C17" s="35">
        <f>SUMIFS(CashBook!$F:$F, CashBook!$D:$D, "Operating",
        CashBook!$C:$C, "Office/Admin",
        CashBook!$A:$A, "&gt;="&amp;$B$1,
        CashBook!$A:$A, "&lt;="&amp;$B$2)</f>
        <v>2000</v>
      </c>
    </row>
    <row r="18" spans="1:3" x14ac:dyDescent="0.3">
      <c r="A18" s="30"/>
      <c r="B18" s="31" t="s">
        <v>37</v>
      </c>
      <c r="C18" s="35">
        <f>SUMIFS(CashBook!$F:$F, CashBook!$D:$D, "Operating",
        CashBook!$C:$C, "Misc. Expenses",
        CashBook!$A:$A, "&gt;="&amp;$B$1,
        CashBook!$A:$A, "&lt;="&amp;$B$2)</f>
        <v>1500</v>
      </c>
    </row>
    <row r="19" spans="1:3" x14ac:dyDescent="0.3">
      <c r="A19" s="30"/>
      <c r="B19" s="32" t="s">
        <v>43</v>
      </c>
      <c r="C19" s="36">
        <f>SUM(C11:C18)</f>
        <v>29700</v>
      </c>
    </row>
    <row r="20" spans="1:3" x14ac:dyDescent="0.3">
      <c r="A20" s="30"/>
      <c r="B20" s="32" t="s">
        <v>44</v>
      </c>
      <c r="C20" s="36">
        <f>C9-C19</f>
        <v>-22100</v>
      </c>
    </row>
    <row r="21" spans="1:3" x14ac:dyDescent="0.3">
      <c r="A21" s="30"/>
      <c r="B21" s="30"/>
      <c r="C21" s="35"/>
    </row>
    <row r="22" spans="1:3" x14ac:dyDescent="0.3">
      <c r="A22" s="29" t="s">
        <v>9</v>
      </c>
      <c r="B22" s="30"/>
      <c r="C22" s="35"/>
    </row>
    <row r="23" spans="1:3" x14ac:dyDescent="0.3">
      <c r="A23" s="29"/>
      <c r="B23" s="31" t="s">
        <v>38</v>
      </c>
      <c r="C23" s="35">
        <f>SUMIFS(CashBook!$F:$F, CashBook!$D:$D, "Investing",
        CashBook!$C:$C, "Asset Purchase",
        CashBook!$A:$A, "&gt;="&amp;$B$1,
        CashBook!$A:$A, "&lt;="&amp;$B$2)</f>
        <v>20000</v>
      </c>
    </row>
    <row r="24" spans="1:3" x14ac:dyDescent="0.3">
      <c r="A24" s="30"/>
      <c r="B24" s="31" t="s">
        <v>39</v>
      </c>
      <c r="C24" s="35">
        <f>SUMIFS(CashBook!$E:$E, CashBook!$D:$D, "Investing",
        CashBook!$C:$C, "Sale of Asset",
        CashBook!$A:$A, "&gt;="&amp;$B$1,
        CashBook!$A:$A, "&lt;="&amp;$B$2)</f>
        <v>0</v>
      </c>
    </row>
    <row r="25" spans="1:3" x14ac:dyDescent="0.3">
      <c r="A25" s="30"/>
      <c r="B25" s="32" t="s">
        <v>42</v>
      </c>
      <c r="C25" s="36">
        <f>C23-C24</f>
        <v>20000</v>
      </c>
    </row>
    <row r="26" spans="1:3" x14ac:dyDescent="0.3">
      <c r="A26" s="30"/>
      <c r="B26" s="31"/>
      <c r="C26" s="35"/>
    </row>
    <row r="27" spans="1:3" x14ac:dyDescent="0.3">
      <c r="A27" s="29" t="s">
        <v>10</v>
      </c>
      <c r="B27" s="31"/>
      <c r="C27" s="35"/>
    </row>
    <row r="28" spans="1:3" x14ac:dyDescent="0.3">
      <c r="A28" s="29"/>
      <c r="B28" s="31" t="s">
        <v>41</v>
      </c>
      <c r="C28" s="35">
        <f>SUMIFS(CashBook!$E:$E, CashBook!$D:$D, "Financing",
        CashBook!$C:$C, "Borrowing",
        CashBook!$A:$A, "&gt;="&amp;$B$1,
        CashBook!$A:$A, "&lt;="&amp;$B$2)</f>
        <v>1000000</v>
      </c>
    </row>
    <row r="29" spans="1:3" x14ac:dyDescent="0.3">
      <c r="A29" s="30"/>
      <c r="B29" s="31" t="s">
        <v>40</v>
      </c>
      <c r="C29" s="35">
        <f>SUMIFS(CashBook!$E:$E, CashBook!$D:$D, "Financing",
        CashBook!$C:$C, "Capital Injection",
        CashBook!$A:$A, "&gt;="&amp;$B$1,
        CashBook!$A:$A, "&lt;="&amp;$B$2)</f>
        <v>500000</v>
      </c>
    </row>
    <row r="30" spans="1:3" x14ac:dyDescent="0.3">
      <c r="A30" s="30"/>
      <c r="B30" s="31" t="s">
        <v>45</v>
      </c>
      <c r="C30" s="35">
        <f>SUMIFS(CashBook!$F:$F, CashBook!$D:$D, "Financing",
        CashBook!$C:$C, "Repayment",
        CashBook!$A:$A, "&gt;="&amp;$B$1,
        CashBook!$A:$A, "&lt;="&amp;$B$2)</f>
        <v>15000</v>
      </c>
    </row>
    <row r="31" spans="1:3" x14ac:dyDescent="0.3">
      <c r="A31" s="30"/>
      <c r="B31" s="32" t="s">
        <v>46</v>
      </c>
      <c r="C31" s="36">
        <f>C28+C29-C30</f>
        <v>1485000</v>
      </c>
    </row>
    <row r="32" spans="1:3" x14ac:dyDescent="0.3">
      <c r="A32" s="30"/>
      <c r="B32" s="31"/>
      <c r="C32" s="35"/>
    </row>
    <row r="33" spans="1:3" x14ac:dyDescent="0.3">
      <c r="A33" s="29" t="s">
        <v>11</v>
      </c>
      <c r="B33" s="31"/>
      <c r="C33" s="35"/>
    </row>
    <row r="34" spans="1:3" x14ac:dyDescent="0.3">
      <c r="A34" s="29"/>
      <c r="B34" s="31" t="s">
        <v>47</v>
      </c>
      <c r="C34" s="35"/>
    </row>
    <row r="35" spans="1:3" x14ac:dyDescent="0.3">
      <c r="A35" s="30"/>
      <c r="B35" s="31" t="s">
        <v>48</v>
      </c>
      <c r="C35" s="35"/>
    </row>
  </sheetData>
  <mergeCells count="1">
    <mergeCell ref="C1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view="pageBreakPreview" zoomScaleNormal="100" zoomScaleSheetLayoutView="100" workbookViewId="0">
      <selection activeCell="C6" sqref="C6"/>
    </sheetView>
  </sheetViews>
  <sheetFormatPr defaultRowHeight="16.5" x14ac:dyDescent="0.3"/>
  <cols>
    <col min="1" max="1" width="22.5703125" style="16" customWidth="1"/>
    <col min="2" max="2" width="30.140625" style="16" customWidth="1"/>
    <col min="3" max="3" width="27.5703125" style="16" customWidth="1"/>
    <col min="4" max="4" width="9.140625" style="16"/>
    <col min="5" max="5" width="5.140625" style="16" customWidth="1"/>
    <col min="6" max="6" width="6.140625" style="16" customWidth="1"/>
    <col min="7" max="16384" width="9.140625" style="16"/>
  </cols>
  <sheetData>
    <row r="1" spans="1:3" ht="15" customHeight="1" x14ac:dyDescent="0.3">
      <c r="A1" s="32" t="s">
        <v>12</v>
      </c>
      <c r="B1" s="5">
        <v>46023</v>
      </c>
      <c r="C1" s="47" t="s">
        <v>57</v>
      </c>
    </row>
    <row r="2" spans="1:3" ht="15" customHeight="1" x14ac:dyDescent="0.3">
      <c r="A2" s="32" t="s">
        <v>13</v>
      </c>
      <c r="B2" s="5">
        <v>46082</v>
      </c>
      <c r="C2" s="47"/>
    </row>
    <row r="3" spans="1:3" ht="22.5" customHeight="1" x14ac:dyDescent="0.3">
      <c r="A3" s="33" t="s">
        <v>6</v>
      </c>
      <c r="B3" s="33" t="s">
        <v>7</v>
      </c>
      <c r="C3" s="33" t="s">
        <v>0</v>
      </c>
    </row>
    <row r="4" spans="1:3" x14ac:dyDescent="0.3">
      <c r="A4" s="34" t="s">
        <v>14</v>
      </c>
      <c r="B4" s="30"/>
      <c r="C4" s="31"/>
    </row>
    <row r="5" spans="1:3" x14ac:dyDescent="0.3">
      <c r="A5" s="29"/>
      <c r="B5" s="31" t="s">
        <v>112</v>
      </c>
      <c r="C5" s="35">
        <f>SUMIFS(CashBook!$E:$E, CashBook!$D:$D,"Operating",
        CashBook!$C:$C,"Weekly EMI",
        CashBook!$A:$A,"&gt;="&amp;$B$1,
        CashBook!$A:$A,"&lt;="&amp;$B$2)
+SUMIFS(CashBook!$E:$E, CashBook!$D:$D,"Operating",
        CashBook!$C:$C,"Daily EMI",
        CashBook!$A:$A,"&gt;="&amp;$B$1,
        CashBook!$A:$A,"&lt;="&amp;$B$2)</f>
        <v>1700</v>
      </c>
    </row>
    <row r="6" spans="1:3" x14ac:dyDescent="0.3">
      <c r="A6" s="29"/>
      <c r="B6" s="31" t="s">
        <v>113</v>
      </c>
      <c r="C6" s="35">
        <f>SUMIFS(CashBook!$E:$E, CashBook!$D:$D,"Operating",
        CashBook!$C:$C,"Interest Income",
        CashBook!$A:$A,"&gt;="&amp;$B$1,
        CashBook!$A:$A,"&lt;="&amp;$B$2)</f>
        <v>2200</v>
      </c>
    </row>
    <row r="7" spans="1:3" x14ac:dyDescent="0.3">
      <c r="A7" s="29"/>
      <c r="B7" s="31" t="s">
        <v>29</v>
      </c>
      <c r="C7" s="35">
        <f>SUMIFS(CashBook!$E:$E, CashBook!$D:$D, "Operating",
        CashBook!$C:$C, "Processing Fee",
        CashBook!$A:$A, "&gt;="&amp;$B$1,
        CashBook!$A:$A, "&lt;="&amp;$B$2)</f>
        <v>200</v>
      </c>
    </row>
    <row r="8" spans="1:3" x14ac:dyDescent="0.3">
      <c r="A8" s="29"/>
      <c r="B8" s="31" t="s">
        <v>114</v>
      </c>
      <c r="C8" s="35">
        <f>SUMIFS(CashBook!$E:$E, CashBook!$D:$D, "Operating",
        CashBook!$C:$C, "Other Income",
        CashBook!$A:$A, "&gt;="&amp;$B$1,
        CashBook!$A:$A, "&lt;="&amp;$B$2)</f>
        <v>3500</v>
      </c>
    </row>
    <row r="9" spans="1:3" x14ac:dyDescent="0.3">
      <c r="A9" s="29"/>
      <c r="B9" s="32" t="s">
        <v>115</v>
      </c>
      <c r="C9" s="36">
        <f>SUM(C5:C8)</f>
        <v>7600</v>
      </c>
    </row>
    <row r="10" spans="1:3" x14ac:dyDescent="0.3">
      <c r="A10" s="29"/>
      <c r="B10" s="31"/>
      <c r="C10" s="35"/>
    </row>
    <row r="11" spans="1:3" x14ac:dyDescent="0.3">
      <c r="A11" s="34" t="s">
        <v>18</v>
      </c>
      <c r="B11" s="30"/>
      <c r="C11" s="31"/>
    </row>
    <row r="12" spans="1:3" x14ac:dyDescent="0.3">
      <c r="A12" s="29"/>
      <c r="B12" s="31" t="s">
        <v>32</v>
      </c>
      <c r="C12" s="35">
        <f>SUMIFS(CashBook!$F:$F, CashBook!$D:$D,"Operating",
        CashBook!$C:$C,"Interest Payment On Borrowings",
        CashBook!$A:$A,"&gt;="&amp;$B$1,
        CashBook!$A:$A,"&lt;="&amp;$B$2)</f>
        <v>2700</v>
      </c>
    </row>
    <row r="13" spans="1:3" x14ac:dyDescent="0.3">
      <c r="A13" s="29"/>
      <c r="B13" s="31"/>
      <c r="C13" s="35"/>
    </row>
    <row r="14" spans="1:3" x14ac:dyDescent="0.3">
      <c r="A14" s="29"/>
      <c r="B14" s="31" t="s">
        <v>33</v>
      </c>
      <c r="C14" s="35">
        <f>SUMIFS(CashBook!$F:$F, CashBook!$D:$D, "Operating",
        CashBook!$C:$C, "Salaries",
        CashBook!$A:$A, "&gt;="&amp;$B$1,
        CashBook!$A:$A, "&lt;="&amp;$B$2)</f>
        <v>12000</v>
      </c>
    </row>
    <row r="15" spans="1:3" x14ac:dyDescent="0.3">
      <c r="A15" s="29"/>
      <c r="B15" s="31" t="s">
        <v>34</v>
      </c>
      <c r="C15" s="35">
        <f>SUMIFS(CashBook!$F:$F, CashBook!$D:$D, "Operating",
        CashBook!$C:$C, "Rent",
        CashBook!$A:$A, "&gt;="&amp;$B$1,
        CashBook!$A:$A, "&lt;="&amp;$B$2)</f>
        <v>8000</v>
      </c>
    </row>
    <row r="16" spans="1:3" x14ac:dyDescent="0.3">
      <c r="A16" s="29"/>
      <c r="B16" s="31" t="s">
        <v>35</v>
      </c>
      <c r="C16" s="35">
        <f>SUMIFS(CashBook!$F:$F, CashBook!$D:$D, "Operating",
        CashBook!$C:$C, "Utilities &amp; Internet",
        CashBook!$A:$A, "&gt;="&amp;$B$1,
        CashBook!$A:$A, "&lt;="&amp;$B$2)</f>
        <v>3500</v>
      </c>
    </row>
    <row r="17" spans="1:3" x14ac:dyDescent="0.3">
      <c r="A17" s="29"/>
      <c r="B17" s="31" t="s">
        <v>116</v>
      </c>
      <c r="C17" s="35">
        <f>SUMIFS(CashBook!$F:$F, CashBook!$D:$D, "Operating",
        CashBook!$C:$C, "Office/Admin",
        CashBook!$A:$A, "&gt;="&amp;$B$1,
        CashBook!$A:$A, "&lt;="&amp;$B$2)</f>
        <v>2000</v>
      </c>
    </row>
    <row r="18" spans="1:3" x14ac:dyDescent="0.3">
      <c r="A18" s="34"/>
      <c r="B18" s="30" t="s">
        <v>37</v>
      </c>
      <c r="C18" s="37">
        <f>SUMIFS(CashBook!$F:$F, CashBook!$D:$D, "Operating",
        CashBook!$C:$C, "Misc. Expenses",
        CashBook!$A:$A, "&gt;="&amp;$B$1,
        CashBook!$A:$A, "&lt;="&amp;$B$2)</f>
        <v>1500</v>
      </c>
    </row>
    <row r="19" spans="1:3" x14ac:dyDescent="0.3">
      <c r="A19" s="29"/>
      <c r="B19" s="32" t="s">
        <v>117</v>
      </c>
      <c r="C19" s="36">
        <f>SUM(C14:C18)</f>
        <v>27000</v>
      </c>
    </row>
    <row r="20" spans="1:3" x14ac:dyDescent="0.3">
      <c r="A20" s="34"/>
      <c r="B20" s="30" t="s">
        <v>118</v>
      </c>
      <c r="C20" s="37">
        <v>0</v>
      </c>
    </row>
    <row r="21" spans="1:3" x14ac:dyDescent="0.3">
      <c r="A21" s="29"/>
      <c r="B21" s="32" t="s">
        <v>119</v>
      </c>
      <c r="C21" s="36">
        <f>C12+C19+C20</f>
        <v>29700</v>
      </c>
    </row>
    <row r="22" spans="1:3" x14ac:dyDescent="0.3">
      <c r="A22" s="25"/>
      <c r="B22" s="31"/>
      <c r="C22" s="20"/>
    </row>
    <row r="23" spans="1:3" x14ac:dyDescent="0.3">
      <c r="A23" s="29" t="s">
        <v>11</v>
      </c>
      <c r="B23" s="31"/>
      <c r="C23" s="35"/>
    </row>
    <row r="24" spans="1:3" x14ac:dyDescent="0.3">
      <c r="A24" s="34"/>
      <c r="B24" s="30" t="s">
        <v>120</v>
      </c>
      <c r="C24" s="37">
        <f>(C5+C6)-C12</f>
        <v>1200</v>
      </c>
    </row>
    <row r="25" spans="1:3" x14ac:dyDescent="0.3">
      <c r="A25" s="29"/>
      <c r="B25" s="31" t="s">
        <v>121</v>
      </c>
      <c r="C25" s="37">
        <f>C9-(C12+C19)</f>
        <v>-22100</v>
      </c>
    </row>
    <row r="26" spans="1:3" x14ac:dyDescent="0.3">
      <c r="A26" s="29"/>
      <c r="B26" s="31" t="s">
        <v>141</v>
      </c>
      <c r="C26" s="35">
        <f>C25-C20</f>
        <v>-22100</v>
      </c>
    </row>
    <row r="27" spans="1:3" x14ac:dyDescent="0.3">
      <c r="A27" s="29"/>
      <c r="B27" s="31" t="s">
        <v>142</v>
      </c>
      <c r="C27" s="35">
        <f>C30-C22</f>
        <v>0</v>
      </c>
    </row>
    <row r="28" spans="1:3" x14ac:dyDescent="0.3">
      <c r="A28" s="29"/>
      <c r="B28" s="31" t="s">
        <v>143</v>
      </c>
    </row>
    <row r="29" spans="1:3" x14ac:dyDescent="0.3">
      <c r="B29" s="38" t="s">
        <v>144</v>
      </c>
      <c r="C29" s="36">
        <f>C26-C27-C28</f>
        <v>-22100</v>
      </c>
    </row>
    <row r="30" spans="1:3" x14ac:dyDescent="0.3">
      <c r="A30" s="34"/>
      <c r="B30" s="31" t="s">
        <v>145</v>
      </c>
      <c r="C30" s="35"/>
    </row>
    <row r="31" spans="1:3" x14ac:dyDescent="0.3">
      <c r="A31" s="34"/>
      <c r="B31" s="38" t="s">
        <v>146</v>
      </c>
      <c r="C31" s="39">
        <f>C29-C30</f>
        <v>-22100</v>
      </c>
    </row>
    <row r="32" spans="1:3" x14ac:dyDescent="0.3">
      <c r="A32" s="34"/>
      <c r="C32" s="37"/>
    </row>
    <row r="33" spans="1:3" x14ac:dyDescent="0.3">
      <c r="A33" s="34"/>
      <c r="B33" s="30"/>
      <c r="C33" s="37"/>
    </row>
    <row r="34" spans="1:3" x14ac:dyDescent="0.3">
      <c r="B34" s="22" t="s">
        <v>25</v>
      </c>
    </row>
    <row r="35" spans="1:3" x14ac:dyDescent="0.3">
      <c r="B35" s="22" t="s">
        <v>19</v>
      </c>
    </row>
    <row r="36" spans="1:3" x14ac:dyDescent="0.3">
      <c r="B36" s="23" t="s">
        <v>20</v>
      </c>
    </row>
    <row r="37" spans="1:3" x14ac:dyDescent="0.3">
      <c r="B37" s="22"/>
    </row>
    <row r="38" spans="1:3" x14ac:dyDescent="0.3">
      <c r="B38" s="22" t="s">
        <v>21</v>
      </c>
    </row>
    <row r="39" spans="1:3" x14ac:dyDescent="0.3">
      <c r="B39" s="23" t="s">
        <v>22</v>
      </c>
    </row>
    <row r="40" spans="1:3" x14ac:dyDescent="0.3">
      <c r="B40" s="22"/>
    </row>
    <row r="41" spans="1:3" x14ac:dyDescent="0.3">
      <c r="B41" s="22" t="s">
        <v>23</v>
      </c>
    </row>
    <row r="42" spans="1:3" x14ac:dyDescent="0.3">
      <c r="B42" s="24" t="s">
        <v>24</v>
      </c>
    </row>
    <row r="43" spans="1:3" x14ac:dyDescent="0.3">
      <c r="B43" s="21"/>
    </row>
  </sheetData>
  <mergeCells count="1">
    <mergeCell ref="C1:C2"/>
  </mergeCells>
  <printOptions horizontalCentered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5"/>
  <sheetViews>
    <sheetView view="pageBreakPreview" zoomScaleNormal="100" zoomScaleSheetLayoutView="100" workbookViewId="0">
      <selection activeCell="C41" sqref="C41"/>
    </sheetView>
  </sheetViews>
  <sheetFormatPr defaultRowHeight="16.5" x14ac:dyDescent="0.3"/>
  <cols>
    <col min="1" max="1" width="6.140625" style="17" customWidth="1"/>
    <col min="2" max="2" width="4" style="17" customWidth="1"/>
    <col min="3" max="3" width="44.7109375" style="17" customWidth="1"/>
    <col min="4" max="4" width="19" style="16" customWidth="1"/>
    <col min="5" max="5" width="9.140625" style="16"/>
    <col min="6" max="6" width="5.140625" style="16" customWidth="1"/>
    <col min="7" max="7" width="6.140625" style="16" customWidth="1"/>
    <col min="8" max="16384" width="9.140625" style="16"/>
  </cols>
  <sheetData>
    <row r="1" spans="1:4" ht="15" customHeight="1" x14ac:dyDescent="0.3">
      <c r="A1" s="32"/>
      <c r="B1" s="32"/>
      <c r="C1" s="32" t="s">
        <v>12</v>
      </c>
      <c r="D1" s="5">
        <v>46082</v>
      </c>
    </row>
    <row r="2" spans="1:4" ht="15" customHeight="1" x14ac:dyDescent="0.3">
      <c r="A2" s="32"/>
      <c r="B2" s="32"/>
      <c r="C2" s="32" t="s">
        <v>13</v>
      </c>
      <c r="D2" s="5">
        <v>46112</v>
      </c>
    </row>
    <row r="3" spans="1:4" ht="22.5" customHeight="1" x14ac:dyDescent="0.3">
      <c r="A3" s="1"/>
      <c r="B3" s="1"/>
      <c r="C3" s="26" t="s">
        <v>58</v>
      </c>
      <c r="D3" s="1"/>
    </row>
    <row r="4" spans="1:4" x14ac:dyDescent="0.3">
      <c r="A4" s="34" t="s">
        <v>2</v>
      </c>
      <c r="B4" s="30"/>
      <c r="C4" s="31"/>
      <c r="D4" s="31" t="s">
        <v>122</v>
      </c>
    </row>
    <row r="5" spans="1:4" x14ac:dyDescent="0.3">
      <c r="A5" s="18"/>
      <c r="B5" s="34" t="s">
        <v>49</v>
      </c>
      <c r="C5" s="31"/>
      <c r="D5" s="19"/>
    </row>
    <row r="6" spans="1:4" x14ac:dyDescent="0.3">
      <c r="A6" s="32"/>
      <c r="B6" s="32"/>
      <c r="C6" s="31" t="s">
        <v>47</v>
      </c>
      <c r="D6" s="40">
        <f>CashFlowStatement!C34</f>
        <v>0</v>
      </c>
    </row>
    <row r="7" spans="1:4" x14ac:dyDescent="0.3">
      <c r="A7" s="32"/>
      <c r="B7" s="32"/>
      <c r="C7" s="31" t="s">
        <v>48</v>
      </c>
      <c r="D7" s="40">
        <f>CashFlowStatement!C35</f>
        <v>0</v>
      </c>
    </row>
    <row r="8" spans="1:4" ht="11.25" customHeight="1" x14ac:dyDescent="0.3">
      <c r="A8" s="32"/>
      <c r="B8" s="32"/>
      <c r="C8" s="31"/>
      <c r="D8" s="39"/>
    </row>
    <row r="9" spans="1:4" x14ac:dyDescent="0.3">
      <c r="A9" s="18"/>
      <c r="B9" s="34" t="s">
        <v>50</v>
      </c>
      <c r="C9" s="34"/>
      <c r="D9" s="19"/>
    </row>
    <row r="10" spans="1:4" x14ac:dyDescent="0.3">
      <c r="A10" s="32"/>
      <c r="B10" s="32"/>
      <c r="C10" s="31" t="s">
        <v>60</v>
      </c>
      <c r="D10" s="40">
        <f>[1]Portfolio!$K$2</f>
        <v>332091.93122807232</v>
      </c>
    </row>
    <row r="11" spans="1:4" ht="11.25" customHeight="1" x14ac:dyDescent="0.3">
      <c r="A11" s="32"/>
      <c r="B11" s="32"/>
      <c r="C11" s="31" t="s">
        <v>62</v>
      </c>
      <c r="D11" s="40">
        <v>120</v>
      </c>
    </row>
    <row r="12" spans="1:4" x14ac:dyDescent="0.3">
      <c r="A12" s="18"/>
      <c r="B12" s="34" t="s">
        <v>51</v>
      </c>
      <c r="C12" s="31"/>
      <c r="D12" s="19"/>
    </row>
    <row r="13" spans="1:4" x14ac:dyDescent="0.3">
      <c r="A13" s="32"/>
      <c r="B13" s="32"/>
      <c r="C13" s="31" t="s">
        <v>64</v>
      </c>
      <c r="D13" s="40">
        <f>SUMIFS(CashBook!$F:$F, CashBook!$D:$D,"Investing",
        CashBook!$C:$C,"Asset Purchase",
        CashBook!$A:$A,"&lt;"&amp;$D$1)
-
SUMIFS(CashBook!$E:$E, CashBook!$D:$D,"Investing",
        CashBook!$C:$C,"Sale of Asset",
        CashBook!$A:$A,"&lt;"&amp;$D$1)</f>
        <v>20000</v>
      </c>
    </row>
    <row r="14" spans="1:4" x14ac:dyDescent="0.3">
      <c r="A14" s="32"/>
      <c r="B14" s="32"/>
      <c r="C14" s="31" t="s">
        <v>66</v>
      </c>
      <c r="D14" s="40">
        <f>SUMIFS(CashBook!$F:$F, CashBook!$D:$D,"Investing",
        CashBook!$C:$C,"Asset Purchase",
        CashBook!$A:$A,"&gt;="&amp;$D$1,
        CashBook!$A:$A,"&lt;="&amp;$D$2)</f>
        <v>0</v>
      </c>
    </row>
    <row r="15" spans="1:4" x14ac:dyDescent="0.3">
      <c r="A15" s="32"/>
      <c r="B15" s="32"/>
      <c r="C15" s="31" t="s">
        <v>59</v>
      </c>
      <c r="D15" s="40">
        <f>SUMIFS(CashBook!$E:$E, CashBook!$D:$D,"Investing",
        CashBook!$C:$C,"Sale of Asset",
        CashBook!$A:$A,"&gt;="&amp;$D$1,
        CashBook!$A:$A,"&lt;="&amp;$D$2)</f>
        <v>0</v>
      </c>
    </row>
    <row r="16" spans="1:4" x14ac:dyDescent="0.3">
      <c r="A16" s="32"/>
      <c r="B16" s="32"/>
      <c r="C16" s="31" t="s">
        <v>61</v>
      </c>
      <c r="D16" s="40"/>
    </row>
    <row r="17" spans="1:4" x14ac:dyDescent="0.3">
      <c r="A17" s="32"/>
      <c r="B17" s="32"/>
      <c r="C17" s="32" t="s">
        <v>63</v>
      </c>
      <c r="D17" s="41">
        <f>D7+D10+D11+D13+D14+D15+D16</f>
        <v>352211.93122807232</v>
      </c>
    </row>
    <row r="18" spans="1:4" ht="11.25" customHeight="1" x14ac:dyDescent="0.3">
      <c r="A18" s="32"/>
      <c r="B18" s="32"/>
      <c r="C18" s="31"/>
      <c r="D18" s="40"/>
    </row>
    <row r="19" spans="1:4" x14ac:dyDescent="0.3">
      <c r="A19" s="34" t="s">
        <v>1</v>
      </c>
      <c r="B19" s="30"/>
      <c r="C19" s="31"/>
      <c r="D19" s="30"/>
    </row>
    <row r="20" spans="1:4" x14ac:dyDescent="0.3">
      <c r="A20" s="18"/>
      <c r="B20" s="34" t="s">
        <v>3</v>
      </c>
      <c r="C20" s="31"/>
      <c r="D20" s="19"/>
    </row>
    <row r="21" spans="1:4" x14ac:dyDescent="0.3">
      <c r="A21" s="32"/>
      <c r="B21" s="32"/>
      <c r="C21" s="31" t="s">
        <v>65</v>
      </c>
      <c r="D21" s="40">
        <f>SUMIFS(CashBook!$E:$E, CashBook!$D:$D,"Financing",
        CashBook!$C:$C,"Borrowing",
        CashBook!$A:$A,"&lt;"&amp;$D$1)
-
SUMIFS(CashBook!$F:$F, CashBook!$D:$D,"Financing",
        CashBook!$C:$C,"Repayment",
        CashBook!$A:$A,"&lt;"&amp;$D$1)</f>
        <v>985000</v>
      </c>
    </row>
    <row r="22" spans="1:4" x14ac:dyDescent="0.3">
      <c r="A22" s="32"/>
      <c r="B22" s="32"/>
      <c r="C22" s="31" t="s">
        <v>67</v>
      </c>
      <c r="D22" s="40">
        <f>SUMIFS(
    CashBook!$B:$B,
    CashBook!$D:$D,"Financing",
    CashBook!$C:$C,"Borrowing",
    CashBook!$A:$A,"&gt;="&amp;$D$1,
    CashBook!$A:$A,"&lt;="&amp;$D$2
)</f>
        <v>0</v>
      </c>
    </row>
    <row r="23" spans="1:4" x14ac:dyDescent="0.3">
      <c r="A23" s="32"/>
      <c r="B23" s="32"/>
      <c r="C23" s="31" t="s">
        <v>68</v>
      </c>
      <c r="D23" s="40">
        <f>SUMIFS(
    CashBook!$F:$F,
    CashBook!$D:$D,"Financing",
    CashBook!$C:$C,"Repayment",
    CashBook!$A:$A,"&gt;="&amp;$D$1,
    CashBook!$A:$A,"&lt;="&amp;$D$2
)</f>
        <v>0</v>
      </c>
    </row>
    <row r="24" spans="1:4" x14ac:dyDescent="0.3">
      <c r="A24" s="32"/>
      <c r="B24" s="32"/>
      <c r="C24" s="32" t="s">
        <v>69</v>
      </c>
      <c r="D24" s="41">
        <f>D21+D22-D23</f>
        <v>985000</v>
      </c>
    </row>
    <row r="25" spans="1:4" ht="11.25" customHeight="1" x14ac:dyDescent="0.3">
      <c r="A25" s="32"/>
      <c r="B25" s="32"/>
      <c r="C25" s="31"/>
      <c r="D25" s="40"/>
    </row>
    <row r="26" spans="1:4" x14ac:dyDescent="0.3">
      <c r="A26" s="18"/>
      <c r="B26" s="34" t="s">
        <v>52</v>
      </c>
      <c r="C26" s="31"/>
      <c r="D26" s="19"/>
    </row>
    <row r="27" spans="1:4" x14ac:dyDescent="0.3">
      <c r="A27" s="32"/>
      <c r="B27" s="32"/>
      <c r="C27" s="31" t="s">
        <v>70</v>
      </c>
      <c r="D27" s="40">
        <f>SUMIFS(
    CashBook!$E:$E,
    CashBook!$D:$D,"Financing",
    CashBook!$C:$C,"Capital Injection",
    CashBook!$A:$A,"&lt;"&amp;$D$1
)</f>
        <v>500000</v>
      </c>
    </row>
    <row r="28" spans="1:4" x14ac:dyDescent="0.3">
      <c r="A28" s="32"/>
      <c r="B28" s="32"/>
      <c r="C28" s="31" t="s">
        <v>71</v>
      </c>
      <c r="D28" s="40">
        <f>SUMIFS(
    CashBook!$E:$E,
    CashBook!$D:$D,"Financing",
    CashBook!$C:$C,"Capital Injection",
    CashBook!$A:$A,"&gt;="&amp;$D$1,
    CashBook!$A:$A,"&lt;="&amp;$D$2
)</f>
        <v>0</v>
      </c>
    </row>
    <row r="29" spans="1:4" x14ac:dyDescent="0.3">
      <c r="A29" s="32"/>
      <c r="B29" s="32"/>
      <c r="C29" s="38" t="s">
        <v>138</v>
      </c>
      <c r="D29" s="41">
        <f>D27+D28</f>
        <v>500000</v>
      </c>
    </row>
    <row r="30" spans="1:4" ht="11.25" customHeight="1" x14ac:dyDescent="0.3">
      <c r="A30" s="38"/>
      <c r="B30" s="38"/>
      <c r="C30" s="38"/>
      <c r="D30" s="41"/>
    </row>
    <row r="31" spans="1:4" x14ac:dyDescent="0.3">
      <c r="A31" s="18"/>
      <c r="B31" s="34" t="s">
        <v>53</v>
      </c>
      <c r="C31" s="31"/>
      <c r="D31" s="19"/>
    </row>
    <row r="32" spans="1:4" x14ac:dyDescent="0.3">
      <c r="A32" s="32"/>
      <c r="B32" s="32"/>
      <c r="C32" s="31" t="s">
        <v>136</v>
      </c>
      <c r="D32" s="40"/>
    </row>
    <row r="33" spans="1:4" x14ac:dyDescent="0.3">
      <c r="A33" s="32"/>
      <c r="B33" s="32"/>
      <c r="C33" s="31" t="s">
        <v>54</v>
      </c>
      <c r="D33" s="40"/>
    </row>
    <row r="34" spans="1:4" x14ac:dyDescent="0.3">
      <c r="A34" s="32"/>
      <c r="B34" s="32"/>
      <c r="C34" s="38" t="s">
        <v>137</v>
      </c>
      <c r="D34" s="41">
        <f>D32+D33</f>
        <v>0</v>
      </c>
    </row>
    <row r="35" spans="1:4" x14ac:dyDescent="0.3">
      <c r="A35" s="38"/>
      <c r="B35" s="38"/>
      <c r="C35" s="38"/>
      <c r="D35" s="40"/>
    </row>
    <row r="36" spans="1:4" x14ac:dyDescent="0.3">
      <c r="A36" s="32"/>
      <c r="B36" s="32"/>
      <c r="C36" s="32" t="s">
        <v>139</v>
      </c>
      <c r="D36" s="41">
        <f>D24+D29+D34</f>
        <v>1485000</v>
      </c>
    </row>
    <row r="37" spans="1:4" ht="11.25" customHeight="1" x14ac:dyDescent="0.3">
      <c r="A37" s="32"/>
      <c r="B37" s="32"/>
      <c r="C37" s="31"/>
      <c r="D37" s="40"/>
    </row>
    <row r="38" spans="1:4" x14ac:dyDescent="0.3">
      <c r="A38" s="34" t="s">
        <v>55</v>
      </c>
      <c r="B38" s="30"/>
      <c r="C38" s="31"/>
      <c r="D38" s="30"/>
    </row>
    <row r="39" spans="1:4" s="45" customFormat="1" x14ac:dyDescent="0.3">
      <c r="A39" s="43"/>
      <c r="C39" s="31" t="s">
        <v>148</v>
      </c>
      <c r="D39" s="44">
        <f>D29</f>
        <v>500000</v>
      </c>
    </row>
    <row r="40" spans="1:4" s="45" customFormat="1" x14ac:dyDescent="0.3">
      <c r="A40" s="43"/>
      <c r="C40" s="31" t="s">
        <v>147</v>
      </c>
      <c r="D40" s="44">
        <f>IncomeStatement!C31</f>
        <v>-22100</v>
      </c>
    </row>
    <row r="41" spans="1:4" s="45" customFormat="1" x14ac:dyDescent="0.3">
      <c r="A41" s="43"/>
      <c r="B41" s="43"/>
      <c r="C41" s="31"/>
      <c r="D41" s="44"/>
    </row>
    <row r="42" spans="1:4" s="45" customFormat="1" x14ac:dyDescent="0.3">
      <c r="A42" s="43"/>
      <c r="B42" s="43"/>
      <c r="C42" s="42"/>
      <c r="D42" s="44"/>
    </row>
    <row r="43" spans="1:4" x14ac:dyDescent="0.3">
      <c r="A43" s="32"/>
      <c r="B43" s="32"/>
      <c r="C43" s="32" t="s">
        <v>140</v>
      </c>
      <c r="D43" s="40">
        <f>D39+D40</f>
        <v>477900</v>
      </c>
    </row>
    <row r="44" spans="1:4" x14ac:dyDescent="0.3">
      <c r="A44" s="32"/>
      <c r="B44" s="32"/>
      <c r="C44" s="32"/>
      <c r="D44" s="40"/>
    </row>
    <row r="45" spans="1:4" x14ac:dyDescent="0.3">
      <c r="A45" s="18"/>
      <c r="B45" s="15"/>
      <c r="C45" s="19"/>
      <c r="D45" s="19"/>
    </row>
  </sheetData>
  <printOptions horizontalCentered="1"/>
  <pageMargins left="0.7" right="0.7" top="0.75" bottom="0.75" header="0.3" footer="0.3"/>
  <pageSetup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selection activeCell="B2" sqref="B2"/>
    </sheetView>
  </sheetViews>
  <sheetFormatPr defaultRowHeight="16.5" x14ac:dyDescent="0.3"/>
  <cols>
    <col min="1" max="1" width="11.7109375" style="7" customWidth="1"/>
    <col min="2" max="2" width="33.85546875" style="12" customWidth="1"/>
    <col min="3" max="3" width="62.5703125" style="7" customWidth="1"/>
    <col min="4" max="16384" width="9.140625" style="7"/>
  </cols>
  <sheetData>
    <row r="1" spans="1:3" ht="27" customHeight="1" x14ac:dyDescent="0.3">
      <c r="A1" s="6" t="s">
        <v>72</v>
      </c>
      <c r="B1" s="1" t="s">
        <v>73</v>
      </c>
      <c r="C1" s="6" t="s">
        <v>74</v>
      </c>
    </row>
    <row r="2" spans="1:3" ht="33" x14ac:dyDescent="0.3">
      <c r="A2" s="2" t="s">
        <v>75</v>
      </c>
      <c r="B2" s="4" t="s">
        <v>157</v>
      </c>
      <c r="C2" s="8" t="s">
        <v>76</v>
      </c>
    </row>
    <row r="3" spans="1:3" x14ac:dyDescent="0.3">
      <c r="A3" s="9" t="s">
        <v>75</v>
      </c>
      <c r="B3" s="10" t="s">
        <v>156</v>
      </c>
      <c r="C3" s="11" t="s">
        <v>77</v>
      </c>
    </row>
    <row r="4" spans="1:3" x14ac:dyDescent="0.3">
      <c r="A4" s="2" t="s">
        <v>75</v>
      </c>
      <c r="B4" s="4" t="s">
        <v>154</v>
      </c>
      <c r="C4" s="8" t="s">
        <v>78</v>
      </c>
    </row>
    <row r="5" spans="1:3" x14ac:dyDescent="0.3">
      <c r="A5" s="9" t="s">
        <v>75</v>
      </c>
      <c r="B5" s="10" t="s">
        <v>155</v>
      </c>
      <c r="C5" s="11" t="s">
        <v>77</v>
      </c>
    </row>
    <row r="6" spans="1:3" x14ac:dyDescent="0.3">
      <c r="A6" s="2" t="s">
        <v>75</v>
      </c>
      <c r="B6" s="4" t="s">
        <v>79</v>
      </c>
      <c r="C6" s="8" t="s">
        <v>78</v>
      </c>
    </row>
    <row r="7" spans="1:3" x14ac:dyDescent="0.3">
      <c r="A7" s="9" t="s">
        <v>75</v>
      </c>
      <c r="B7" s="10" t="s">
        <v>80</v>
      </c>
      <c r="C7" s="11"/>
    </row>
    <row r="8" spans="1:3" ht="33" x14ac:dyDescent="0.3">
      <c r="A8" s="2" t="s">
        <v>75</v>
      </c>
      <c r="B8" s="4" t="s">
        <v>81</v>
      </c>
      <c r="C8" s="8" t="s">
        <v>82</v>
      </c>
    </row>
    <row r="9" spans="1:3" ht="33" x14ac:dyDescent="0.3">
      <c r="A9" s="9" t="s">
        <v>75</v>
      </c>
      <c r="B9" s="10" t="s">
        <v>83</v>
      </c>
      <c r="C9" s="11" t="s">
        <v>84</v>
      </c>
    </row>
    <row r="10" spans="1:3" ht="33" x14ac:dyDescent="0.3">
      <c r="A10" s="2" t="s">
        <v>75</v>
      </c>
      <c r="B10" s="4" t="s">
        <v>85</v>
      </c>
      <c r="C10" s="8" t="s">
        <v>86</v>
      </c>
    </row>
    <row r="11" spans="1:3" x14ac:dyDescent="0.3">
      <c r="A11" s="9" t="s">
        <v>75</v>
      </c>
      <c r="B11" s="10" t="s">
        <v>15</v>
      </c>
      <c r="C11" s="11"/>
    </row>
    <row r="12" spans="1:3" x14ac:dyDescent="0.3">
      <c r="A12" s="2" t="s">
        <v>75</v>
      </c>
      <c r="B12" s="4" t="s">
        <v>16</v>
      </c>
      <c r="C12" s="8"/>
    </row>
    <row r="13" spans="1:3" x14ac:dyDescent="0.3">
      <c r="A13" s="9" t="s">
        <v>75</v>
      </c>
      <c r="B13" s="10" t="s">
        <v>4</v>
      </c>
      <c r="C13" s="11"/>
    </row>
    <row r="14" spans="1:3" x14ac:dyDescent="0.3">
      <c r="A14" s="2" t="s">
        <v>75</v>
      </c>
      <c r="B14" s="4" t="s">
        <v>5</v>
      </c>
      <c r="C14" s="8"/>
    </row>
    <row r="15" spans="1:3" x14ac:dyDescent="0.3">
      <c r="A15" s="9" t="s">
        <v>75</v>
      </c>
      <c r="B15" s="10" t="s">
        <v>17</v>
      </c>
      <c r="C15" s="11"/>
    </row>
    <row r="16" spans="1:3" x14ac:dyDescent="0.3">
      <c r="A16" s="2" t="s">
        <v>75</v>
      </c>
      <c r="B16" s="4" t="s">
        <v>85</v>
      </c>
      <c r="C16" s="8"/>
    </row>
    <row r="17" spans="1:3" x14ac:dyDescent="0.3">
      <c r="A17" s="9" t="s">
        <v>87</v>
      </c>
      <c r="B17" s="10" t="s">
        <v>88</v>
      </c>
      <c r="C17" s="11" t="s">
        <v>89</v>
      </c>
    </row>
    <row r="18" spans="1:3" x14ac:dyDescent="0.3">
      <c r="A18" s="2" t="s">
        <v>87</v>
      </c>
      <c r="B18" s="4" t="s">
        <v>105</v>
      </c>
      <c r="C18" s="8"/>
    </row>
    <row r="19" spans="1:3" x14ac:dyDescent="0.3">
      <c r="A19" s="9" t="s">
        <v>87</v>
      </c>
      <c r="B19" s="10" t="s">
        <v>90</v>
      </c>
      <c r="C19" s="11" t="s">
        <v>91</v>
      </c>
    </row>
    <row r="20" spans="1:3" x14ac:dyDescent="0.3">
      <c r="A20" s="2" t="s">
        <v>87</v>
      </c>
      <c r="B20" s="4" t="s">
        <v>92</v>
      </c>
      <c r="C20" s="8" t="s">
        <v>93</v>
      </c>
    </row>
    <row r="21" spans="1:3" x14ac:dyDescent="0.3">
      <c r="A21" s="9" t="s">
        <v>94</v>
      </c>
      <c r="B21" s="10" t="s">
        <v>95</v>
      </c>
      <c r="C21" s="11" t="s">
        <v>96</v>
      </c>
    </row>
    <row r="22" spans="1:3" x14ac:dyDescent="0.3">
      <c r="A22" s="2" t="s">
        <v>94</v>
      </c>
      <c r="B22" s="4" t="s">
        <v>97</v>
      </c>
      <c r="C22" s="8" t="s">
        <v>98</v>
      </c>
    </row>
    <row r="23" spans="1:3" ht="33" x14ac:dyDescent="0.3">
      <c r="A23" s="9" t="s">
        <v>94</v>
      </c>
      <c r="B23" s="10" t="s">
        <v>99</v>
      </c>
      <c r="C23" s="11" t="s">
        <v>100</v>
      </c>
    </row>
    <row r="24" spans="1:3" x14ac:dyDescent="0.3">
      <c r="A24" s="2" t="s">
        <v>11</v>
      </c>
      <c r="B24" s="4" t="s">
        <v>101</v>
      </c>
      <c r="C24" s="8" t="s">
        <v>102</v>
      </c>
    </row>
    <row r="25" spans="1:3" x14ac:dyDescent="0.3">
      <c r="A25" s="9" t="s">
        <v>11</v>
      </c>
      <c r="B25" s="10" t="s">
        <v>103</v>
      </c>
      <c r="C25" s="11" t="s">
        <v>104</v>
      </c>
    </row>
    <row r="26" spans="1:3" x14ac:dyDescent="0.3">
      <c r="A26" s="2"/>
      <c r="B26" s="4"/>
      <c r="C26" s="8"/>
    </row>
    <row r="27" spans="1:3" x14ac:dyDescent="0.3">
      <c r="A27" s="9"/>
      <c r="B27" s="10"/>
      <c r="C27" s="11"/>
    </row>
    <row r="28" spans="1:3" x14ac:dyDescent="0.3">
      <c r="A28" s="2"/>
      <c r="B28" s="4"/>
      <c r="C28" s="8"/>
    </row>
    <row r="29" spans="1:3" x14ac:dyDescent="0.3">
      <c r="A29" s="9"/>
      <c r="B29" s="10"/>
      <c r="C29" s="11"/>
    </row>
    <row r="30" spans="1:3" x14ac:dyDescent="0.3">
      <c r="A30" s="2"/>
      <c r="B30" s="4"/>
      <c r="C30" s="8"/>
    </row>
    <row r="31" spans="1:3" x14ac:dyDescent="0.3">
      <c r="A31" s="9"/>
      <c r="B31" s="10"/>
      <c r="C31" s="11"/>
    </row>
    <row r="32" spans="1:3" x14ac:dyDescent="0.3">
      <c r="A32" s="2"/>
      <c r="B32" s="4"/>
      <c r="C32" s="8"/>
    </row>
    <row r="33" spans="1:3" x14ac:dyDescent="0.3">
      <c r="A33" s="9"/>
      <c r="B33" s="10"/>
      <c r="C33" s="11"/>
    </row>
    <row r="34" spans="1:3" x14ac:dyDescent="0.3">
      <c r="A34" s="2"/>
      <c r="B34" s="4"/>
      <c r="C34" s="8"/>
    </row>
    <row r="35" spans="1:3" x14ac:dyDescent="0.3">
      <c r="A35" s="9"/>
      <c r="B35" s="10"/>
      <c r="C35" s="11"/>
    </row>
    <row r="36" spans="1:3" x14ac:dyDescent="0.3">
      <c r="A36" s="2"/>
      <c r="B36" s="4"/>
      <c r="C36" s="8"/>
    </row>
    <row r="37" spans="1:3" x14ac:dyDescent="0.3">
      <c r="A37" s="9"/>
      <c r="B37" s="10"/>
      <c r="C37" s="11"/>
    </row>
    <row r="38" spans="1:3" x14ac:dyDescent="0.3">
      <c r="A38" s="2"/>
      <c r="B38" s="4"/>
      <c r="C38" s="8"/>
    </row>
    <row r="39" spans="1:3" x14ac:dyDescent="0.3">
      <c r="A39" s="9"/>
      <c r="B39" s="10"/>
      <c r="C39" s="11"/>
    </row>
    <row r="40" spans="1:3" x14ac:dyDescent="0.3">
      <c r="A40" s="2"/>
      <c r="B40" s="4"/>
      <c r="C40" s="8"/>
    </row>
    <row r="41" spans="1:3" x14ac:dyDescent="0.3">
      <c r="A41" s="9"/>
      <c r="B41" s="10"/>
      <c r="C41" s="11"/>
    </row>
    <row r="42" spans="1:3" x14ac:dyDescent="0.3">
      <c r="A42" s="2"/>
      <c r="B42" s="4"/>
      <c r="C42" s="8"/>
    </row>
    <row r="43" spans="1:3" x14ac:dyDescent="0.3">
      <c r="A43" s="9"/>
      <c r="B43" s="10"/>
      <c r="C43" s="11"/>
    </row>
    <row r="44" spans="1:3" x14ac:dyDescent="0.3">
      <c r="A44" s="2"/>
      <c r="B44" s="4"/>
      <c r="C44" s="8"/>
    </row>
    <row r="45" spans="1:3" x14ac:dyDescent="0.3">
      <c r="A45" s="9"/>
      <c r="B45" s="10"/>
      <c r="C45" s="11"/>
    </row>
    <row r="46" spans="1:3" x14ac:dyDescent="0.3">
      <c r="A46" s="2"/>
      <c r="B46" s="4"/>
      <c r="C46" s="8"/>
    </row>
    <row r="47" spans="1:3" x14ac:dyDescent="0.3">
      <c r="A47" s="9"/>
      <c r="B47" s="10"/>
      <c r="C47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topLeftCell="A7" zoomScale="85" zoomScaleNormal="85" workbookViewId="0">
      <selection activeCell="F8" sqref="F8"/>
    </sheetView>
  </sheetViews>
  <sheetFormatPr defaultRowHeight="16.5" x14ac:dyDescent="0.3"/>
  <cols>
    <col min="1" max="1" width="15.28515625" style="3" customWidth="1"/>
    <col min="2" max="2" width="16.140625" style="3" customWidth="1"/>
    <col min="3" max="3" width="27.28515625" style="3" customWidth="1"/>
    <col min="4" max="4" width="16.7109375" style="3" customWidth="1"/>
    <col min="5" max="6" width="19.140625" style="3" customWidth="1"/>
    <col min="7" max="7" width="19.5703125" style="3" customWidth="1"/>
    <col min="8" max="16384" width="9.140625" style="3"/>
  </cols>
  <sheetData>
    <row r="1" spans="1:7" x14ac:dyDescent="0.3">
      <c r="A1" s="6" t="s">
        <v>106</v>
      </c>
      <c r="B1" s="6" t="s">
        <v>107</v>
      </c>
      <c r="C1" s="6" t="s">
        <v>108</v>
      </c>
      <c r="D1" s="6" t="s">
        <v>72</v>
      </c>
      <c r="E1" s="6" t="s">
        <v>109</v>
      </c>
      <c r="F1" s="6" t="s">
        <v>110</v>
      </c>
      <c r="G1" s="6" t="s">
        <v>111</v>
      </c>
    </row>
    <row r="2" spans="1:7" x14ac:dyDescent="0.3">
      <c r="A2" s="9"/>
      <c r="B2" s="10"/>
      <c r="C2" s="10"/>
      <c r="D2" s="10"/>
      <c r="E2" s="10"/>
      <c r="F2" s="10"/>
      <c r="G2" s="10"/>
    </row>
    <row r="3" spans="1:7" x14ac:dyDescent="0.3">
      <c r="A3" s="2">
        <v>46023</v>
      </c>
      <c r="B3" s="13" t="s">
        <v>123</v>
      </c>
      <c r="C3" s="4" t="s">
        <v>97</v>
      </c>
      <c r="D3" s="4" t="s">
        <v>94</v>
      </c>
      <c r="E3" s="4">
        <v>500000</v>
      </c>
      <c r="F3" s="4"/>
      <c r="G3" s="4">
        <v>25000</v>
      </c>
    </row>
    <row r="4" spans="1:7" x14ac:dyDescent="0.3">
      <c r="A4" s="9">
        <v>46027</v>
      </c>
      <c r="B4" s="14" t="s">
        <v>124</v>
      </c>
      <c r="C4" s="10" t="s">
        <v>95</v>
      </c>
      <c r="D4" s="10" t="s">
        <v>94</v>
      </c>
      <c r="E4" s="10">
        <v>1000000</v>
      </c>
      <c r="F4" s="10"/>
      <c r="G4" s="10">
        <v>65000</v>
      </c>
    </row>
    <row r="5" spans="1:7" x14ac:dyDescent="0.3">
      <c r="A5" s="2">
        <v>46031</v>
      </c>
      <c r="B5" s="13" t="s">
        <v>125</v>
      </c>
      <c r="C5" s="4" t="s">
        <v>157</v>
      </c>
      <c r="D5" s="4" t="s">
        <v>75</v>
      </c>
      <c r="E5" s="4"/>
      <c r="F5" s="4">
        <v>10000</v>
      </c>
      <c r="G5" s="4">
        <v>50000</v>
      </c>
    </row>
    <row r="6" spans="1:7" x14ac:dyDescent="0.3">
      <c r="A6" s="9">
        <v>46032</v>
      </c>
      <c r="B6" s="14" t="s">
        <v>126</v>
      </c>
      <c r="C6" s="10" t="s">
        <v>156</v>
      </c>
      <c r="D6" s="10" t="s">
        <v>75</v>
      </c>
      <c r="E6" s="10"/>
      <c r="F6" s="10">
        <v>20000</v>
      </c>
      <c r="G6" s="10">
        <v>30000</v>
      </c>
    </row>
    <row r="7" spans="1:7" x14ac:dyDescent="0.3">
      <c r="A7" s="2">
        <v>46032</v>
      </c>
      <c r="B7" s="13" t="s">
        <v>125</v>
      </c>
      <c r="C7" s="4" t="s">
        <v>99</v>
      </c>
      <c r="D7" s="4" t="s">
        <v>94</v>
      </c>
      <c r="E7" s="4"/>
      <c r="F7" s="4">
        <v>15000</v>
      </c>
      <c r="G7" s="4">
        <v>50000</v>
      </c>
    </row>
    <row r="8" spans="1:7" x14ac:dyDescent="0.3">
      <c r="A8" s="9">
        <v>46037</v>
      </c>
      <c r="B8" s="14" t="s">
        <v>126</v>
      </c>
      <c r="C8" s="10" t="s">
        <v>90</v>
      </c>
      <c r="D8" s="10" t="s">
        <v>87</v>
      </c>
      <c r="E8" s="10"/>
      <c r="F8" s="10">
        <v>20000</v>
      </c>
      <c r="G8" s="10">
        <v>30000</v>
      </c>
    </row>
    <row r="9" spans="1:7" x14ac:dyDescent="0.3">
      <c r="A9" s="2">
        <v>46042</v>
      </c>
      <c r="B9" s="13" t="s">
        <v>127</v>
      </c>
      <c r="C9" s="4" t="s">
        <v>15</v>
      </c>
      <c r="D9" s="4" t="s">
        <v>75</v>
      </c>
      <c r="E9" s="4"/>
      <c r="F9" s="4">
        <v>12000</v>
      </c>
      <c r="G9" s="4">
        <v>18000</v>
      </c>
    </row>
    <row r="10" spans="1:7" x14ac:dyDescent="0.3">
      <c r="A10" s="9">
        <v>46047</v>
      </c>
      <c r="B10" s="14" t="s">
        <v>128</v>
      </c>
      <c r="C10" s="10" t="s">
        <v>16</v>
      </c>
      <c r="D10" s="10" t="s">
        <v>75</v>
      </c>
      <c r="E10" s="10"/>
      <c r="F10" s="10">
        <v>8000</v>
      </c>
      <c r="G10" s="10">
        <v>10000</v>
      </c>
    </row>
    <row r="11" spans="1:7" x14ac:dyDescent="0.3">
      <c r="A11" s="2">
        <v>46052</v>
      </c>
      <c r="B11" s="13" t="s">
        <v>129</v>
      </c>
      <c r="C11" s="4" t="s">
        <v>4</v>
      </c>
      <c r="D11" s="4" t="s">
        <v>75</v>
      </c>
      <c r="E11" s="4"/>
      <c r="F11" s="4">
        <v>3500</v>
      </c>
      <c r="G11" s="4">
        <v>6500</v>
      </c>
    </row>
    <row r="12" spans="1:7" x14ac:dyDescent="0.3">
      <c r="A12" s="9">
        <v>46058</v>
      </c>
      <c r="B12" s="14" t="s">
        <v>130</v>
      </c>
      <c r="C12" s="10" t="s">
        <v>5</v>
      </c>
      <c r="D12" s="10" t="s">
        <v>75</v>
      </c>
      <c r="E12" s="10"/>
      <c r="F12" s="10">
        <v>2000</v>
      </c>
      <c r="G12" s="10">
        <v>4500</v>
      </c>
    </row>
    <row r="13" spans="1:7" x14ac:dyDescent="0.3">
      <c r="A13" s="2">
        <v>46063</v>
      </c>
      <c r="B13" s="13" t="s">
        <v>131</v>
      </c>
      <c r="C13" s="4" t="s">
        <v>17</v>
      </c>
      <c r="D13" s="4" t="s">
        <v>75</v>
      </c>
      <c r="E13" s="4"/>
      <c r="F13" s="4">
        <v>1500</v>
      </c>
      <c r="G13" s="4">
        <v>3000</v>
      </c>
    </row>
    <row r="14" spans="1:7" x14ac:dyDescent="0.3">
      <c r="A14" s="9">
        <v>46068</v>
      </c>
      <c r="B14" s="14" t="s">
        <v>132</v>
      </c>
      <c r="C14" s="10" t="s">
        <v>79</v>
      </c>
      <c r="D14" s="10" t="s">
        <v>75</v>
      </c>
      <c r="E14" s="10">
        <v>2200</v>
      </c>
      <c r="F14" s="10"/>
      <c r="G14" s="10">
        <v>5200</v>
      </c>
    </row>
    <row r="15" spans="1:7" x14ac:dyDescent="0.3">
      <c r="A15" s="2">
        <v>46073</v>
      </c>
      <c r="B15" s="13" t="s">
        <v>133</v>
      </c>
      <c r="C15" s="4" t="s">
        <v>81</v>
      </c>
      <c r="D15" s="4" t="s">
        <v>75</v>
      </c>
      <c r="E15" s="4">
        <v>200</v>
      </c>
      <c r="F15" s="4"/>
      <c r="G15" s="4">
        <v>5400</v>
      </c>
    </row>
    <row r="16" spans="1:7" x14ac:dyDescent="0.3">
      <c r="A16" s="9">
        <v>46078</v>
      </c>
      <c r="B16" s="14" t="s">
        <v>134</v>
      </c>
      <c r="C16" s="10" t="s">
        <v>83</v>
      </c>
      <c r="D16" s="10" t="s">
        <v>75</v>
      </c>
      <c r="E16" s="10">
        <v>3500</v>
      </c>
      <c r="F16" s="10"/>
      <c r="G16" s="10">
        <v>8900</v>
      </c>
    </row>
    <row r="17" spans="1:7" x14ac:dyDescent="0.3">
      <c r="A17" s="2">
        <v>46082</v>
      </c>
      <c r="B17" s="13" t="s">
        <v>135</v>
      </c>
      <c r="C17" s="4" t="s">
        <v>80</v>
      </c>
      <c r="D17" s="4" t="s">
        <v>75</v>
      </c>
      <c r="E17" s="4"/>
      <c r="F17" s="4">
        <v>2700</v>
      </c>
      <c r="G17" s="4">
        <v>6200</v>
      </c>
    </row>
    <row r="18" spans="1:7" x14ac:dyDescent="0.3">
      <c r="A18" s="9">
        <v>46082</v>
      </c>
      <c r="B18" s="14" t="s">
        <v>149</v>
      </c>
      <c r="C18" s="10" t="s">
        <v>157</v>
      </c>
      <c r="D18" s="10" t="s">
        <v>75</v>
      </c>
      <c r="E18" s="10">
        <v>700</v>
      </c>
      <c r="F18" s="10"/>
      <c r="G18" s="10">
        <v>5500</v>
      </c>
    </row>
    <row r="19" spans="1:7" x14ac:dyDescent="0.3">
      <c r="A19" s="2">
        <v>46082</v>
      </c>
      <c r="B19" s="13" t="s">
        <v>150</v>
      </c>
      <c r="C19" s="4" t="s">
        <v>156</v>
      </c>
      <c r="D19" s="4" t="s">
        <v>75</v>
      </c>
      <c r="E19" s="4">
        <v>1000</v>
      </c>
      <c r="F19" s="4"/>
      <c r="G19" s="4">
        <v>4500</v>
      </c>
    </row>
    <row r="20" spans="1:7" x14ac:dyDescent="0.3">
      <c r="A20" s="9">
        <v>46113</v>
      </c>
      <c r="B20" s="10" t="s">
        <v>151</v>
      </c>
      <c r="C20" s="10" t="s">
        <v>88</v>
      </c>
      <c r="D20" s="10" t="s">
        <v>87</v>
      </c>
      <c r="E20" s="10"/>
      <c r="F20" s="10">
        <v>120000</v>
      </c>
      <c r="G20" s="10">
        <v>4220</v>
      </c>
    </row>
    <row r="21" spans="1:7" x14ac:dyDescent="0.3">
      <c r="A21" s="2">
        <v>46357</v>
      </c>
      <c r="B21" s="4" t="s">
        <v>152</v>
      </c>
      <c r="C21" s="8" t="s">
        <v>105</v>
      </c>
      <c r="D21" s="4" t="s">
        <v>87</v>
      </c>
      <c r="E21" s="4">
        <v>42000</v>
      </c>
      <c r="F21" s="4"/>
      <c r="G21" s="4"/>
    </row>
    <row r="22" spans="1:7" x14ac:dyDescent="0.3">
      <c r="A22" s="9">
        <v>46387</v>
      </c>
      <c r="B22" s="10" t="s">
        <v>153</v>
      </c>
      <c r="C22" s="10" t="s">
        <v>103</v>
      </c>
      <c r="D22" s="10" t="s">
        <v>11</v>
      </c>
      <c r="E22" s="10"/>
      <c r="F22" s="10"/>
      <c r="G22" s="10">
        <v>264000</v>
      </c>
    </row>
  </sheetData>
  <dataValidations count="2">
    <dataValidation type="list" allowBlank="1" showInputMessage="1" showErrorMessage="1" sqref="D2:D22">
      <formula1>"Operating, Investing, Financing, Summary"</formula1>
    </dataValidation>
    <dataValidation type="list" allowBlank="1" showInputMessage="1" showErrorMessage="1" sqref="C2:C22">
      <formula1>INDIRECT(D2)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CashFlowStatement</vt:lpstr>
      <vt:lpstr>IncomeStatement</vt:lpstr>
      <vt:lpstr>BalanceSheet</vt:lpstr>
      <vt:lpstr>lists</vt:lpstr>
      <vt:lpstr>CashBook</vt:lpstr>
      <vt:lpstr>Financing</vt:lpstr>
      <vt:lpstr>Investing</vt:lpstr>
      <vt:lpstr>Operating</vt:lpstr>
      <vt:lpstr>BalanceSheet!Print_Area</vt:lpstr>
      <vt:lpstr>IncomeStatement!Print_Area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2026-06-27T03:12:14Z</dcterms:modified>
</cp:coreProperties>
</file>