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</externalReferences>
  <calcPr calcId="162913" iterateDelta="1E-4"/>
</workbook>
</file>

<file path=xl/calcChain.xml><?xml version="1.0" encoding="utf-8"?>
<calcChain xmlns="http://schemas.openxmlformats.org/spreadsheetml/2006/main">
  <c r="N86" i="7" l="1"/>
  <c r="M86" i="7"/>
  <c r="L86" i="7"/>
  <c r="K86" i="7"/>
  <c r="G86" i="7"/>
  <c r="F86" i="7"/>
  <c r="E86" i="7"/>
  <c r="N85" i="7" l="1"/>
  <c r="M85" i="7"/>
  <c r="L85" i="7"/>
  <c r="K85" i="7"/>
  <c r="G85" i="7"/>
  <c r="F85" i="7"/>
  <c r="E85" i="7"/>
  <c r="N84" i="7" l="1"/>
  <c r="M84" i="7"/>
  <c r="L84" i="7"/>
  <c r="K84" i="7"/>
  <c r="G84" i="7"/>
  <c r="F84" i="7"/>
  <c r="E84" i="7"/>
  <c r="N83" i="7" l="1"/>
  <c r="M83" i="7"/>
  <c r="L83" i="7"/>
  <c r="K83" i="7"/>
  <c r="I83" i="7"/>
  <c r="H83" i="7"/>
  <c r="E83" i="7"/>
  <c r="L81" i="7" l="1"/>
  <c r="L82" i="7" l="1"/>
  <c r="N82" i="7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L62" i="7"/>
  <c r="M62" i="7"/>
  <c r="N62" i="7"/>
  <c r="N80" i="7" l="1"/>
  <c r="M80" i="7"/>
  <c r="L80" i="7"/>
  <c r="K80" i="7"/>
  <c r="G80" i="7"/>
  <c r="F80" i="7"/>
  <c r="E80" i="7"/>
  <c r="N79" i="7" l="1"/>
  <c r="M79" i="7"/>
  <c r="L79" i="7"/>
  <c r="K79" i="7"/>
  <c r="I79" i="7"/>
  <c r="H79" i="7"/>
  <c r="E79" i="7"/>
  <c r="N78" i="7" l="1"/>
  <c r="M78" i="7"/>
  <c r="L78" i="7"/>
  <c r="K78" i="7"/>
  <c r="G78" i="7"/>
  <c r="F78" i="7"/>
  <c r="E78" i="7"/>
  <c r="N77" i="7" l="1"/>
  <c r="M77" i="7"/>
  <c r="L77" i="7"/>
  <c r="K77" i="7"/>
  <c r="G77" i="7"/>
  <c r="F77" i="7"/>
  <c r="E77" i="7"/>
  <c r="M42" i="7" l="1"/>
  <c r="L76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L74" i="7"/>
  <c r="N73" i="7" l="1"/>
  <c r="M73" i="7"/>
  <c r="L73" i="7"/>
  <c r="K73" i="7"/>
  <c r="I73" i="7"/>
  <c r="H73" i="7"/>
  <c r="E73" i="7"/>
  <c r="N72" i="7" l="1"/>
  <c r="M72" i="7"/>
  <c r="L72" i="7"/>
  <c r="K72" i="7"/>
  <c r="I72" i="7"/>
  <c r="H72" i="7"/>
  <c r="E72" i="7"/>
  <c r="N71" i="7" l="1"/>
  <c r="M71" i="7"/>
  <c r="L71" i="7"/>
  <c r="K71" i="7"/>
  <c r="I71" i="7"/>
  <c r="H71" i="7"/>
  <c r="E71" i="7"/>
  <c r="O2" i="7" l="1"/>
  <c r="N70" i="7"/>
  <c r="M70" i="7"/>
  <c r="L70" i="7"/>
  <c r="K70" i="7"/>
  <c r="I70" i="7"/>
  <c r="H70" i="7"/>
  <c r="E70" i="7"/>
  <c r="N69" i="7" l="1"/>
  <c r="M69" i="7"/>
  <c r="L69" i="7"/>
  <c r="K69" i="7"/>
  <c r="I69" i="7"/>
  <c r="H69" i="7"/>
  <c r="E69" i="7"/>
  <c r="N68" i="7" l="1"/>
  <c r="M68" i="7"/>
  <c r="L68" i="7"/>
  <c r="K68" i="7"/>
  <c r="I68" i="7"/>
  <c r="H68" i="7"/>
  <c r="E68" i="7"/>
  <c r="N67" i="7" l="1"/>
  <c r="M67" i="7"/>
  <c r="L67" i="7"/>
  <c r="K67" i="7"/>
  <c r="I67" i="7"/>
  <c r="H67" i="7"/>
  <c r="E67" i="7"/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L2" i="7" s="1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P5" i="7" s="1"/>
</calcChain>
</file>

<file path=xl/sharedStrings.xml><?xml version="1.0" encoding="utf-8"?>
<sst xmlns="http://schemas.openxmlformats.org/spreadsheetml/2006/main" count="544" uniqueCount="180">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</sst>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sharedStrings" Target="sharedStrings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calcChain" Target="calcChain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55" Type="http://schemas.openxmlformats.org/officeDocument/2006/relationships/externalLink" Target="externalLinks/externalLink15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45" Type="http://schemas.openxmlformats.org/officeDocument/2006/relationships/externalLink" Target="externalLinks/externalLink14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theme" Target="theme/theme1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styles" Target="styles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</v>
          </cell>
          <cell r="O1">
            <v>59500</v>
          </cell>
        </row>
        <row r="2">
          <cell r="G2">
            <v>45803</v>
          </cell>
          <cell r="K2">
            <v>119</v>
          </cell>
          <cell r="O2">
            <v>500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G2">
            <v>45888</v>
          </cell>
          <cell r="K2">
            <v>54</v>
          </cell>
          <cell r="O2">
            <v>33000</v>
          </cell>
        </row>
        <row r="3">
          <cell r="B3">
            <v>45769</v>
          </cell>
        </row>
      </sheetData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45923</v>
          </cell>
          <cell r="K2">
            <v>14</v>
          </cell>
          <cell r="O2">
            <v>2100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20</v>
          </cell>
          <cell r="O1">
            <v>40000</v>
          </cell>
        </row>
        <row r="2">
          <cell r="G2">
            <v>46137</v>
          </cell>
          <cell r="K2">
            <v>20</v>
          </cell>
          <cell r="O2">
            <v>40000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97</v>
          </cell>
          <cell r="O1">
            <v>3450</v>
          </cell>
        </row>
        <row r="2">
          <cell r="G2">
            <v>45999</v>
          </cell>
          <cell r="K2">
            <v>23</v>
          </cell>
          <cell r="O2">
            <v>14550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</v>
          </cell>
          <cell r="O1">
            <v>11800</v>
          </cell>
        </row>
        <row r="2">
          <cell r="G2">
            <v>46002</v>
          </cell>
          <cell r="K2">
            <v>118</v>
          </cell>
          <cell r="O2">
            <v>200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4</v>
          </cell>
          <cell r="O1">
            <v>11600</v>
          </cell>
        </row>
        <row r="2">
          <cell r="G2">
            <v>46002</v>
          </cell>
          <cell r="K2">
            <v>116</v>
          </cell>
          <cell r="O2">
            <v>400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2</v>
          </cell>
          <cell r="O1">
            <v>11800</v>
          </cell>
        </row>
        <row r="2">
          <cell r="G2">
            <v>46002</v>
          </cell>
          <cell r="K2">
            <v>118</v>
          </cell>
          <cell r="O2">
            <v>200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46020</v>
          </cell>
          <cell r="K2">
            <v>14</v>
          </cell>
          <cell r="O2">
            <v>4200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46020</v>
          </cell>
          <cell r="K2">
            <v>14</v>
          </cell>
          <cell r="O2">
            <v>2100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18200</v>
          </cell>
        </row>
        <row r="2">
          <cell r="G2">
            <v>46029</v>
          </cell>
          <cell r="K2">
            <v>13</v>
          </cell>
          <cell r="O2">
            <v>5600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G2">
            <v>46047</v>
          </cell>
          <cell r="K2">
            <v>10</v>
          </cell>
          <cell r="O2">
            <v>9800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6</v>
          </cell>
          <cell r="O1">
            <v>7700</v>
          </cell>
        </row>
        <row r="2">
          <cell r="G2">
            <v>46047</v>
          </cell>
          <cell r="K2">
            <v>11</v>
          </cell>
          <cell r="O2">
            <v>4200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46052</v>
          </cell>
          <cell r="K2">
            <v>11</v>
          </cell>
          <cell r="O2">
            <v>8400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186</v>
          </cell>
          <cell r="O1">
            <v>7000</v>
          </cell>
        </row>
        <row r="2">
          <cell r="G2">
            <v>46128</v>
          </cell>
          <cell r="K2">
            <v>14</v>
          </cell>
          <cell r="O2">
            <v>93000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63</v>
          </cell>
          <cell r="O1">
            <v>28500</v>
          </cell>
        </row>
        <row r="2">
          <cell r="G2">
            <v>46066</v>
          </cell>
          <cell r="K2">
            <v>57</v>
          </cell>
          <cell r="O2">
            <v>31500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15000</v>
          </cell>
          <cell r="K1">
            <v>80</v>
          </cell>
          <cell r="O1">
            <v>6000</v>
          </cell>
        </row>
        <row r="2">
          <cell r="G2">
            <v>46069</v>
          </cell>
          <cell r="K2">
            <v>40</v>
          </cell>
          <cell r="O2">
            <v>12000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80</v>
          </cell>
          <cell r="O1">
            <v>8000</v>
          </cell>
        </row>
        <row r="2">
          <cell r="G2">
            <v>46080</v>
          </cell>
          <cell r="K2">
            <v>40</v>
          </cell>
          <cell r="O2">
            <v>16000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7000</v>
          </cell>
        </row>
        <row r="2">
          <cell r="G2">
            <v>46094</v>
          </cell>
          <cell r="K2">
            <v>5</v>
          </cell>
          <cell r="O2">
            <v>16800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95</v>
          </cell>
          <cell r="O1">
            <v>5000</v>
          </cell>
        </row>
        <row r="2">
          <cell r="G2">
            <v>46097</v>
          </cell>
          <cell r="K2">
            <v>25</v>
          </cell>
          <cell r="O2">
            <v>19000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98</v>
          </cell>
          <cell r="O1">
            <v>4400</v>
          </cell>
        </row>
        <row r="2">
          <cell r="G2">
            <v>46100</v>
          </cell>
          <cell r="K2">
            <v>22</v>
          </cell>
          <cell r="O2">
            <v>19600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104</v>
          </cell>
          <cell r="O1">
            <v>6400</v>
          </cell>
        </row>
        <row r="2">
          <cell r="G2">
            <v>46102</v>
          </cell>
          <cell r="K2">
            <v>16</v>
          </cell>
          <cell r="O2">
            <v>41600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46116</v>
          </cell>
          <cell r="K2">
            <v>2</v>
          </cell>
          <cell r="O2">
            <v>21000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116</v>
          </cell>
          <cell r="O1">
            <v>800</v>
          </cell>
        </row>
        <row r="2">
          <cell r="G2">
            <v>46111</v>
          </cell>
          <cell r="K2">
            <v>4</v>
          </cell>
          <cell r="O2">
            <v>23200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16000</v>
          </cell>
          <cell r="K1">
            <v>120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19200</v>
          </cell>
        </row>
      </sheetData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100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SUM(L5:L105)</f>
        <v>767750</v>
      </c>
      <c r="M2" s="40"/>
      <c r="N2" s="31"/>
      <c r="O2" s="1">
        <f>SUM(O5:O88)</f>
        <v>44170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773300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5550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1</v>
      </c>
      <c r="G27" s="8">
        <f>'[24]MD20000.18-DEC'!$K$2</f>
        <v>119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500</v>
      </c>
      <c r="M27" s="7">
        <f>'[24]MD20000.18-DEC'!$O$1</f>
        <v>59500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66</v>
      </c>
      <c r="G40" s="8">
        <f>'[37]MD50000.15-DEC'!$K$2</f>
        <v>54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33000</v>
      </c>
      <c r="M40" s="7">
        <f>'[37]MD50000.15-DEC'!$O$1</f>
        <v>27000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3</v>
      </c>
      <c r="I42" s="8">
        <f>'[39]MD20000.15-DEc'!$K$2</f>
        <v>14</v>
      </c>
      <c r="J42" s="9" t="s">
        <v>12</v>
      </c>
      <c r="K42" s="10">
        <f>'[39]MD20000.15-DEc'!$B$3</f>
        <v>45804</v>
      </c>
      <c r="L42" s="7">
        <f>'[39]MD20000.15-DEc'!$O$2</f>
        <v>2100</v>
      </c>
      <c r="M42" s="7">
        <f>'[39]MD20000.15-DEc'!$O$1</f>
        <v>9800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5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5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5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5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5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5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5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5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5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5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5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5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5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5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5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20</v>
      </c>
      <c r="I59" s="8">
        <f>'[56]MD20000.18-DEC'!$K$2</f>
        <v>20</v>
      </c>
      <c r="J59" s="9" t="s">
        <v>12</v>
      </c>
      <c r="K59" s="10">
        <f>'[56]MD20000.18-DEC'!$B$3</f>
        <v>45857</v>
      </c>
      <c r="L59" s="7">
        <f>'[56]MD20000.18-DEC'!$O$2</f>
        <v>40000</v>
      </c>
      <c r="M59" s="7">
        <f>'[56]MD20000.18-DEC'!$O$1</f>
        <v>40000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5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5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97</v>
      </c>
      <c r="G63" s="8">
        <f>'[60]MD10000.1-OCT'!$K$2</f>
        <v>23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14550</v>
      </c>
      <c r="M63" s="7">
        <f>'[60]MD10000.1-OCT'!$O$1</f>
        <v>3450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'[61]MD20000.18-DEC'!$C$1</f>
        <v>10000</v>
      </c>
      <c r="F64" s="8">
        <f>'[61]MD20000.18-DEC'!$K$1</f>
        <v>2</v>
      </c>
      <c r="G64" s="8">
        <f>'[61]MD20000.18-DEC'!$K$2</f>
        <v>118</v>
      </c>
      <c r="H64" s="8"/>
      <c r="I64" s="8"/>
      <c r="J64" s="9" t="s">
        <v>12</v>
      </c>
      <c r="K64" s="10">
        <f>'[61]MD20000.18-DEC'!$B$3</f>
        <v>45883</v>
      </c>
      <c r="L64" s="7">
        <f>'[61]MD20000.18-DEC'!$O$2</f>
        <v>200</v>
      </c>
      <c r="M64" s="7">
        <f>'[61]MD20000.18-DEC'!$O$1</f>
        <v>11800</v>
      </c>
      <c r="N64" s="10">
        <f>'[61]MD20000.18-DEC'!$G$2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'[62]MD20000.18-DEC'!$C$1</f>
        <v>10000</v>
      </c>
      <c r="F65" s="8">
        <f>'[62]MD20000.18-DEC'!$K$1</f>
        <v>4</v>
      </c>
      <c r="G65" s="8">
        <f>'[62]MD20000.18-DEC'!$K$2</f>
        <v>116</v>
      </c>
      <c r="H65" s="8"/>
      <c r="I65" s="8"/>
      <c r="J65" s="9" t="s">
        <v>12</v>
      </c>
      <c r="K65" s="10">
        <f>'[62]MD20000.18-DEC'!$B$3</f>
        <v>45883</v>
      </c>
      <c r="L65" s="7">
        <f>'[62]MD20000.18-DEC'!$O$2</f>
        <v>400</v>
      </c>
      <c r="M65" s="7">
        <f>'[62]MD20000.18-DEC'!$O$1</f>
        <v>11600</v>
      </c>
      <c r="N65" s="10">
        <f>'[62]MD20000.18-DEC'!$G$2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'[63]MD20000.18-DEC'!$C$1</f>
        <v>10000</v>
      </c>
      <c r="F66" s="8">
        <f>'[63]MD20000.18-DEC'!$K$1</f>
        <v>2</v>
      </c>
      <c r="G66" s="8">
        <f>'[63]MD20000.18-DEC'!$K$2</f>
        <v>118</v>
      </c>
      <c r="H66" s="8"/>
      <c r="I66" s="8"/>
      <c r="J66" s="9" t="s">
        <v>12</v>
      </c>
      <c r="K66" s="10">
        <f>'[63]MD20000.18-DEC'!$B$3</f>
        <v>45883</v>
      </c>
      <c r="L66" s="7">
        <f>'[63]MD20000.18-DEC'!$O$2</f>
        <v>200</v>
      </c>
      <c r="M66" s="7">
        <f>'[63]MD20000.18-DEC'!$O$1</f>
        <v>11800</v>
      </c>
      <c r="N66" s="10">
        <f>'[63]MD20000.18-DEC'!$G$2</f>
        <v>46002</v>
      </c>
      <c r="O66" s="1">
        <v>700</v>
      </c>
    </row>
    <row r="67" spans="2:15" ht="22.5" customHeight="1" x14ac:dyDescent="0.2">
      <c r="B67" s="6">
        <v>133</v>
      </c>
      <c r="C67" s="8" t="s">
        <v>166</v>
      </c>
      <c r="D67" s="14" t="s">
        <v>142</v>
      </c>
      <c r="E67" s="7">
        <f>'[64]MD50000.15-DEC'!$C$1</f>
        <v>20000</v>
      </c>
      <c r="F67" s="8"/>
      <c r="G67" s="8"/>
      <c r="H67" s="8">
        <f>'[64]MD50000.15-DEC'!$K$1</f>
        <v>3</v>
      </c>
      <c r="I67" s="8">
        <f>'[64]MD50000.15-DEC'!$K$2</f>
        <v>14</v>
      </c>
      <c r="J67" s="9" t="s">
        <v>125</v>
      </c>
      <c r="K67" s="10">
        <f>'[64]MD50000.15-DEC'!$B$3</f>
        <v>45901</v>
      </c>
      <c r="L67" s="7">
        <f>'[64]MD50000.15-DEC'!$O$2</f>
        <v>4200</v>
      </c>
      <c r="M67" s="7">
        <f>'[64]MD50000.15-DEC'!$O$1</f>
        <v>19600</v>
      </c>
      <c r="N67" s="10">
        <f>'[64]MD50000.15-DEC'!$G$2</f>
        <v>46020</v>
      </c>
      <c r="O67" s="1">
        <v>1400</v>
      </c>
    </row>
    <row r="68" spans="2:15" ht="22.5" customHeight="1" x14ac:dyDescent="0.2">
      <c r="B68" s="6">
        <v>134</v>
      </c>
      <c r="C68" s="8" t="s">
        <v>167</v>
      </c>
      <c r="D68" s="14" t="s">
        <v>168</v>
      </c>
      <c r="E68" s="7">
        <f>'[65]MD50000.15-DEC'!$C$1</f>
        <v>10000</v>
      </c>
      <c r="F68" s="8"/>
      <c r="G68" s="8"/>
      <c r="H68" s="8">
        <f>'[65]MD50000.15-DEC'!$K$1</f>
        <v>3</v>
      </c>
      <c r="I68" s="8">
        <f>'[65]MD50000.15-DEC'!$K$2</f>
        <v>14</v>
      </c>
      <c r="J68" s="9" t="s">
        <v>125</v>
      </c>
      <c r="K68" s="10">
        <f>'[65]MD50000.15-DEC'!$B$3</f>
        <v>45901</v>
      </c>
      <c r="L68" s="7">
        <f>'[65]MD50000.15-DEC'!$O$2</f>
        <v>2100</v>
      </c>
      <c r="M68" s="7">
        <f>'[65]MD50000.15-DEC'!$O$1</f>
        <v>9800</v>
      </c>
      <c r="N68" s="10">
        <f>'[65]MD50000.15-DEC'!$G$2</f>
        <v>46020</v>
      </c>
      <c r="O68" s="1">
        <v>700</v>
      </c>
    </row>
    <row r="69" spans="2:15" ht="22.5" customHeight="1" x14ac:dyDescent="0.2">
      <c r="B69" s="6">
        <v>135</v>
      </c>
      <c r="C69" s="8" t="s">
        <v>107</v>
      </c>
      <c r="D69" s="14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  <c r="O69" s="1">
        <v>700</v>
      </c>
    </row>
    <row r="70" spans="2:15" ht="22.5" customHeight="1" x14ac:dyDescent="0.2">
      <c r="B70" s="6">
        <v>136</v>
      </c>
      <c r="C70" s="8" t="s">
        <v>86</v>
      </c>
      <c r="D70" s="14" t="s">
        <v>142</v>
      </c>
      <c r="E70" s="7">
        <f>'[67]MD50000.15-DEC'!$C$1</f>
        <v>20000</v>
      </c>
      <c r="F70" s="8"/>
      <c r="G70" s="8"/>
      <c r="H70" s="8">
        <f>'[67]MD50000.15-DEC'!$K$1</f>
        <v>17</v>
      </c>
      <c r="I70" s="8">
        <f>'[67]MD50000.15-DEC'!$K$2</f>
        <v>13</v>
      </c>
      <c r="J70" s="9" t="s">
        <v>125</v>
      </c>
      <c r="K70" s="10">
        <f>'[67]MD50000.15-DEC'!$B$3</f>
        <v>45910</v>
      </c>
      <c r="L70" s="7">
        <f>'[67]MD50000.15-DEC'!$O$2</f>
        <v>5600</v>
      </c>
      <c r="M70" s="7">
        <f>'[67]MD50000.15-DEC'!$O$1</f>
        <v>18200</v>
      </c>
      <c r="N70" s="10">
        <f>'[67]MD50000.15-DEC'!$G$2</f>
        <v>46029</v>
      </c>
      <c r="O70" s="1">
        <v>1400</v>
      </c>
    </row>
    <row r="71" spans="2:15" ht="22.5" customHeight="1" x14ac:dyDescent="0.2">
      <c r="B71" s="6">
        <v>137</v>
      </c>
      <c r="C71" s="8" t="s">
        <v>169</v>
      </c>
      <c r="D71" s="14" t="s">
        <v>142</v>
      </c>
      <c r="E71" s="7">
        <f>'[68]MD50000.15-DEC'!$C$1</f>
        <v>20000</v>
      </c>
      <c r="F71" s="8"/>
      <c r="G71" s="8"/>
      <c r="H71" s="8">
        <f>'[68]MD50000.15-DEC'!$K$1</f>
        <v>7</v>
      </c>
      <c r="I71" s="8">
        <f>'[68]MD50000.15-DEC'!$K$2</f>
        <v>10</v>
      </c>
      <c r="J71" s="9" t="s">
        <v>125</v>
      </c>
      <c r="K71" s="10">
        <f>'[68]MD50000.15-DEC'!$B$3</f>
        <v>45928</v>
      </c>
      <c r="L71" s="7">
        <f>'[68]MD50000.15-DEC'!$O$2</f>
        <v>9800</v>
      </c>
      <c r="M71" s="7">
        <f>'[68]MD50000.15-DEC'!$O$1</f>
        <v>14000</v>
      </c>
      <c r="N71" s="10">
        <f>'[68]MD50000.15-DEC'!$G$2</f>
        <v>46047</v>
      </c>
      <c r="O71" s="1">
        <v>1400</v>
      </c>
    </row>
    <row r="72" spans="2:15" ht="22.5" customHeight="1" x14ac:dyDescent="0.2">
      <c r="B72" s="6">
        <v>138</v>
      </c>
      <c r="C72" s="8" t="s">
        <v>105</v>
      </c>
      <c r="D72" s="14" t="s">
        <v>168</v>
      </c>
      <c r="E72" s="7">
        <f>'[69]MD50000.15-DEC'!$C$1</f>
        <v>10000</v>
      </c>
      <c r="F72" s="8"/>
      <c r="G72" s="8"/>
      <c r="H72" s="8">
        <f>'[69]MD50000.15-DEC'!$K$1</f>
        <v>6</v>
      </c>
      <c r="I72" s="8">
        <f>'[69]MD50000.15-DEC'!$K$2</f>
        <v>11</v>
      </c>
      <c r="J72" s="9" t="s">
        <v>125</v>
      </c>
      <c r="K72" s="10">
        <f>'[69]MD50000.15-DEC'!$B$3</f>
        <v>45928</v>
      </c>
      <c r="L72" s="7">
        <f>'[69]MD50000.15-DEC'!$O$2</f>
        <v>4200</v>
      </c>
      <c r="M72" s="7">
        <f>'[69]MD50000.15-DEC'!$O$1</f>
        <v>7700</v>
      </c>
      <c r="N72" s="10">
        <f>'[69]MD50000.15-DEC'!$G$2</f>
        <v>46047</v>
      </c>
      <c r="O72" s="1">
        <v>700</v>
      </c>
    </row>
    <row r="73" spans="2:15" ht="22.5" customHeight="1" x14ac:dyDescent="0.2">
      <c r="B73" s="6">
        <v>139</v>
      </c>
      <c r="C73" s="8" t="s">
        <v>170</v>
      </c>
      <c r="D73" s="14" t="s">
        <v>142</v>
      </c>
      <c r="E73" s="7">
        <f>'[70]MD50000.15-DEC'!$C$1</f>
        <v>20000</v>
      </c>
      <c r="F73" s="8"/>
      <c r="G73" s="8"/>
      <c r="H73" s="8">
        <f>'[70]MD50000.15-DEC'!$K$1</f>
        <v>6</v>
      </c>
      <c r="I73" s="8">
        <f>'[70]MD50000.15-DEC'!$K$2</f>
        <v>11</v>
      </c>
      <c r="J73" s="9" t="s">
        <v>125</v>
      </c>
      <c r="K73" s="10">
        <f>'[70]MD50000.15-DEC'!$B$3</f>
        <v>45933</v>
      </c>
      <c r="L73" s="7">
        <f>'[70]MD50000.15-DEC'!$O$2</f>
        <v>8400</v>
      </c>
      <c r="M73" s="7">
        <f>'[70]MD50000.15-DEC'!$O$1</f>
        <v>15400</v>
      </c>
      <c r="N73" s="10">
        <f>'[70]MD50000.15-DEC'!$G$2</f>
        <v>46052</v>
      </c>
      <c r="O73" s="1">
        <v>1400</v>
      </c>
    </row>
    <row r="74" spans="2:15" ht="22.5" customHeight="1" x14ac:dyDescent="0.2">
      <c r="B74" s="6">
        <v>140</v>
      </c>
      <c r="C74" s="8" t="s">
        <v>171</v>
      </c>
      <c r="D74" s="14" t="s">
        <v>172</v>
      </c>
      <c r="E74" s="7">
        <f>'[71]MD50000.15-DEC'!$C$1</f>
        <v>100000</v>
      </c>
      <c r="F74" s="8">
        <f>'[71]MD50000.15-DEC'!$K$1</f>
        <v>186</v>
      </c>
      <c r="G74" s="8">
        <f>'[71]MD50000.15-DEC'!$K$2</f>
        <v>14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93000</v>
      </c>
      <c r="M74" s="7">
        <f>'[71]MD50000.15-DEC'!$O$1</f>
        <v>7000</v>
      </c>
      <c r="N74" s="10">
        <f>'[71]MD50000.15-DEC'!$G$2</f>
        <v>46128</v>
      </c>
      <c r="O74" s="1">
        <v>3500</v>
      </c>
    </row>
    <row r="75" spans="2:15" ht="22.5" customHeight="1" x14ac:dyDescent="0.2">
      <c r="B75" s="6">
        <v>141</v>
      </c>
      <c r="C75" s="8" t="s">
        <v>116</v>
      </c>
      <c r="D75" s="14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  <c r="O75" s="1">
        <v>1850</v>
      </c>
    </row>
    <row r="76" spans="2:15" ht="22.5" customHeight="1" x14ac:dyDescent="0.2">
      <c r="B76" s="6">
        <v>142</v>
      </c>
      <c r="C76" s="8" t="s">
        <v>173</v>
      </c>
      <c r="D76" s="14" t="s">
        <v>96</v>
      </c>
      <c r="E76" s="7">
        <f>'[72]MD20000.18-DEC'!$C$1</f>
        <v>50000</v>
      </c>
      <c r="F76" s="8">
        <f>'[72]MD20000.18-DEC'!$K$1</f>
        <v>63</v>
      </c>
      <c r="G76" s="8">
        <f>'[72]MD20000.18-DEC'!$K$2</f>
        <v>57</v>
      </c>
      <c r="H76" s="8"/>
      <c r="I76" s="8"/>
      <c r="J76" s="9" t="s">
        <v>125</v>
      </c>
      <c r="K76" s="10">
        <f>'[72]MD20000.18-DEC'!$B$3</f>
        <v>45947</v>
      </c>
      <c r="L76" s="7">
        <f>'[72]MD20000.18-DEC'!$O$2</f>
        <v>31500</v>
      </c>
      <c r="M76" s="7">
        <f>'[72]MD20000.18-DEC'!$O$1</f>
        <v>28500</v>
      </c>
      <c r="N76" s="10">
        <f>'[72]MD20000.18-DEC'!$G$2</f>
        <v>46066</v>
      </c>
      <c r="O76" s="1">
        <v>3500</v>
      </c>
    </row>
    <row r="77" spans="2:15" ht="22.5" customHeight="1" x14ac:dyDescent="0.2">
      <c r="B77" s="6">
        <v>143</v>
      </c>
      <c r="C77" s="8" t="s">
        <v>160</v>
      </c>
      <c r="D77" s="14" t="s">
        <v>94</v>
      </c>
      <c r="E77" s="7">
        <f>'[73]MD20000.18-DEC'!$C$1</f>
        <v>15000</v>
      </c>
      <c r="F77" s="8">
        <f>'[73]MD20000.18-DEC'!$K$1</f>
        <v>80</v>
      </c>
      <c r="G77" s="8">
        <f>'[73]MD20000.18-DEC'!$K$2</f>
        <v>40</v>
      </c>
      <c r="H77" s="8"/>
      <c r="I77" s="8"/>
      <c r="J77" s="9" t="s">
        <v>125</v>
      </c>
      <c r="K77" s="10">
        <f>'[73]MD20000.18-DEC'!$B$3</f>
        <v>45950</v>
      </c>
      <c r="L77" s="7">
        <f>'[73]MD20000.18-DEC'!$O$2</f>
        <v>12000</v>
      </c>
      <c r="M77" s="7">
        <f>'[73]MD20000.18-DEC'!$O$1</f>
        <v>6000</v>
      </c>
      <c r="N77" s="10">
        <f>'[73]MD20000.18-DEC'!$G$2</f>
        <v>46069</v>
      </c>
      <c r="O77" s="1">
        <v>1050</v>
      </c>
    </row>
    <row r="78" spans="2:15" ht="22.5" customHeight="1" x14ac:dyDescent="0.2">
      <c r="B78" s="6">
        <v>144</v>
      </c>
      <c r="C78" s="8" t="s">
        <v>174</v>
      </c>
      <c r="D78" s="14" t="s">
        <v>175</v>
      </c>
      <c r="E78" s="7">
        <f>'[74]MD20000.18-DEC'!$C$1</f>
        <v>20000</v>
      </c>
      <c r="F78" s="8">
        <f>'[74]MD20000.18-DEC'!$K$1</f>
        <v>80</v>
      </c>
      <c r="G78" s="8">
        <f>'[74]MD20000.18-DEC'!$K$2</f>
        <v>40</v>
      </c>
      <c r="H78" s="8"/>
      <c r="I78" s="8"/>
      <c r="J78" s="9" t="s">
        <v>125</v>
      </c>
      <c r="K78" s="10">
        <f>'[74]MD20000.18-DEC'!$B$3</f>
        <v>45961</v>
      </c>
      <c r="L78" s="7">
        <f>'[74]MD20000.18-DEC'!$O$2</f>
        <v>16000</v>
      </c>
      <c r="M78" s="7">
        <f>'[74]MD20000.18-DEC'!$O$1</f>
        <v>8000</v>
      </c>
      <c r="N78" s="10">
        <f>'[74]MD20000.18-DEC'!$G$2</f>
        <v>46080</v>
      </c>
      <c r="O78" s="1">
        <v>1400</v>
      </c>
    </row>
    <row r="79" spans="2:15" ht="22.5" customHeight="1" x14ac:dyDescent="0.2">
      <c r="B79" s="6">
        <v>145</v>
      </c>
      <c r="C79" s="8" t="s">
        <v>176</v>
      </c>
      <c r="D79" s="14" t="s">
        <v>142</v>
      </c>
      <c r="E79" s="7">
        <f>'[75]MD50000.15-DEC'!$C$1</f>
        <v>20000</v>
      </c>
      <c r="F79" s="8"/>
      <c r="G79" s="8"/>
      <c r="H79" s="8">
        <f>'[75]MD50000.15-DEC'!$K$1</f>
        <v>12</v>
      </c>
      <c r="I79" s="8">
        <f>'[75]MD50000.15-DEC'!$K$2</f>
        <v>5</v>
      </c>
      <c r="J79" s="9" t="s">
        <v>125</v>
      </c>
      <c r="K79" s="10">
        <f>'[75]MD50000.15-DEC'!$B$3</f>
        <v>45975</v>
      </c>
      <c r="L79" s="7">
        <f>'[75]MD50000.15-DEC'!$O$2</f>
        <v>16800</v>
      </c>
      <c r="M79" s="7">
        <f>'[75]MD50000.15-DEC'!$O$1</f>
        <v>7000</v>
      </c>
      <c r="N79" s="10">
        <f>'[75]MD50000.15-DEC'!$G$2</f>
        <v>46094</v>
      </c>
      <c r="O79" s="1">
        <v>1400</v>
      </c>
    </row>
    <row r="80" spans="2:15" ht="22.5" customHeight="1" x14ac:dyDescent="0.2">
      <c r="B80" s="6">
        <v>146</v>
      </c>
      <c r="C80" s="8" t="s">
        <v>177</v>
      </c>
      <c r="D80" s="14" t="s">
        <v>175</v>
      </c>
      <c r="E80" s="7">
        <f>'[76]MD20000.18-DEC'!$C$1</f>
        <v>20000</v>
      </c>
      <c r="F80" s="8">
        <f>'[76]MD20000.18-DEC'!$K$1</f>
        <v>95</v>
      </c>
      <c r="G80" s="8">
        <f>'[76]MD20000.18-DEC'!$K$2</f>
        <v>25</v>
      </c>
      <c r="H80" s="8"/>
      <c r="I80" s="8"/>
      <c r="J80" s="9" t="s">
        <v>12</v>
      </c>
      <c r="K80" s="10">
        <f>'[76]MD20000.18-DEC'!$B$3</f>
        <v>45978</v>
      </c>
      <c r="L80" s="7">
        <f>'[76]MD20000.18-DEC'!$O$2</f>
        <v>19000</v>
      </c>
      <c r="M80" s="7">
        <f>'[76]MD20000.18-DEC'!$O$1</f>
        <v>5000</v>
      </c>
      <c r="N80" s="10">
        <f>'[76]MD20000.18-DEC'!$G$2</f>
        <v>46097</v>
      </c>
      <c r="O80" s="1">
        <v>1400</v>
      </c>
    </row>
    <row r="81" spans="2:15" ht="22.5" customHeight="1" x14ac:dyDescent="0.2">
      <c r="B81" s="6">
        <v>147</v>
      </c>
      <c r="C81" s="8" t="s">
        <v>152</v>
      </c>
      <c r="D81" s="14" t="s">
        <v>175</v>
      </c>
      <c r="E81" s="7">
        <f>'[77]MD50000.15-DEC'!$C$1</f>
        <v>20000</v>
      </c>
      <c r="F81" s="8">
        <f>'[77]MD50000.15-DEC'!$K$1</f>
        <v>98</v>
      </c>
      <c r="G81" s="8">
        <f>'[77]MD50000.15-DEC'!$K$2</f>
        <v>22</v>
      </c>
      <c r="H81" s="8"/>
      <c r="I81" s="8"/>
      <c r="J81" s="9" t="s">
        <v>125</v>
      </c>
      <c r="K81" s="10">
        <f>'[77]MD50000.15-DEC'!$B$3</f>
        <v>45981</v>
      </c>
      <c r="L81" s="7">
        <f>'[77]MD50000.15-DEC'!$O$2</f>
        <v>19600</v>
      </c>
      <c r="M81" s="7">
        <f>'[77]MD50000.15-DEC'!$O$1</f>
        <v>4400</v>
      </c>
      <c r="N81" s="10">
        <f>'[77]MD50000.15-DEC'!$G$2</f>
        <v>46100</v>
      </c>
      <c r="O81" s="1">
        <v>1400</v>
      </c>
    </row>
    <row r="82" spans="2:15" ht="22.5" customHeight="1" x14ac:dyDescent="0.2">
      <c r="B82" s="6">
        <v>148</v>
      </c>
      <c r="C82" s="8" t="s">
        <v>112</v>
      </c>
      <c r="D82" s="8" t="s">
        <v>164</v>
      </c>
      <c r="E82" s="7">
        <f>'[78]MD20000.18-DEC'!$C$1</f>
        <v>40000</v>
      </c>
      <c r="F82" s="8">
        <f>'[78]MD20000.18-DEC'!$K$1</f>
        <v>104</v>
      </c>
      <c r="G82" s="8">
        <f>'[78]MD20000.18-DEC'!$K$2</f>
        <v>16</v>
      </c>
      <c r="H82" s="8"/>
      <c r="I82" s="8"/>
      <c r="J82" s="9" t="s">
        <v>125</v>
      </c>
      <c r="K82" s="10">
        <f>'[78]MD20000.18-DEC'!$B$3</f>
        <v>45983</v>
      </c>
      <c r="L82" s="7">
        <f>'[78]MD20000.18-DEC'!$O$2</f>
        <v>41600</v>
      </c>
      <c r="M82" s="7">
        <f>'[78]MD20000.18-DEC'!$O$1</f>
        <v>6400</v>
      </c>
      <c r="N82" s="10">
        <f>'[78]MD20000.18-DEC'!$G$2</f>
        <v>46102</v>
      </c>
      <c r="O82" s="1">
        <v>2800</v>
      </c>
    </row>
    <row r="83" spans="2:15" ht="22.5" customHeight="1" x14ac:dyDescent="0.2">
      <c r="B83" s="6">
        <v>149</v>
      </c>
      <c r="C83" s="8" t="s">
        <v>162</v>
      </c>
      <c r="D83" s="8" t="s">
        <v>142</v>
      </c>
      <c r="E83" s="7">
        <f>'[79]MD10000.1-OCT'!$C$1</f>
        <v>20000</v>
      </c>
      <c r="F83" s="8"/>
      <c r="G83" s="8"/>
      <c r="H83" s="8">
        <f>'[79]MD10000.1-OCT'!$K$1</f>
        <v>15</v>
      </c>
      <c r="I83" s="8">
        <f>'[79]MD10000.1-OCT'!$K$2</f>
        <v>2</v>
      </c>
      <c r="J83" s="9" t="s">
        <v>125</v>
      </c>
      <c r="K83" s="10">
        <f>'[79]MD10000.1-OCT'!$B$3</f>
        <v>45997</v>
      </c>
      <c r="L83" s="7">
        <f>'[79]MD10000.1-OCT'!$O$2</f>
        <v>21000</v>
      </c>
      <c r="M83" s="7">
        <f>'[79]MD10000.1-OCT'!$O$1</f>
        <v>2800</v>
      </c>
      <c r="N83" s="10">
        <f>'[79]MD10000.1-OCT'!$G$2</f>
        <v>46116</v>
      </c>
      <c r="O83" s="1">
        <v>1400</v>
      </c>
    </row>
    <row r="84" spans="2:15" ht="22.5" customHeight="1" x14ac:dyDescent="0.2">
      <c r="B84" s="6">
        <v>150</v>
      </c>
      <c r="C84" s="8" t="s">
        <v>178</v>
      </c>
      <c r="D84" s="14" t="s">
        <v>175</v>
      </c>
      <c r="E84" s="7">
        <f>'[80]MD10000.1-OCT'!$C$1</f>
        <v>20000</v>
      </c>
      <c r="F84" s="8">
        <f>'[80]MD10000.1-OCT'!$K$1</f>
        <v>116</v>
      </c>
      <c r="G84" s="8">
        <f>'[80]MD10000.1-OCT'!$K$2</f>
        <v>4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23200</v>
      </c>
      <c r="M84" s="7">
        <f>'[80]MD10000.1-OCT'!$O$1</f>
        <v>800</v>
      </c>
      <c r="N84" s="10">
        <f>'[80]MD10000.1-OCT'!$G$2</f>
        <v>46111</v>
      </c>
      <c r="O84" s="1">
        <v>1400</v>
      </c>
    </row>
    <row r="85" spans="2:15" ht="22.5" customHeight="1" x14ac:dyDescent="0.2">
      <c r="B85" s="6">
        <v>151</v>
      </c>
      <c r="C85" s="8" t="s">
        <v>144</v>
      </c>
      <c r="D85" s="14" t="s">
        <v>179</v>
      </c>
      <c r="E85" s="7">
        <f>'[153]MD20000.18-DEC'!$C$1</f>
        <v>16000</v>
      </c>
      <c r="F85" s="8">
        <f>'[153]MD20000.18-DEC'!$K$1</f>
        <v>120</v>
      </c>
      <c r="G85" s="8">
        <f>'[153]MD20000.18-DEC'!$K$2</f>
        <v>0</v>
      </c>
      <c r="H85" s="8"/>
      <c r="I85" s="8"/>
      <c r="J85" s="9" t="s">
        <v>125</v>
      </c>
      <c r="K85" s="10">
        <f>'[153]MD20000.18-DEC'!$B$3</f>
        <v>0</v>
      </c>
      <c r="L85" s="7">
        <f>'[153]MD20000.18-DEC'!$O$2</f>
        <v>19200</v>
      </c>
      <c r="M85" s="7">
        <f>'[153]MD20000.18-DEC'!$O$1</f>
        <v>0</v>
      </c>
      <c r="N85" s="10">
        <f>'[153]MD20000.18-DEC'!$G$2</f>
        <v>119</v>
      </c>
      <c r="O85" s="1">
        <v>1120</v>
      </c>
    </row>
    <row r="86" spans="2:15" ht="22.5" customHeight="1" x14ac:dyDescent="0.2">
      <c r="B86" s="6">
        <v>152</v>
      </c>
      <c r="C86" s="8" t="s">
        <v>149</v>
      </c>
      <c r="D86" s="14" t="s">
        <v>175</v>
      </c>
      <c r="E86" s="7">
        <f>'[154]MD20000.18-DEC'!$C$1</f>
        <v>20000</v>
      </c>
      <c r="F86" s="8">
        <f>'[154]MD20000.18-DEC'!$K$1</f>
        <v>120</v>
      </c>
      <c r="G86" s="8">
        <f>'[154]MD20000.18-DEC'!$K$2</f>
        <v>0</v>
      </c>
      <c r="H86" s="8"/>
      <c r="I86" s="8"/>
      <c r="J86" s="9" t="s">
        <v>125</v>
      </c>
      <c r="K86" s="10">
        <f>'[154]MD20000.18-DEC'!$B$3</f>
        <v>0</v>
      </c>
      <c r="L86" s="7">
        <f>'[154]MD20000.18-DEC'!$O$2</f>
        <v>24000</v>
      </c>
      <c r="M86" s="7">
        <f>'[154]MD20000.18-DEC'!$O$1</f>
        <v>0</v>
      </c>
      <c r="N86" s="10">
        <f>'[154]MD20000.18-DEC'!$B$3</f>
        <v>0</v>
      </c>
      <c r="O86" s="1">
        <v>1400</v>
      </c>
    </row>
    <row r="87" spans="2:15" ht="22.5" customHeight="1" x14ac:dyDescent="0.2">
      <c r="B87" s="6"/>
      <c r="C87" s="8"/>
      <c r="D87" s="14"/>
      <c r="E87" s="7"/>
      <c r="F87" s="8"/>
      <c r="G87" s="8"/>
      <c r="H87" s="8"/>
      <c r="I87" s="8"/>
      <c r="J87" s="9"/>
      <c r="K87" s="10"/>
      <c r="L87" s="7"/>
      <c r="M87" s="7"/>
      <c r="N87" s="10"/>
    </row>
    <row r="88" spans="2:15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  <c r="N88" s="10"/>
    </row>
    <row r="89" spans="2:15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  <c r="N89" s="10"/>
    </row>
    <row r="90" spans="2:15" ht="22.5" customHeight="1" x14ac:dyDescent="0.2">
      <c r="B90" s="6"/>
      <c r="C90" s="8"/>
      <c r="D90" s="14"/>
      <c r="E90" s="7"/>
      <c r="F90" s="8"/>
      <c r="G90" s="8"/>
      <c r="H90" s="8"/>
      <c r="I90" s="8"/>
      <c r="J90" s="9"/>
      <c r="K90" s="10"/>
      <c r="L90" s="7"/>
      <c r="M90" s="7"/>
      <c r="N90" s="10"/>
    </row>
    <row r="91" spans="2:15" ht="22.5" customHeight="1" x14ac:dyDescent="0.2">
      <c r="B91" s="6"/>
      <c r="C91" s="8"/>
      <c r="D91" s="14"/>
      <c r="E91" s="7"/>
      <c r="F91" s="8"/>
      <c r="G91" s="8"/>
      <c r="H91" s="8"/>
      <c r="I91" s="8"/>
      <c r="J91" s="9"/>
      <c r="K91" s="10"/>
      <c r="L91" s="7"/>
      <c r="M91" s="7"/>
      <c r="N91" s="10"/>
    </row>
    <row r="92" spans="2:15" ht="22.5" customHeight="1" x14ac:dyDescent="0.2">
      <c r="B92" s="6"/>
      <c r="C92" s="8"/>
      <c r="D92" s="14"/>
      <c r="E92" s="7"/>
      <c r="F92" s="8"/>
      <c r="G92" s="8"/>
      <c r="H92" s="8"/>
      <c r="I92" s="8"/>
      <c r="J92" s="9"/>
      <c r="K92" s="10"/>
      <c r="L92" s="7"/>
      <c r="M92" s="7"/>
      <c r="N92" s="10"/>
    </row>
    <row r="93" spans="2:15" ht="22.5" customHeight="1" x14ac:dyDescent="0.2">
      <c r="B93" s="6"/>
      <c r="C93" s="8"/>
      <c r="D93" s="14"/>
      <c r="E93" s="7"/>
      <c r="F93" s="8"/>
      <c r="G93" s="8"/>
      <c r="H93" s="8"/>
      <c r="I93" s="8"/>
      <c r="J93" s="9"/>
      <c r="K93" s="10"/>
      <c r="L93" s="7"/>
      <c r="M93" s="7"/>
      <c r="N93" s="10"/>
    </row>
    <row r="94" spans="2:15" ht="22.5" customHeight="1" x14ac:dyDescent="0.2">
      <c r="B94" s="6"/>
      <c r="C94" s="8"/>
      <c r="D94" s="14"/>
      <c r="E94" s="7"/>
      <c r="F94" s="8"/>
      <c r="G94" s="8"/>
      <c r="H94" s="8"/>
      <c r="I94" s="8"/>
      <c r="J94" s="9"/>
      <c r="K94" s="10"/>
      <c r="L94" s="7"/>
      <c r="M94" s="7"/>
      <c r="N94" s="10"/>
    </row>
    <row r="95" spans="2:15" ht="22.5" customHeight="1" x14ac:dyDescent="0.2">
      <c r="B95" s="6"/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  <c r="N95" s="10"/>
    </row>
    <row r="96" spans="2:15" ht="22.5" customHeight="1" x14ac:dyDescent="0.2">
      <c r="B96" s="6"/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  <c r="N96" s="10"/>
    </row>
    <row r="97" spans="2:14" ht="22.5" customHeight="1" x14ac:dyDescent="0.2">
      <c r="B97" s="6"/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  <c r="N97" s="10"/>
    </row>
    <row r="98" spans="2:14" ht="22.5" customHeight="1" x14ac:dyDescent="0.2">
      <c r="B98" s="6"/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  <c r="N98" s="10"/>
    </row>
    <row r="99" spans="2:14" ht="22.5" customHeight="1" x14ac:dyDescent="0.2">
      <c r="B99" s="6"/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  <c r="N99" s="10"/>
    </row>
    <row r="100" spans="2:14" ht="22.5" customHeight="1" x14ac:dyDescent="0.2">
      <c r="B100" s="6"/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  <c r="N10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'[81]SM5000.1-SEPT'!$C$1</f>
        <v>5000</v>
      </c>
      <c r="F5" s="20">
        <f>'[81]SM5000.1-SEPT'!$K$1</f>
        <v>0</v>
      </c>
      <c r="G5" s="20">
        <f>'[81]SM5000.1-SEPT'!$K$2</f>
        <v>60</v>
      </c>
      <c r="H5" s="20"/>
      <c r="I5" s="20"/>
      <c r="J5" s="21" t="s">
        <v>22</v>
      </c>
      <c r="K5" s="22">
        <f>'[81]SM5000.1-SEPT'!$B$3</f>
        <v>45180</v>
      </c>
      <c r="L5" s="19">
        <f>'[81]SM5000.1-SEPT'!$O$2</f>
        <v>0</v>
      </c>
      <c r="M5" s="19">
        <f>'[81]SM5000.1-SEPT'!$O$1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'[81]SM5000.1-oct'!$C$1</f>
        <v>5000</v>
      </c>
      <c r="F6" s="20">
        <f>'[81]SM5000.1-oct'!$K$1</f>
        <v>0</v>
      </c>
      <c r="G6" s="20">
        <f>'[81]SM5000.1-oct'!$K$2</f>
        <v>60</v>
      </c>
      <c r="H6" s="20"/>
      <c r="I6" s="20"/>
      <c r="J6" s="21" t="s">
        <v>22</v>
      </c>
      <c r="K6" s="22">
        <f>'[81]SM5000.1-oct'!$B$3</f>
        <v>45201</v>
      </c>
      <c r="L6" s="19">
        <f>'[81]SM5000.1-oct'!$O$2</f>
        <v>0</v>
      </c>
      <c r="M6" s="19">
        <f>'[81]SM5000.1-oct'!$O$1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'[82]MD10000.1-OCT'!$C$1</f>
        <v>10000</v>
      </c>
      <c r="F7" s="20">
        <f>'[82]MD10000.1-OCT'!$K$1</f>
        <v>0</v>
      </c>
      <c r="G7" s="20">
        <f>'[82]MD10000.1-OCT'!$K$2</f>
        <v>120</v>
      </c>
      <c r="H7" s="20"/>
      <c r="I7" s="20"/>
      <c r="J7" s="21" t="s">
        <v>22</v>
      </c>
      <c r="K7" s="22">
        <f>'[82]MD10000.1-OCT'!$B$3</f>
        <v>45212</v>
      </c>
      <c r="L7" s="19">
        <f>'[82]MD10000.1-OCT'!$O$2</f>
        <v>0</v>
      </c>
      <c r="M7" s="19">
        <f>'[82]MD10000.1-OCT'!$O$1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'[83]MD10000.1-OCT'!$C$1</f>
        <v>10000</v>
      </c>
      <c r="F8" s="20">
        <f>'[83]MD10000.1-OCT'!$K$1</f>
        <v>0</v>
      </c>
      <c r="G8" s="20">
        <f>'[83]MD10000.1-OCT'!$K$2</f>
        <v>120</v>
      </c>
      <c r="H8" s="20"/>
      <c r="I8" s="20"/>
      <c r="J8" s="21" t="s">
        <v>22</v>
      </c>
      <c r="K8" s="22">
        <f>'[83]MD10000.1-OCT'!$B$3</f>
        <v>45213</v>
      </c>
      <c r="L8" s="19">
        <f>'[83]MD10000.1-OCT'!$O$2</f>
        <v>0</v>
      </c>
      <c r="M8" s="19">
        <f>'[83]MD10000.1-OCT'!$O$1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'[84]MD10000.20-OCT'!$C$1</f>
        <v>10000</v>
      </c>
      <c r="F9" s="20"/>
      <c r="G9" s="20"/>
      <c r="H9" s="20">
        <f>'[84]MD10000.20-OCT'!$K$1</f>
        <v>0</v>
      </c>
      <c r="I9" s="20">
        <f>'[84]MD10000.20-OCT'!$K$2</f>
        <v>17</v>
      </c>
      <c r="J9" s="21" t="s">
        <v>51</v>
      </c>
      <c r="K9" s="22">
        <f>'[84]MD10000.20-OCT'!$B$3</f>
        <v>45226</v>
      </c>
      <c r="L9" s="19">
        <f>'[84]MD10000.20-OCT'!$O$2</f>
        <v>0</v>
      </c>
      <c r="M9" s="19">
        <f>'[84]MD10000.20-OCT'!$O$1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'[85]SM5000.1-SEPT (2)'!$C$1</f>
        <v>5000</v>
      </c>
      <c r="F10" s="20">
        <f>'[85]SM5000.1-SEPT (2)'!$K$1</f>
        <v>0</v>
      </c>
      <c r="G10" s="20">
        <f>'[85]SM5000.1-SEPT (2)'!$K$2</f>
        <v>60</v>
      </c>
      <c r="H10" s="20"/>
      <c r="I10" s="20"/>
      <c r="J10" s="21" t="s">
        <v>41</v>
      </c>
      <c r="K10" s="22">
        <f>'[85]SM5000.1-SEPT (2)'!$B$3</f>
        <v>45243</v>
      </c>
      <c r="L10" s="19">
        <f>'[85]SM5000.1-SEPT (2)'!$O$2</f>
        <v>0</v>
      </c>
      <c r="M10" s="19">
        <f>'[85]SM5000.1-SEPT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'[86]MD10000.20-OCT'!$C$1</f>
        <v>10000</v>
      </c>
      <c r="F11" s="20"/>
      <c r="G11" s="20"/>
      <c r="H11" s="20">
        <f>'[86]MD10000.20-OCT'!$K$1</f>
        <v>0</v>
      </c>
      <c r="I11" s="20">
        <f>'[86]MD10000.20-OCT'!$K$2</f>
        <v>17</v>
      </c>
      <c r="J11" s="21" t="s">
        <v>51</v>
      </c>
      <c r="K11" s="22">
        <f>'[86]MD10000.20-OCT'!$B$3</f>
        <v>45245</v>
      </c>
      <c r="L11" s="19">
        <f>'[86]MD10000.20-OCT'!$O$2</f>
        <v>0</v>
      </c>
      <c r="M11" s="19">
        <f>'[86]MD10000.20-OCT'!$O$1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'[87]MD15000.27-NOV'!$C$1</f>
        <v>15000</v>
      </c>
      <c r="F12" s="20"/>
      <c r="G12" s="20"/>
      <c r="H12" s="20">
        <f>'[87]MD15000.27-NOV'!$K$1</f>
        <v>0</v>
      </c>
      <c r="I12" s="20">
        <f>'[87]MD15000.27-NOV'!$K$2</f>
        <v>17</v>
      </c>
      <c r="J12" s="21" t="s">
        <v>51</v>
      </c>
      <c r="K12" s="22">
        <f>'[87]MD15000.27-NOV'!$B$3</f>
        <v>45266</v>
      </c>
      <c r="L12" s="19">
        <f>'[87]MD15000.27-NOV'!$O$2</f>
        <v>0</v>
      </c>
      <c r="M12" s="19">
        <f>'[87]MD15000.27-NOV'!$O$1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'[88]MD20000.15-DEC'!$C$1</f>
        <v>20000</v>
      </c>
      <c r="F13" s="20"/>
      <c r="G13" s="20"/>
      <c r="H13" s="20">
        <f>'[88]MD20000.15-DEC'!$K$1</f>
        <v>0</v>
      </c>
      <c r="I13" s="20">
        <f>'[88]MD20000.15-DEC'!$K$2</f>
        <v>17</v>
      </c>
      <c r="J13" s="21" t="s">
        <v>51</v>
      </c>
      <c r="K13" s="22">
        <f>'[88]MD20000.15-DEC'!$B$3</f>
        <v>45649</v>
      </c>
      <c r="L13" s="19">
        <f>'[88]MD20000.15-DEC'!$O$2</f>
        <v>0</v>
      </c>
      <c r="M13" s="19">
        <f>'[88]MD20000.15-DEC'!$O$1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'[89]MD20000.15-DEc'!$C$1</f>
        <v>20000</v>
      </c>
      <c r="F14" s="20"/>
      <c r="G14" s="20"/>
      <c r="H14" s="20">
        <f>'[89]MD20000.15-DEc'!$K$1</f>
        <v>0</v>
      </c>
      <c r="I14" s="20">
        <f>'[89]MD20000.15-DEc'!$K$2</f>
        <v>17</v>
      </c>
      <c r="J14" s="21" t="s">
        <v>51</v>
      </c>
      <c r="K14" s="22">
        <f>'[89]MD20000.15-DEc'!$B$3</f>
        <v>45646</v>
      </c>
      <c r="L14" s="19">
        <f>'[89]MD20000.15-DEc'!$O$2</f>
        <v>0</v>
      </c>
      <c r="M14" s="19">
        <f>'[89]MD20000.15-DEc'!$O$1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'[90]MD50000.15-DEC'!$C$1</f>
        <v>50000</v>
      </c>
      <c r="F15" s="20"/>
      <c r="G15" s="20"/>
      <c r="H15" s="20">
        <f>'[90]MD50000.15-DEC'!$K$1</f>
        <v>0</v>
      </c>
      <c r="I15" s="20">
        <f>'[90]MD50000.15-DEC'!$K$2</f>
        <v>48</v>
      </c>
      <c r="J15" s="21" t="s">
        <v>51</v>
      </c>
      <c r="K15" s="22">
        <f>'[90]MD50000.15-DEC'!$B$3</f>
        <v>45648</v>
      </c>
      <c r="L15" s="19">
        <f>'[90]MD50000.15-DEC'!$O$2</f>
        <v>0</v>
      </c>
      <c r="M15" s="19">
        <f>'[90]MD50000.15-DEC'!$O$1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'[91]MD20000.18-DEC'!$C$1</f>
        <v>20000</v>
      </c>
      <c r="F16" s="20">
        <f>'[91]MD20000.18-DEC'!$K$1</f>
        <v>0</v>
      </c>
      <c r="G16" s="20">
        <f>'[91]MD20000.18-DEC'!$K$2</f>
        <v>120</v>
      </c>
      <c r="H16" s="20"/>
      <c r="I16" s="20"/>
      <c r="J16" s="21" t="s">
        <v>53</v>
      </c>
      <c r="K16" s="22">
        <f>'[91]MD20000.18-DEC'!$B$3</f>
        <v>45279</v>
      </c>
      <c r="L16" s="19">
        <f>'[91]MD20000.18-DEC'!$O$2</f>
        <v>0</v>
      </c>
      <c r="M16" s="19">
        <f>'[91]MD20000.18-DEC'!$O$1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'[92]MD20000.22-DEC'!$C$1</f>
        <v>20000</v>
      </c>
      <c r="F17" s="20">
        <f>'[92]MD20000.22-DEC'!$K$1</f>
        <v>120</v>
      </c>
      <c r="G17" s="20">
        <f>'[92]MD20000.22-DEC'!$K$2</f>
        <v>0</v>
      </c>
      <c r="H17" s="20"/>
      <c r="I17" s="20"/>
      <c r="J17" s="21" t="s">
        <v>51</v>
      </c>
      <c r="K17" s="22">
        <f>'[92]MD20000.22-DEC'!$B$3</f>
        <v>0</v>
      </c>
      <c r="L17" s="19"/>
      <c r="M17" s="19">
        <f>'[92]MD20000.22-DEC'!$O$1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'[93]MD50000.15-DEC'!$C$1</f>
        <v>10000</v>
      </c>
      <c r="F18" s="20"/>
      <c r="G18" s="20"/>
      <c r="H18" s="20">
        <f>'[93]MD50000.15-DEC'!$K$1</f>
        <v>0</v>
      </c>
      <c r="I18" s="20">
        <f>'[93]MD50000.15-DEC'!$K$2</f>
        <v>48</v>
      </c>
      <c r="J18" s="21" t="s">
        <v>51</v>
      </c>
      <c r="K18" s="22">
        <f>'[93]MD50000.15-DEC'!$B$3</f>
        <v>45310</v>
      </c>
      <c r="L18" s="19">
        <f>'[93]MD50000.15-DEC'!$O$2</f>
        <v>0</v>
      </c>
      <c r="M18" s="19">
        <f>'[93]MD50000.15-DEC'!$O$1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'[94]MD5000-Jan24'!$C$1</f>
        <v>5000</v>
      </c>
      <c r="F19" s="20">
        <f>'[94]MD5000-Jan24'!$K$1</f>
        <v>0</v>
      </c>
      <c r="G19" s="20">
        <f>'[94]MD5000-Jan24'!$K$2</f>
        <v>60</v>
      </c>
      <c r="H19" s="20"/>
      <c r="I19" s="20"/>
      <c r="J19" s="21" t="s">
        <v>51</v>
      </c>
      <c r="K19" s="22">
        <f>'[94]MD5000-Jan24'!$B$3</f>
        <v>45302</v>
      </c>
      <c r="L19" s="19">
        <f>'[94]MD5000-Jan24'!$O$2</f>
        <v>0</v>
      </c>
      <c r="M19" s="19">
        <f>'[94]MD5000-Jan24'!$O$1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'[95]MD10000.10-JAN'!$C$1</f>
        <v>10000</v>
      </c>
      <c r="F20" s="20"/>
      <c r="G20" s="20"/>
      <c r="H20" s="20">
        <f>'[95]MD10000.10-JAN'!$K$1</f>
        <v>0</v>
      </c>
      <c r="I20" s="20">
        <f>'[95]MD10000.10-JAN'!$K$2</f>
        <v>48</v>
      </c>
      <c r="J20" s="21" t="s">
        <v>12</v>
      </c>
      <c r="K20" s="22">
        <f>'[95]MD10000.10-JAN'!$B$3</f>
        <v>45308</v>
      </c>
      <c r="L20" s="19">
        <f>'[95]MD10000.10-JAN'!$O$2</f>
        <v>0</v>
      </c>
      <c r="M20" s="19">
        <f>'[95]MD10000.10-JAN'!$O$1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'[96]MD10000.10-JAN'!$C$1</f>
        <v>10000</v>
      </c>
      <c r="F21" s="20"/>
      <c r="G21" s="20"/>
      <c r="H21" s="20">
        <f>'[96]MD10000.10-JAN'!$K$1</f>
        <v>0</v>
      </c>
      <c r="I21" s="20">
        <f>'[96]MD10000.10-JAN'!$K$2</f>
        <v>48</v>
      </c>
      <c r="J21" s="21" t="s">
        <v>51</v>
      </c>
      <c r="K21" s="22">
        <f>'[96]MD10000.10-JAN'!$B$3</f>
        <v>45308</v>
      </c>
      <c r="L21" s="19">
        <f>'[96]MD10000.10-JAN'!$O$2</f>
        <v>0</v>
      </c>
      <c r="M21" s="19">
        <f>'[96]MD10000.10-JAN'!$O$1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'[97]MD10000.20-OCT'!$C$1</f>
        <v>5000</v>
      </c>
      <c r="F22" s="20"/>
      <c r="G22" s="20"/>
      <c r="H22" s="20">
        <f>'[97]MD10000.20-OCT'!$K$1</f>
        <v>0</v>
      </c>
      <c r="I22" s="20">
        <f>'[97]MD10000.20-OCT'!$K$2</f>
        <v>17</v>
      </c>
      <c r="J22" s="21" t="s">
        <v>51</v>
      </c>
      <c r="K22" s="22">
        <f>'[97]MD10000.20-OCT'!$B$3</f>
        <v>45316</v>
      </c>
      <c r="L22" s="19">
        <f>'[97]MD10000.20-OCT'!$O$2</f>
        <v>0</v>
      </c>
      <c r="M22" s="19">
        <f>'[97]MD10000.20-OCT'!$O$1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'[98]MD10000.20-OCT'!$C$1</f>
        <v>10000</v>
      </c>
      <c r="F23" s="20"/>
      <c r="G23" s="20"/>
      <c r="H23" s="20">
        <f>'[98]MD10000.20-OCT'!$K$1</f>
        <v>0</v>
      </c>
      <c r="I23" s="20">
        <f>'[98]MD10000.20-OCT'!$K$2</f>
        <v>48</v>
      </c>
      <c r="J23" s="21" t="s">
        <v>51</v>
      </c>
      <c r="K23" s="22">
        <f>'[98]MD10000.20-OCT'!$B$3</f>
        <v>45324</v>
      </c>
      <c r="L23" s="19">
        <f>'[98]MD10000.20-OCT'!$O$2</f>
        <v>0</v>
      </c>
      <c r="M23" s="19">
        <f>'[98]MD10000.20-OCT'!$O$1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'[99]MD10000.20-OCT'!$C$1</f>
        <v>10000</v>
      </c>
      <c r="F24" s="20"/>
      <c r="G24" s="20"/>
      <c r="H24" s="20">
        <f>'[99]MD10000.20-OCT'!$K$1</f>
        <v>0</v>
      </c>
      <c r="I24" s="20">
        <f>'[99]MD10000.20-OCT'!$K$2</f>
        <v>48</v>
      </c>
      <c r="J24" s="21" t="s">
        <v>51</v>
      </c>
      <c r="K24" s="22">
        <f>'[99]MD10000.20-OCT'!$B$3</f>
        <v>45327</v>
      </c>
      <c r="L24" s="19">
        <f>'[99]MD10000.20-OCT'!$O$2</f>
        <v>0</v>
      </c>
      <c r="M24" s="19">
        <f>'[99]MD10000.20-OCT'!$O$1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'[100]SM5000.1-oct'!$C$1</f>
        <v>5000</v>
      </c>
      <c r="F25" s="20">
        <f>'[100]SM5000.1-oct'!$K$1</f>
        <v>0</v>
      </c>
      <c r="G25" s="20">
        <f>'[100]SM5000.1-oct'!$K$2</f>
        <v>60</v>
      </c>
      <c r="H25" s="20"/>
      <c r="I25" s="20"/>
      <c r="J25" s="21" t="s">
        <v>12</v>
      </c>
      <c r="K25" s="22">
        <f>'[100]SM5000.1-oct'!$B$3</f>
        <v>45323</v>
      </c>
      <c r="L25" s="19">
        <f>'[100]SM5000.1-oct'!$O$2</f>
        <v>0</v>
      </c>
      <c r="M25" s="19">
        <f>'[100]SM5000.1-oct'!$O$1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'[101]MD10000.20-OCT'!$C$1</f>
        <v>5000</v>
      </c>
      <c r="F26" s="20"/>
      <c r="G26" s="20"/>
      <c r="H26" s="20">
        <f>'[101]MD10000.20-OCT'!$K$1</f>
        <v>0</v>
      </c>
      <c r="I26" s="20">
        <f>'[101]MD10000.20-OCT'!$K$2</f>
        <v>17</v>
      </c>
      <c r="J26" s="21" t="s">
        <v>51</v>
      </c>
      <c r="K26" s="22">
        <f>'[101]MD10000.20-OCT'!$B$3</f>
        <v>45332</v>
      </c>
      <c r="L26" s="19">
        <f>'[101]MD10000.20-OCT'!$O$2</f>
        <v>0</v>
      </c>
      <c r="M26" s="19">
        <f>'[101]MD10000.20-OCT'!$O$1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'[102]MD10000.1-OCT'!$C$1</f>
        <v>10000</v>
      </c>
      <c r="F27" s="20">
        <f>'[102]MD10000.1-OCT'!$K$1</f>
        <v>0</v>
      </c>
      <c r="G27" s="20">
        <f>'[102]MD10000.1-OCT'!$K$2</f>
        <v>120</v>
      </c>
      <c r="H27" s="20"/>
      <c r="I27" s="20"/>
      <c r="J27" s="21" t="s">
        <v>12</v>
      </c>
      <c r="K27" s="22">
        <f>'[102]MD10000.1-OCT'!$B$3</f>
        <v>45339</v>
      </c>
      <c r="L27" s="19">
        <f>'[102]MD10000.1-OCT'!$O$2</f>
        <v>0</v>
      </c>
      <c r="M27" s="19">
        <f>'[102]MD10000.1-OCT'!$O$1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'[103]MD10000.1-OCT'!$C$1</f>
        <v>10000</v>
      </c>
      <c r="F28" s="20">
        <f>'[103]MD10000.1-OCT'!$K$1</f>
        <v>0</v>
      </c>
      <c r="G28" s="20">
        <f>'[103]MD10000.1-OCT'!$K$2</f>
        <v>120</v>
      </c>
      <c r="H28" s="20"/>
      <c r="I28" s="20"/>
      <c r="J28" s="21" t="s">
        <v>51</v>
      </c>
      <c r="K28" s="22">
        <f>'[103]MD10000.1-OCT'!$B$3</f>
        <v>45334</v>
      </c>
      <c r="L28" s="19">
        <f>'[103]MD10000.1-OCT'!$O$2</f>
        <v>0</v>
      </c>
      <c r="M28" s="19">
        <f>'[103]MD10000.1-OCT'!$O$1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'[104]MD20000.15-DEC'!$C$1</f>
        <v>20000</v>
      </c>
      <c r="F29" s="20"/>
      <c r="G29" s="20"/>
      <c r="H29" s="20">
        <f>'[104]MD20000.15-DEC'!$K$1</f>
        <v>5</v>
      </c>
      <c r="I29" s="20">
        <f>'[104]MD20000.15-DEC'!$K$2</f>
        <v>12</v>
      </c>
      <c r="J29" s="21" t="s">
        <v>51</v>
      </c>
      <c r="K29" s="22">
        <f>'[104]MD20000.15-DEC'!$B$3</f>
        <v>45337</v>
      </c>
      <c r="L29" s="19">
        <f>'[105]MD20000.15-DEC'!$O$2</f>
        <v>0</v>
      </c>
      <c r="M29" s="19">
        <f>'[105]MD20000.15-DEC'!$O$1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'[106]MD20000.15-DEC'!$C$1</f>
        <v>20000</v>
      </c>
      <c r="F30" s="20"/>
      <c r="G30" s="20"/>
      <c r="H30" s="20">
        <f>'[106]MD20000.15-DEC'!$K$1</f>
        <v>0</v>
      </c>
      <c r="I30" s="20">
        <f>'[106]MD20000.15-DEC'!$K$2</f>
        <v>17</v>
      </c>
      <c r="J30" s="21" t="s">
        <v>51</v>
      </c>
      <c r="K30" s="22">
        <f>'[106]MD20000.15-DEC'!$B$3</f>
        <v>45345</v>
      </c>
      <c r="L30" s="19">
        <f>'[106]MD20000.15-DEC'!$O$2</f>
        <v>0</v>
      </c>
      <c r="M30" s="19">
        <f>'[106]MD20000.15-DEC'!$O$1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'[107]MD20000.18-DEC'!$C$1</f>
        <v>30000</v>
      </c>
      <c r="F31" s="20">
        <f>'[107]MD20000.18-DEC'!$K$1</f>
        <v>0</v>
      </c>
      <c r="G31" s="20">
        <f>'[107]MD20000.18-DEC'!$K$2</f>
        <v>120</v>
      </c>
      <c r="H31" s="20"/>
      <c r="I31" s="20"/>
      <c r="J31" s="21" t="s">
        <v>51</v>
      </c>
      <c r="K31" s="22">
        <f>'[107]MD20000.18-DEC'!$B$3</f>
        <v>45354</v>
      </c>
      <c r="L31" s="19">
        <f>'[107]MD20000.18-DEC'!$O$2</f>
        <v>0</v>
      </c>
      <c r="M31" s="19">
        <f>'[107]MD20000.18-DEC'!$O$1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'[108]MD10000.10-JAN'!$C$1</f>
        <v>10000</v>
      </c>
      <c r="F32" s="20"/>
      <c r="G32" s="20"/>
      <c r="H32" s="20">
        <f>'[108]MD10000.10-JAN'!$K$1</f>
        <v>0</v>
      </c>
      <c r="I32" s="20">
        <f>'[108]MD10000.10-JAN'!$K$2</f>
        <v>48</v>
      </c>
      <c r="J32" s="21" t="s">
        <v>12</v>
      </c>
      <c r="K32" s="22">
        <f>'[108]MD10000.10-JAN'!$B$3</f>
        <v>45366</v>
      </c>
      <c r="L32" s="19">
        <f>'[108]MD10000.10-JAN'!$O$2</f>
        <v>0</v>
      </c>
      <c r="M32" s="19">
        <f>'[108]MD10000.10-JAN'!$O$1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'[109]MD20000.15-DEc'!$C$1</f>
        <v>20000</v>
      </c>
      <c r="F33" s="20"/>
      <c r="G33" s="20"/>
      <c r="H33" s="20">
        <f>'[109]MD20000.15-DEc'!$K$1</f>
        <v>0</v>
      </c>
      <c r="I33" s="20">
        <f>'[109]MD20000.15-DEc'!$K$2</f>
        <v>17</v>
      </c>
      <c r="J33" s="21" t="s">
        <v>51</v>
      </c>
      <c r="K33" s="22">
        <f>'[109]MD20000.15-DEc'!$B$3</f>
        <v>45380</v>
      </c>
      <c r="L33" s="19">
        <f>'[109]MD20000.15-DEc'!$O$2</f>
        <v>0</v>
      </c>
      <c r="M33" s="19">
        <f>'[109]MD20000.15-DEc'!$O$1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'[110]MD10000.10-JAN'!$C$1</f>
        <v>10000</v>
      </c>
      <c r="F34" s="20"/>
      <c r="G34" s="20"/>
      <c r="H34" s="20">
        <f>'[110]MD10000.10-JAN'!$K$1</f>
        <v>0</v>
      </c>
      <c r="I34" s="20">
        <f>'[110]MD10000.10-JAN'!$K$2</f>
        <v>48</v>
      </c>
      <c r="J34" s="21" t="s">
        <v>12</v>
      </c>
      <c r="K34" s="22">
        <f>'[110]MD10000.10-JAN'!$B$3</f>
        <v>45389</v>
      </c>
      <c r="L34" s="19">
        <f>'[110]MD10000.10-JAN'!$O$2</f>
        <v>0</v>
      </c>
      <c r="M34" s="19">
        <f>'[110]MD10000.10-JAN'!$O$1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'[111]MD20000.15-DEc'!$C$1</f>
        <v>20000</v>
      </c>
      <c r="F35" s="20"/>
      <c r="G35" s="20"/>
      <c r="H35" s="20">
        <f>'[111]MD20000.15-DEc'!$G$1</f>
        <v>17</v>
      </c>
      <c r="I35" s="20">
        <f>'[111]MD20000.15-DEc'!$K$2</f>
        <v>17</v>
      </c>
      <c r="J35" s="21" t="s">
        <v>77</v>
      </c>
      <c r="K35" s="22">
        <f>'[111]MD20000.15-DEc'!$B$3</f>
        <v>45394</v>
      </c>
      <c r="L35" s="19">
        <f>'[111]MD20000.15-DEc'!$O$2</f>
        <v>0</v>
      </c>
      <c r="M35" s="19">
        <f>'[111]MD20000.15-DEc'!$O$1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'[112]MD20000.15-DEc'!$C$1</f>
        <v>20000</v>
      </c>
      <c r="F37" s="20"/>
      <c r="G37" s="20"/>
      <c r="H37" s="20">
        <f>'[112]MD20000.15-DEc'!$G$1</f>
        <v>17</v>
      </c>
      <c r="I37" s="20">
        <f>'[112]MD20000.15-DEc'!$K$2</f>
        <v>17</v>
      </c>
      <c r="J37" s="21" t="s">
        <v>12</v>
      </c>
      <c r="K37" s="22">
        <f>'[112]MD20000.15-DEc'!$B$3</f>
        <v>45406</v>
      </c>
      <c r="L37" s="19">
        <f>'[112]MD20000.15-DEc'!$O$2</f>
        <v>0</v>
      </c>
      <c r="M37" s="19">
        <f>'[112]MD20000.15-DEc'!$O$1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'[113]MD10000.20-OCT'!$C$1</f>
        <v>5000</v>
      </c>
      <c r="F38" s="20"/>
      <c r="G38" s="20"/>
      <c r="H38" s="20">
        <f>'[113]MD10000.20-OCT'!$G$1</f>
        <v>17</v>
      </c>
      <c r="I38" s="20">
        <f>'[113]MD10000.20-OCT'!$K$2</f>
        <v>17</v>
      </c>
      <c r="J38" s="21" t="s">
        <v>77</v>
      </c>
      <c r="K38" s="22">
        <f>'[113]MD10000.20-OCT'!$B$3</f>
        <v>45406</v>
      </c>
      <c r="L38" s="19">
        <f>'[113]MD10000.20-OCT'!$O$2</f>
        <v>0</v>
      </c>
      <c r="M38" s="19">
        <f>'[113]MD10000.20-OCT'!$O$1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'[114]MD50000.15-DEC'!$C$1</f>
        <v>40000</v>
      </c>
      <c r="F39" s="20"/>
      <c r="G39" s="20"/>
      <c r="H39" s="20">
        <f>'[114]MD50000.15-DEC'!$K$1</f>
        <v>47</v>
      </c>
      <c r="I39" s="20">
        <f>'[114]MD50000.15-DEC'!$K$2</f>
        <v>1</v>
      </c>
      <c r="J39" s="21" t="s">
        <v>12</v>
      </c>
      <c r="K39" s="22">
        <f>'[114]MD50000.15-DEC'!$B$3</f>
        <v>45416</v>
      </c>
      <c r="L39" s="19">
        <f>'[115]MD50000.15-DEC'!$O$2</f>
        <v>0</v>
      </c>
      <c r="M39" s="19">
        <f>'[114]MD50000.15-DEC'!$O$1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'[116]MD10000.20-OCT'!$C$1</f>
        <v>5000</v>
      </c>
      <c r="F40" s="20"/>
      <c r="G40" s="20"/>
      <c r="H40" s="20">
        <f>'[116]MD10000.20-OCT'!$K$1</f>
        <v>0</v>
      </c>
      <c r="I40" s="20">
        <f>'[116]MD10000.20-OCT'!$K$2</f>
        <v>17</v>
      </c>
      <c r="J40" s="21" t="s">
        <v>51</v>
      </c>
      <c r="K40" s="22">
        <f>'[116]MD10000.20-OCT'!$B$3</f>
        <v>45427</v>
      </c>
      <c r="L40" s="19">
        <f>'[116]MD10000.20-OCT'!$O$2</f>
        <v>0</v>
      </c>
      <c r="M40" s="19">
        <f>'[116]MD10000.20-OCT'!$O$1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'[117]MD20000.18-DEC'!$C$1</f>
        <v>20000</v>
      </c>
      <c r="F41" s="20">
        <f>'[117]MD20000.18-DEC'!$K$1</f>
        <v>0</v>
      </c>
      <c r="G41" s="20">
        <f>'[117]MD20000.18-DEC'!$K$2</f>
        <v>120</v>
      </c>
      <c r="H41" s="20"/>
      <c r="I41" s="20"/>
      <c r="J41" s="21" t="s">
        <v>77</v>
      </c>
      <c r="K41" s="22">
        <f>'[117]MD20000.18-DEC'!$B$3</f>
        <v>45425</v>
      </c>
      <c r="L41" s="19">
        <f>'[117]MD20000.18-DEC'!$O$2</f>
        <v>0</v>
      </c>
      <c r="M41" s="19">
        <f>'[117]MD20000.18-DEC'!$O$1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'[118]MD10000.20-OCT'!$C$1</f>
        <v>5000</v>
      </c>
      <c r="F42" s="20"/>
      <c r="G42" s="20"/>
      <c r="H42" s="20">
        <f>'[118]MD10000.20-OCT'!$K$1</f>
        <v>0</v>
      </c>
      <c r="I42" s="20">
        <f>'[118]MD10000.20-OCT'!$K$2</f>
        <v>17</v>
      </c>
      <c r="J42" s="21" t="s">
        <v>51</v>
      </c>
      <c r="K42" s="22">
        <f>'[118]MD10000.20-OCT'!$B$3</f>
        <v>45436</v>
      </c>
      <c r="L42" s="19">
        <f>'[118]MD10000.20-OCT'!$O$2</f>
        <v>0</v>
      </c>
      <c r="M42" s="19">
        <f>'[118]MD10000.20-OCT'!$O$1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'[119]MD20000.22-DEC'!$C$1</f>
        <v>20000</v>
      </c>
      <c r="F43" s="20">
        <f>'[119]MD20000.22-DEC'!$K$1</f>
        <v>0</v>
      </c>
      <c r="G43" s="20">
        <f>'[119]MD20000.22-DEC'!$K$2</f>
        <v>120</v>
      </c>
      <c r="H43" s="20"/>
      <c r="I43" s="20"/>
      <c r="J43" s="21" t="s">
        <v>12</v>
      </c>
      <c r="K43" s="22">
        <f>'[119]MD20000.22-DEC'!$B$3</f>
        <v>45432</v>
      </c>
      <c r="L43" s="19">
        <f>'[119]MD20000.22-DEC'!$O$2</f>
        <v>0</v>
      </c>
      <c r="M43" s="19">
        <f>'[119]MD20000.22-DEC'!$O$1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'[120]MD10000.1-OCT'!$C$1</f>
        <v>10000</v>
      </c>
      <c r="F44" s="20">
        <f>'[120]MD10000.1-OCT'!$G$1</f>
        <v>120</v>
      </c>
      <c r="G44" s="20">
        <f>'[120]MD10000.1-OCT'!$K$1</f>
        <v>0</v>
      </c>
      <c r="H44" s="20"/>
      <c r="I44" s="20"/>
      <c r="J44" s="21" t="s">
        <v>77</v>
      </c>
      <c r="K44" s="22">
        <f>'[120]MD10000.1-OCT'!$B$3</f>
        <v>45437</v>
      </c>
      <c r="L44" s="19">
        <f>'[120]MD10000.1-OCT'!$O$2</f>
        <v>0</v>
      </c>
      <c r="M44" s="19">
        <f>'[120]MD10000.1-OCT'!$O$1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'[121]MD10000.20-OCT'!$C$1</f>
        <v>5000</v>
      </c>
      <c r="F45" s="20"/>
      <c r="G45" s="20"/>
      <c r="H45" s="20">
        <f>'[121]MD10000.20-OCT'!$K$1</f>
        <v>0</v>
      </c>
      <c r="I45" s="20">
        <f>'[121]MD10000.20-OCT'!$K$2</f>
        <v>17</v>
      </c>
      <c r="J45" s="21" t="s">
        <v>51</v>
      </c>
      <c r="K45" s="22">
        <f>'[121]MD10000.20-OCT'!$B$3</f>
        <v>45444</v>
      </c>
      <c r="L45" s="19"/>
      <c r="M45" s="19">
        <f>'[121]MD10000.20-OCT'!$O$1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'[122]MD10000.1-OCT'!$C$1</f>
        <v>10000</v>
      </c>
      <c r="F46" s="20"/>
      <c r="G46" s="20"/>
      <c r="H46" s="20">
        <f>'[123]MD10000.1-OCT'!$K$1</f>
        <v>0</v>
      </c>
      <c r="I46" s="20">
        <f>'[123]MD10000.1-OCT'!$K$2</f>
        <v>17</v>
      </c>
      <c r="J46" s="21" t="s">
        <v>77</v>
      </c>
      <c r="K46" s="22">
        <f>'[122]MD10000.1-OCT'!$B$3</f>
        <v>45450</v>
      </c>
      <c r="L46" s="19">
        <f>'[123]MD10000.1-OCT'!$O$2</f>
        <v>0</v>
      </c>
      <c r="M46" s="19">
        <f>'[123]MD10000.1-OCT'!$O$1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'[124]MD20000.22-DEC'!$C$1</f>
        <v>20000</v>
      </c>
      <c r="F47" s="20">
        <f>'[124]MD20000.22-DEC'!$K$1</f>
        <v>0</v>
      </c>
      <c r="G47" s="20">
        <f>'[124]MD20000.22-DEC'!$K$2</f>
        <v>120</v>
      </c>
      <c r="H47" s="20"/>
      <c r="I47" s="20"/>
      <c r="J47" s="21" t="s">
        <v>77</v>
      </c>
      <c r="K47" s="22">
        <f>'[124]MD20000.22-DEC'!$B$3</f>
        <v>45446</v>
      </c>
      <c r="L47" s="19">
        <f>'[124]MD20000.22-DEC'!$O$2</f>
        <v>0</v>
      </c>
      <c r="M47" s="19">
        <f>'[124]MD20000.22-DEC'!$O$1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'[125]MD20000.22-DEC'!$C$1</f>
        <v>10000</v>
      </c>
      <c r="F48" s="20">
        <f>'[125]MD20000.22-DEC'!$K$1</f>
        <v>0</v>
      </c>
      <c r="G48" s="20">
        <f>'[125]MD20000.22-DEC'!$K$2</f>
        <v>120</v>
      </c>
      <c r="H48" s="20"/>
      <c r="I48" s="20"/>
      <c r="J48" s="21" t="s">
        <v>77</v>
      </c>
      <c r="K48" s="22">
        <f>'[125]MD20000.22-DEC'!$B$3</f>
        <v>45473</v>
      </c>
      <c r="L48" s="19">
        <f>'[125]MD20000.22-DEC'!$O$2</f>
        <v>0</v>
      </c>
      <c r="M48" s="19">
        <f>'[125]MD20000.22-DEC'!$O$1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'[126]MD20000.15-DEc'!$C$1</f>
        <v>20000</v>
      </c>
      <c r="F49" s="20"/>
      <c r="G49" s="20"/>
      <c r="H49" s="20">
        <f>'[126]MD20000.15-DEc'!$K$1</f>
        <v>0</v>
      </c>
      <c r="I49" s="20">
        <f>'[126]MD20000.15-DEc'!$K$2</f>
        <v>17</v>
      </c>
      <c r="J49" s="21" t="s">
        <v>12</v>
      </c>
      <c r="K49" s="22">
        <f>'[126]MD20000.15-DEc'!$B$3</f>
        <v>45495</v>
      </c>
      <c r="L49" s="19">
        <f>'[126]MD20000.15-DEc'!$O$2</f>
        <v>0</v>
      </c>
      <c r="M49" s="19">
        <f>'[126]MD20000.15-DEc'!$O$1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'[127]MD20000.15-DEc'!$C$1</f>
        <v>10000</v>
      </c>
      <c r="F50" s="20"/>
      <c r="G50" s="20"/>
      <c r="H50" s="20">
        <f>'[127]MD20000.15-DEc'!$K$1</f>
        <v>0</v>
      </c>
      <c r="I50" s="20">
        <f>'[127]MD20000.15-DEc'!$K$2</f>
        <v>17</v>
      </c>
      <c r="J50" s="21" t="s">
        <v>12</v>
      </c>
      <c r="K50" s="22">
        <f>'[127]MD20000.15-DEc'!$B$3</f>
        <v>45496</v>
      </c>
      <c r="L50" s="19">
        <f>'[127]MD20000.15-DEc'!$O$2</f>
        <v>0</v>
      </c>
      <c r="M50" s="19">
        <f>'[127]MD20000.15-DEc'!$O$1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'[128]MD20000.18-DEC'!$C$1</f>
        <v>20000</v>
      </c>
      <c r="F51" s="20">
        <f>'[128]MD20000.18-DEC'!$K$1</f>
        <v>0</v>
      </c>
      <c r="G51" s="20">
        <f>'[128]MD20000.18-DEC'!$K$2</f>
        <v>120</v>
      </c>
      <c r="H51" s="20"/>
      <c r="I51" s="20"/>
      <c r="J51" s="21" t="s">
        <v>12</v>
      </c>
      <c r="K51" s="22">
        <f>'[128]MD20000.18-DEC'!$B$3</f>
        <v>45493</v>
      </c>
      <c r="L51" s="19">
        <f>'[128]MD20000.18-DEC'!$O$2</f>
        <v>0</v>
      </c>
      <c r="M51" s="19">
        <f>'[128]MD20000.18-DEC'!$O$1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'[129]MD20000.15-DEc'!$C$1</f>
        <v>10000</v>
      </c>
      <c r="F52" s="20"/>
      <c r="G52" s="20"/>
      <c r="H52" s="20">
        <f>'[129]MD20000.15-DEc'!$K$1</f>
        <v>0</v>
      </c>
      <c r="I52" s="20">
        <f>'[129]MD20000.15-DEc'!$K$2</f>
        <v>17</v>
      </c>
      <c r="J52" s="21" t="s">
        <v>12</v>
      </c>
      <c r="K52" s="22">
        <f>'[129]MD20000.15-DEc'!$B$3</f>
        <v>45502</v>
      </c>
      <c r="L52" s="19">
        <f>'[129]MD20000.15-DEc'!$O$2</f>
        <v>0</v>
      </c>
      <c r="M52" s="19">
        <f>'[129]MD20000.15-DEc'!$O$1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'[130]MD50000.15-DEC'!$C$1</f>
        <v>20000</v>
      </c>
      <c r="F53" s="20"/>
      <c r="G53" s="20"/>
      <c r="H53" s="20">
        <f>'[130]MD50000.15-DEC'!$K$1</f>
        <v>0</v>
      </c>
      <c r="I53" s="20">
        <f>'[130]MD50000.15-DEC'!$K$2</f>
        <v>17</v>
      </c>
      <c r="J53" s="21" t="s">
        <v>12</v>
      </c>
      <c r="K53" s="22">
        <f>'[130]MD50000.15-DEC'!$B$3</f>
        <v>45504</v>
      </c>
      <c r="L53" s="19">
        <f>'[130]MD50000.15-DEC'!$O$2</f>
        <v>0</v>
      </c>
      <c r="M53" s="19">
        <f>'[130]MD50000.15-DEC'!$O$1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'[131]MD10000.20-OCT'!$C$1</f>
        <v>5000</v>
      </c>
      <c r="F54" s="20"/>
      <c r="G54" s="20"/>
      <c r="H54" s="20">
        <f>'[131]MD10000.20-OCT'!$K$1</f>
        <v>0</v>
      </c>
      <c r="I54" s="20">
        <f>'[131]MD10000.20-OCT'!$K$2</f>
        <v>17</v>
      </c>
      <c r="J54" s="21" t="s">
        <v>51</v>
      </c>
      <c r="K54" s="22">
        <f>'[131]MD10000.20-OCT'!$B$3</f>
        <v>45511</v>
      </c>
      <c r="L54" s="19">
        <f>'[131]MD10000.20-OCT'!$O$2</f>
        <v>0</v>
      </c>
      <c r="M54" s="19">
        <f>'[131]MD10000.20-OCT'!$O$1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'[132]MD20000.18-DEC'!$C$1</f>
        <v>30000</v>
      </c>
      <c r="F55" s="20">
        <f>'[132]MD20000.18-DEC'!$K$1</f>
        <v>0</v>
      </c>
      <c r="G55" s="20">
        <f>'[132]MD20000.18-DEC'!$K$2</f>
        <v>120</v>
      </c>
      <c r="H55" s="20"/>
      <c r="I55" s="20"/>
      <c r="J55" s="21" t="s">
        <v>51</v>
      </c>
      <c r="K55" s="22">
        <f>'[132]MD20000.18-DEC'!$B$3</f>
        <v>45508</v>
      </c>
      <c r="L55" s="19">
        <f>'[132]MD20000.18-DEC'!$O$2</f>
        <v>0</v>
      </c>
      <c r="M55" s="19">
        <f>'[132]MD20000.18-DEC'!$O$1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'[133]MD20000.18-DEC'!$C$1</f>
        <v>10000</v>
      </c>
      <c r="F56" s="20">
        <f>'[133]MD20000.18-DEC'!$K$1</f>
        <v>0</v>
      </c>
      <c r="G56" s="20">
        <f>'[133]MD20000.18-DEC'!$K$2</f>
        <v>120</v>
      </c>
      <c r="H56" s="20"/>
      <c r="I56" s="20"/>
      <c r="J56" s="21" t="s">
        <v>12</v>
      </c>
      <c r="K56" s="22">
        <f>'[133]MD20000.18-DEC'!$B$3</f>
        <v>45514</v>
      </c>
      <c r="L56" s="19">
        <f>'[133]MD20000.18-DEC'!$O$2</f>
        <v>0</v>
      </c>
      <c r="M56" s="19">
        <f>'[133]MD20000.18-DEC'!$O$1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'[134]MD20000.15-DEc'!$C$1</f>
        <v>20000</v>
      </c>
      <c r="F57" s="20"/>
      <c r="G57" s="20"/>
      <c r="H57" s="20">
        <f>'[134]MD20000.15-DEc'!$K$1</f>
        <v>0</v>
      </c>
      <c r="I57" s="20">
        <f>'[134]MD20000.15-DEc'!$K$2</f>
        <v>17</v>
      </c>
      <c r="J57" s="21" t="s">
        <v>12</v>
      </c>
      <c r="K57" s="22">
        <f>'[134]MD20000.15-DEc'!$B$3</f>
        <v>45527</v>
      </c>
      <c r="L57" s="19">
        <f>'[134]MD20000.15-DEc'!$O$2</f>
        <v>0</v>
      </c>
      <c r="M57" s="19">
        <f>'[134]MD20000.15-DEc'!$O$1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'[135]MD20000.15-DEc'!$C$1</f>
        <v>10000</v>
      </c>
      <c r="F58" s="20"/>
      <c r="G58" s="20"/>
      <c r="H58" s="20">
        <f>'[135]MD20000.15-DEc'!$K$1</f>
        <v>0</v>
      </c>
      <c r="I58" s="20">
        <f>'[135]MD20000.15-DEc'!$K$2</f>
        <v>17</v>
      </c>
      <c r="J58" s="21" t="s">
        <v>12</v>
      </c>
      <c r="K58" s="22">
        <f>'[135]MD20000.15-DEc'!$B$3</f>
        <v>45531</v>
      </c>
      <c r="L58" s="19">
        <f>'[135]MD20000.15-DEc'!$O$2</f>
        <v>0</v>
      </c>
      <c r="M58" s="19">
        <f>'[135]MD20000.15-DEc'!$O$1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'[136]MD10000.20-OCT'!$C$1</f>
        <v>5000</v>
      </c>
      <c r="F59" s="20"/>
      <c r="G59" s="20"/>
      <c r="H59" s="20">
        <f>'[136]MD10000.20-OCT'!$K$1</f>
        <v>0</v>
      </c>
      <c r="I59" s="20">
        <f>'[136]MD10000.20-OCT'!$K$2</f>
        <v>17</v>
      </c>
      <c r="J59" s="21" t="s">
        <v>51</v>
      </c>
      <c r="K59" s="22">
        <f>'[136]MD10000.20-OCT'!$B$3</f>
        <v>45532</v>
      </c>
      <c r="L59" s="19">
        <f>'[136]MD10000.20-OCT'!$O$2</f>
        <v>0</v>
      </c>
      <c r="M59" s="19">
        <f>'[136]MD10000.20-OCT'!$O$1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'[137]MD20000.15-DEc'!$C$1</f>
        <v>10000</v>
      </c>
      <c r="F60" s="20"/>
      <c r="G60" s="20"/>
      <c r="H60" s="20">
        <f>'[137]MD20000.15-DEc'!$K$1</f>
        <v>0</v>
      </c>
      <c r="I60" s="20">
        <f>'[137]MD20000.15-DEc'!$K$2</f>
        <v>17</v>
      </c>
      <c r="J60" s="21" t="s">
        <v>12</v>
      </c>
      <c r="K60" s="22">
        <f>'[137]MD20000.15-DEc'!$B$3</f>
        <v>45534</v>
      </c>
      <c r="L60" s="19">
        <f>'[137]MD20000.15-DEc'!$O$2</f>
        <v>0</v>
      </c>
      <c r="M60" s="19">
        <f>'[137]MD20000.15-DEc'!$O$1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'[138]MD10000.20-OCT'!$C$1</f>
        <v>5000</v>
      </c>
      <c r="F61" s="20"/>
      <c r="G61" s="20"/>
      <c r="H61" s="20">
        <f>'[138]MD10000.20-OCT'!$K$1</f>
        <v>0</v>
      </c>
      <c r="I61" s="20">
        <f>'[138]MD10000.20-OCT'!$K$2</f>
        <v>17</v>
      </c>
      <c r="J61" s="21" t="s">
        <v>51</v>
      </c>
      <c r="K61" s="22">
        <f>'[138]MD10000.20-OCT'!$B$3</f>
        <v>45536</v>
      </c>
      <c r="L61" s="19">
        <f>'[138]MD10000.20-OCT'!$O$2</f>
        <v>0</v>
      </c>
      <c r="M61" s="19">
        <f>'[138]MD10000.20-OCT'!$O$1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'[139]MD20000.22-DEC'!$C$1</f>
        <v>20000</v>
      </c>
      <c r="F62" s="20">
        <f>'[139]MD20000.22-DEC'!$K$1</f>
        <v>0</v>
      </c>
      <c r="G62" s="20">
        <f>'[139]MD20000.22-DEC'!$K$2</f>
        <v>120</v>
      </c>
      <c r="H62" s="20"/>
      <c r="I62" s="20"/>
      <c r="J62" s="21" t="s">
        <v>51</v>
      </c>
      <c r="K62" s="22">
        <f>'[139]MD20000.22-DEC'!$B$3</f>
        <v>45535</v>
      </c>
      <c r="L62" s="19">
        <f>'[139]MD20000.22-DEC'!$O$2</f>
        <v>0</v>
      </c>
      <c r="M62" s="19">
        <f>'[139]MD20000.22-DEC'!$O$1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'[140]MD10000.20-OCT'!$C$1</f>
        <v>5000</v>
      </c>
      <c r="F63" s="20"/>
      <c r="G63" s="20"/>
      <c r="H63" s="20">
        <f>'[140]MD10000.20-OCT'!$K$1</f>
        <v>0</v>
      </c>
      <c r="I63" s="20">
        <f>'[140]MD10000.20-OCT'!$K$2</f>
        <v>17</v>
      </c>
      <c r="J63" s="21" t="s">
        <v>51</v>
      </c>
      <c r="K63" s="22">
        <f>'[140]MD10000.20-OCT'!$B$3</f>
        <v>45549</v>
      </c>
      <c r="L63" s="19">
        <f>'[140]MD10000.20-OCT'!$O$2</f>
        <v>0</v>
      </c>
      <c r="M63" s="19">
        <f>'[140]MD10000.20-OCT'!$O$1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'[141]MD20000.22-DEC'!$C$1</f>
        <v>20000</v>
      </c>
      <c r="F64" s="20">
        <f>'[141]MD20000.22-DEC'!$K$1</f>
        <v>0</v>
      </c>
      <c r="G64" s="20">
        <f>'[141]MD20000.22-DEC'!$K$2</f>
        <v>120</v>
      </c>
      <c r="H64" s="20"/>
      <c r="I64" s="20"/>
      <c r="J64" s="21" t="s">
        <v>12</v>
      </c>
      <c r="K64" s="22">
        <f>'[141]MD20000.22-DEC'!$B$13</f>
        <v>45562</v>
      </c>
      <c r="L64" s="19">
        <f>'[141]MD20000.22-DEC'!$O$2</f>
        <v>0</v>
      </c>
      <c r="M64" s="19">
        <f>'[141]MD20000.22-DEC'!$O$1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'[142]MD10000.1-OCT'!$C$1</f>
        <v>10000</v>
      </c>
      <c r="F65" s="20">
        <f>'[142]MD10000.1-OCT'!$K$1</f>
        <v>0</v>
      </c>
      <c r="G65" s="20">
        <f>'[142]MD10000.1-OCT'!$K$2</f>
        <v>120</v>
      </c>
      <c r="H65" s="20"/>
      <c r="I65" s="20"/>
      <c r="J65" s="21" t="s">
        <v>12</v>
      </c>
      <c r="K65" s="22">
        <f>'[142]MD10000.1-OCT'!$B$3</f>
        <v>45557</v>
      </c>
      <c r="L65" s="19">
        <f>'[142]MD10000.1-OCT'!$O$2</f>
        <v>0</v>
      </c>
      <c r="M65" s="19">
        <f>'[142]MD10000.1-OCT'!$O$1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'[143]MD20000.18-DEC'!$C$1</f>
        <v>20000</v>
      </c>
      <c r="F68" s="20">
        <f>'[143]MD20000.18-DEC'!$K$1</f>
        <v>0</v>
      </c>
      <c r="G68" s="20">
        <f>'[143]MD20000.18-DEC'!$K$2</f>
        <v>120</v>
      </c>
      <c r="H68" s="20"/>
      <c r="I68" s="20"/>
      <c r="J68" s="21" t="s">
        <v>12</v>
      </c>
      <c r="K68" s="22">
        <f>'[143]MD20000.18-DEC'!$B$3</f>
        <v>45562</v>
      </c>
      <c r="L68" s="19">
        <f>'[143]MD20000.18-DEC'!$O$2</f>
        <v>0</v>
      </c>
      <c r="M68" s="19">
        <f>'[143]MD20000.18-DEC'!$O$1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'[144]MD20000.18-DEC'!$C$1</f>
        <v>50000</v>
      </c>
      <c r="F71" s="24">
        <f>'[144]MD20000.18-DEC'!$K$1</f>
        <v>66</v>
      </c>
      <c r="G71" s="24">
        <f>'[144]MD20000.18-DEC'!$K$2</f>
        <v>54</v>
      </c>
      <c r="H71" s="24"/>
      <c r="I71" s="24"/>
      <c r="J71" s="27" t="s">
        <v>12</v>
      </c>
      <c r="K71" s="25">
        <f>'[144]MD20000.18-DEC'!$B$3</f>
        <v>45579</v>
      </c>
      <c r="L71" s="26">
        <f>'[144]MD20000.18-DEC'!$O$2</f>
        <v>33000</v>
      </c>
      <c r="M71" s="26">
        <f>'[144]MD20000.18-DEC'!$O$1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'[145]MD20000.18-DEC'!$C$1</f>
        <v>50000</v>
      </c>
      <c r="F73" s="20">
        <f>'[145]MD20000.18-DEC'!$K$1</f>
        <v>0</v>
      </c>
      <c r="G73" s="20">
        <f>'[145]MD20000.18-DEC'!$K$2</f>
        <v>120</v>
      </c>
      <c r="H73" s="20"/>
      <c r="I73" s="20"/>
      <c r="J73" s="21" t="s">
        <v>12</v>
      </c>
      <c r="K73" s="22">
        <f>'[145]MD20000.18-DEC'!$B$3</f>
        <v>45584</v>
      </c>
      <c r="L73" s="19">
        <f>'[145]MD20000.18-DEC'!$O$2</f>
        <v>0</v>
      </c>
      <c r="M73" s="19">
        <f>'[145]MD20000.18-DEC'!$O$1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'[146]MD20000.18-DEC'!$C$1</f>
        <v>20000</v>
      </c>
      <c r="F74" s="20">
        <f>'[146]MD20000.18-DEC'!$K$1</f>
        <v>0</v>
      </c>
      <c r="G74" s="20">
        <f>'[146]MD20000.18-DEC'!$K$2</f>
        <v>120</v>
      </c>
      <c r="H74" s="20"/>
      <c r="I74" s="20"/>
      <c r="J74" s="21" t="s">
        <v>12</v>
      </c>
      <c r="K74" s="22">
        <f>'[146]MD20000.18-DEC'!$B$3</f>
        <v>45584</v>
      </c>
      <c r="L74" s="19">
        <f>'[146]MD20000.18-DEC'!$O$2</f>
        <v>0</v>
      </c>
      <c r="M74" s="19">
        <f>'[146]MD20000.18-DEC'!$O$1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'[147]MD20000.18-DEC'!$C$1</f>
        <v>20000</v>
      </c>
      <c r="F76" s="20">
        <f>'[147]MD20000.18-DEC'!$K$1</f>
        <v>0</v>
      </c>
      <c r="G76" s="20">
        <f>'[147]MD20000.18-DEC'!$K$2</f>
        <v>120</v>
      </c>
      <c r="H76" s="20"/>
      <c r="I76" s="20"/>
      <c r="J76" s="21" t="s">
        <v>12</v>
      </c>
      <c r="K76" s="22">
        <f>'[147]MD20000.18-DEC'!$B$3</f>
        <v>45584</v>
      </c>
      <c r="L76" s="19">
        <f>'[147]MD20000.18-DEC'!$O$2</f>
        <v>0</v>
      </c>
      <c r="M76" s="19">
        <f>'[147]MD20000.18-DEC'!$O$1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'[148]MD20000.18-DEC'!$C$1</f>
        <v>10000</v>
      </c>
      <c r="F80" s="20">
        <f>'[148]MD20000.18-DEC'!$K$1</f>
        <v>0</v>
      </c>
      <c r="G80" s="20">
        <f>'[148]MD20000.18-DEC'!$K$2</f>
        <v>120</v>
      </c>
      <c r="H80" s="20"/>
      <c r="I80" s="20"/>
      <c r="J80" s="21" t="s">
        <v>12</v>
      </c>
      <c r="K80" s="22">
        <f>'[148]MD20000.18-DEC'!$B$3</f>
        <v>45587</v>
      </c>
      <c r="L80" s="19">
        <f>'[148]MD20000.18-DEC'!$O$2</f>
        <v>0</v>
      </c>
      <c r="M80" s="19">
        <f>'[148]MD20000.18-DEC'!$O$1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'[149]MD20000.22-DEC'!$C$1</f>
        <v>20000</v>
      </c>
      <c r="F83" s="20">
        <f>'[149]MD20000.22-DEC'!$K$1</f>
        <v>0</v>
      </c>
      <c r="G83" s="20">
        <f>'[149]MD20000.22-DEC'!$K$2</f>
        <v>120</v>
      </c>
      <c r="H83" s="20"/>
      <c r="I83" s="20"/>
      <c r="J83" s="21" t="s">
        <v>12</v>
      </c>
      <c r="K83" s="22">
        <f>'[149]MD20000.22-DEC'!$B$3</f>
        <v>45597</v>
      </c>
      <c r="L83" s="19">
        <f>'[149]MD20000.22-DEC'!$O$2</f>
        <v>0</v>
      </c>
      <c r="M83" s="19">
        <f>'[149]MD20000.22-DEC'!$O$1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'[150]MD20000.18-DEC'!$C$1</f>
        <v>30000</v>
      </c>
      <c r="F84" s="20">
        <f>'[150]MD20000.18-DEC'!$K$1</f>
        <v>0</v>
      </c>
      <c r="G84" s="20">
        <f>'[150]MD20000.18-DEC'!$K$2</f>
        <v>120</v>
      </c>
      <c r="H84" s="20"/>
      <c r="I84" s="20"/>
      <c r="J84" s="21" t="s">
        <v>12</v>
      </c>
      <c r="K84" s="22">
        <f>'[150]MD20000.18-DEC'!$B$3</f>
        <v>45602</v>
      </c>
      <c r="L84" s="19">
        <f>'[150]MD20000.18-DEC'!$O$2</f>
        <v>0</v>
      </c>
      <c r="M84" s="19">
        <f>'[150]MD20000.18-DEC'!$O$1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'[151]MD20000.18-DEC'!$C$1</f>
        <v>50000</v>
      </c>
      <c r="F85" s="24">
        <f>'[151]MD20000.18-DEC'!$K$1</f>
        <v>100</v>
      </c>
      <c r="G85" s="24">
        <f>'[151]MD20000.18-DEC'!$K$2</f>
        <v>20</v>
      </c>
      <c r="H85" s="24"/>
      <c r="I85" s="24"/>
      <c r="J85" s="27" t="s">
        <v>12</v>
      </c>
      <c r="K85" s="25">
        <f>'[151]MD20000.18-DEC'!$B$3</f>
        <v>45612</v>
      </c>
      <c r="L85" s="26">
        <f>'[151]MD20000.18-DEC'!$O$2</f>
        <v>50000</v>
      </c>
      <c r="M85" s="26">
        <f>'[151]MD20000.18-DEC'!$O$1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'[152]MD20000.18-DEC'!$C$1</f>
        <v>30000</v>
      </c>
      <c r="F89" s="20">
        <f>'[152]MD20000.18-DEC'!$K$1</f>
        <v>0</v>
      </c>
      <c r="G89" s="20">
        <f>'[152]MD20000.18-DEC'!$K$2</f>
        <v>120</v>
      </c>
      <c r="H89" s="20"/>
      <c r="I89" s="20"/>
      <c r="J89" s="21" t="s">
        <v>12</v>
      </c>
      <c r="K89" s="22">
        <f>'[152]MD20000.18-DEC'!$B$3</f>
        <v>45647</v>
      </c>
      <c r="L89" s="19">
        <f>'[152]MD20000.18-DEC'!$O$2</f>
        <v>0</v>
      </c>
      <c r="M89" s="19">
        <f>'[152]MD20000.18-DEC'!$O$1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2025-12-07T07:35:22Z</dcterms:modified>
</cp:coreProperties>
</file>