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0" yWindow="3600" windowWidth="20520" windowHeight="4425"/>
  </bookViews>
  <sheets>
    <sheet name="2023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</externalReferences>
  <calcPr calcId="145621" iterateDelta="1E-4"/>
</workbook>
</file>

<file path=xl/calcChain.xml><?xml version="1.0" encoding="utf-8"?>
<calcChain xmlns="http://schemas.openxmlformats.org/spreadsheetml/2006/main">
  <c r="L94" i="6" l="1"/>
  <c r="M94" i="6"/>
  <c r="K94" i="6"/>
  <c r="G94" i="6"/>
  <c r="F94" i="6"/>
  <c r="E94" i="6"/>
  <c r="M93" i="6" l="1"/>
  <c r="L93" i="6"/>
  <c r="K93" i="6"/>
  <c r="I93" i="6"/>
  <c r="H93" i="6"/>
  <c r="E93" i="6"/>
  <c r="M92" i="6" l="1"/>
  <c r="L92" i="6"/>
  <c r="K92" i="6"/>
  <c r="G92" i="6"/>
  <c r="F92" i="6"/>
  <c r="E92" i="6"/>
  <c r="M91" i="6" l="1"/>
  <c r="L91" i="6"/>
  <c r="K91" i="6"/>
  <c r="G91" i="6"/>
  <c r="F91" i="6"/>
  <c r="E91" i="6"/>
  <c r="M90" i="6"/>
  <c r="L90" i="6"/>
  <c r="K90" i="6"/>
  <c r="G90" i="6"/>
  <c r="F90" i="6"/>
  <c r="E90" i="6"/>
  <c r="M89" i="6" l="1"/>
  <c r="L89" i="6"/>
  <c r="K89" i="6"/>
  <c r="G89" i="6"/>
  <c r="F89" i="6"/>
  <c r="E89" i="6"/>
  <c r="M88" i="6" l="1"/>
  <c r="L88" i="6"/>
  <c r="K88" i="6"/>
  <c r="G88" i="6"/>
  <c r="F88" i="6"/>
  <c r="E88" i="6"/>
  <c r="M87" i="6" l="1"/>
  <c r="L87" i="6"/>
  <c r="K87" i="6"/>
  <c r="G87" i="6"/>
  <c r="F87" i="6"/>
  <c r="E87" i="6"/>
  <c r="M86" i="6" l="1"/>
  <c r="L86" i="6"/>
  <c r="K86" i="6"/>
  <c r="G86" i="6"/>
  <c r="F86" i="6"/>
  <c r="E86" i="6"/>
  <c r="M85" i="6" l="1"/>
  <c r="L85" i="6"/>
  <c r="K85" i="6"/>
  <c r="G85" i="6"/>
  <c r="F85" i="6"/>
  <c r="E85" i="6"/>
  <c r="M84" i="6" l="1"/>
  <c r="L84" i="6"/>
  <c r="K84" i="6"/>
  <c r="G84" i="6"/>
  <c r="F84" i="6"/>
  <c r="E84" i="6"/>
  <c r="M83" i="6" l="1"/>
  <c r="L83" i="6"/>
  <c r="K83" i="6"/>
  <c r="G83" i="6"/>
  <c r="F83" i="6"/>
  <c r="E83" i="6"/>
  <c r="M82" i="6" l="1"/>
  <c r="L82" i="6"/>
  <c r="K82" i="6"/>
  <c r="I82" i="6"/>
  <c r="H82" i="6"/>
  <c r="E82" i="6"/>
  <c r="M81" i="6" l="1"/>
  <c r="L81" i="6"/>
  <c r="K81" i="6"/>
  <c r="I81" i="6"/>
  <c r="H81" i="6"/>
  <c r="E81" i="6"/>
  <c r="M80" i="6" l="1"/>
  <c r="L80" i="6"/>
  <c r="K80" i="6"/>
  <c r="G80" i="6"/>
  <c r="F80" i="6"/>
  <c r="E80" i="6"/>
  <c r="N2" i="6" l="1"/>
  <c r="M79" i="6"/>
  <c r="L79" i="6"/>
  <c r="K79" i="6"/>
  <c r="G79" i="6"/>
  <c r="F79" i="6"/>
  <c r="E79" i="6"/>
  <c r="M78" i="6" l="1"/>
  <c r="L78" i="6"/>
  <c r="K78" i="6"/>
  <c r="G78" i="6"/>
  <c r="F78" i="6"/>
  <c r="E78" i="6"/>
  <c r="M77" i="6" l="1"/>
  <c r="L77" i="6"/>
  <c r="K77" i="6"/>
  <c r="G77" i="6"/>
  <c r="F77" i="6"/>
  <c r="E77" i="6"/>
  <c r="M76" i="6" l="1"/>
  <c r="L76" i="6"/>
  <c r="K76" i="6"/>
  <c r="G76" i="6"/>
  <c r="F76" i="6"/>
  <c r="E76" i="6"/>
  <c r="M75" i="6" l="1"/>
  <c r="L75" i="6"/>
  <c r="K75" i="6"/>
  <c r="G75" i="6"/>
  <c r="F75" i="6"/>
  <c r="E75" i="6"/>
  <c r="M74" i="6" l="1"/>
  <c r="L74" i="6"/>
  <c r="K74" i="6"/>
  <c r="G74" i="6"/>
  <c r="F74" i="6"/>
  <c r="E74" i="6"/>
  <c r="M73" i="6" l="1"/>
  <c r="L73" i="6"/>
  <c r="K73" i="6"/>
  <c r="G73" i="6"/>
  <c r="F73" i="6"/>
  <c r="E73" i="6"/>
  <c r="M72" i="6" l="1"/>
  <c r="L72" i="6"/>
  <c r="K72" i="6"/>
  <c r="I72" i="6"/>
  <c r="H72" i="6"/>
  <c r="E72" i="6"/>
  <c r="M46" i="6" l="1"/>
  <c r="I46" i="6"/>
  <c r="H46" i="6"/>
  <c r="L46" i="6" l="1"/>
  <c r="M71" i="6"/>
  <c r="L71" i="6"/>
  <c r="K71" i="6"/>
  <c r="G71" i="6"/>
  <c r="F71" i="6"/>
  <c r="E71" i="6"/>
  <c r="M70" i="6" l="1"/>
  <c r="L70" i="6"/>
  <c r="K70" i="6"/>
  <c r="G70" i="6"/>
  <c r="F70" i="6"/>
  <c r="E70" i="6"/>
  <c r="M69" i="6" l="1"/>
  <c r="L69" i="6"/>
  <c r="K69" i="6"/>
  <c r="G69" i="6"/>
  <c r="F69" i="6"/>
  <c r="E69" i="6"/>
  <c r="K68" i="6" l="1"/>
  <c r="E68" i="6"/>
  <c r="G68" i="6" l="1"/>
  <c r="M68" i="6"/>
  <c r="F68" i="6" l="1"/>
  <c r="L68" i="6"/>
  <c r="F67" i="6" l="1"/>
  <c r="M67" i="6"/>
  <c r="L67" i="6"/>
  <c r="K67" i="6"/>
  <c r="G67" i="6"/>
  <c r="E67" i="6"/>
  <c r="K66" i="6" l="1"/>
  <c r="E66" i="6"/>
  <c r="G66" i="6" l="1"/>
  <c r="M66" i="6"/>
  <c r="F66" i="6" l="1"/>
  <c r="L66" i="6"/>
  <c r="M65" i="6"/>
  <c r="L65" i="6"/>
  <c r="K65" i="6"/>
  <c r="G65" i="6"/>
  <c r="F65" i="6"/>
  <c r="E65" i="6"/>
  <c r="M64" i="6" l="1"/>
  <c r="L64" i="6"/>
  <c r="K64" i="6"/>
  <c r="G64" i="6"/>
  <c r="F64" i="6"/>
  <c r="E64" i="6"/>
  <c r="M63" i="6" l="1"/>
  <c r="L63" i="6"/>
  <c r="K63" i="6"/>
  <c r="I63" i="6"/>
  <c r="H63" i="6"/>
  <c r="E63" i="6"/>
  <c r="M62" i="6" l="1"/>
  <c r="L62" i="6"/>
  <c r="K62" i="6"/>
  <c r="G62" i="6"/>
  <c r="F62" i="6"/>
  <c r="E62" i="6"/>
  <c r="M61" i="6"/>
  <c r="L61" i="6"/>
  <c r="K61" i="6"/>
  <c r="I61" i="6"/>
  <c r="H61" i="6"/>
  <c r="E61" i="6"/>
  <c r="M60" i="6" l="1"/>
  <c r="L60" i="6"/>
  <c r="K60" i="6"/>
  <c r="I60" i="6"/>
  <c r="H60" i="6"/>
  <c r="E60" i="6"/>
  <c r="M59" i="6" l="1"/>
  <c r="L59" i="6"/>
  <c r="K59" i="6"/>
  <c r="I59" i="6"/>
  <c r="H59" i="6"/>
  <c r="E59" i="6"/>
  <c r="L58" i="6" l="1"/>
  <c r="L57" i="6" l="1"/>
  <c r="M58" i="6" l="1"/>
  <c r="K58" i="6"/>
  <c r="I58" i="6"/>
  <c r="H58" i="6"/>
  <c r="E58" i="6"/>
  <c r="M57" i="6" l="1"/>
  <c r="K57" i="6"/>
  <c r="I57" i="6"/>
  <c r="E57" i="6"/>
  <c r="H57" i="6"/>
  <c r="M56" i="6" l="1"/>
  <c r="L56" i="6"/>
  <c r="K56" i="6"/>
  <c r="G56" i="6"/>
  <c r="F56" i="6"/>
  <c r="E56" i="6"/>
  <c r="M55" i="6" l="1"/>
  <c r="L55" i="6"/>
  <c r="K55" i="6"/>
  <c r="G55" i="6"/>
  <c r="F55" i="6"/>
  <c r="E55" i="6"/>
  <c r="M54" i="6" l="1"/>
  <c r="L54" i="6"/>
  <c r="K54" i="6"/>
  <c r="I54" i="6"/>
  <c r="H54" i="6"/>
  <c r="E54" i="6"/>
  <c r="L53" i="6" l="1"/>
  <c r="M53" i="6" l="1"/>
  <c r="K53" i="6"/>
  <c r="I53" i="6"/>
  <c r="H53" i="6"/>
  <c r="E53" i="6"/>
  <c r="M52" i="6" l="1"/>
  <c r="L52" i="6"/>
  <c r="K52" i="6"/>
  <c r="I52" i="6"/>
  <c r="H52" i="6"/>
  <c r="E52" i="6"/>
  <c r="M51" i="6" l="1"/>
  <c r="L51" i="6"/>
  <c r="K51" i="6"/>
  <c r="G51" i="6"/>
  <c r="F51" i="6"/>
  <c r="E51" i="6"/>
  <c r="M50" i="6" l="1"/>
  <c r="L50" i="6"/>
  <c r="K50" i="6"/>
  <c r="I50" i="6"/>
  <c r="H50" i="6"/>
  <c r="E50" i="6"/>
  <c r="M49" i="6" l="1"/>
  <c r="L49" i="6"/>
  <c r="K49" i="6"/>
  <c r="I49" i="6"/>
  <c r="H49" i="6"/>
  <c r="E49" i="6"/>
  <c r="L48" i="6" l="1"/>
  <c r="M48" i="6" l="1"/>
  <c r="K48" i="6"/>
  <c r="G48" i="6"/>
  <c r="F48" i="6"/>
  <c r="E48" i="6"/>
  <c r="M29" i="6" l="1"/>
  <c r="M47" i="6" l="1"/>
  <c r="L47" i="6"/>
  <c r="K47" i="6"/>
  <c r="G47" i="6"/>
  <c r="F47" i="6"/>
  <c r="E47" i="6"/>
  <c r="K46" i="6" l="1"/>
  <c r="E46" i="6"/>
  <c r="M45" i="6" l="1"/>
  <c r="K45" i="6"/>
  <c r="H45" i="6"/>
  <c r="I45" i="6"/>
  <c r="E45" i="6"/>
  <c r="M44" i="6" l="1"/>
  <c r="L44" i="6"/>
  <c r="K44" i="6"/>
  <c r="G44" i="6"/>
  <c r="F44" i="6"/>
  <c r="E44" i="6"/>
  <c r="L39" i="6" l="1"/>
  <c r="L29" i="6" l="1"/>
  <c r="M43" i="6" l="1"/>
  <c r="L43" i="6"/>
  <c r="K43" i="6"/>
  <c r="F43" i="6"/>
  <c r="G43" i="6"/>
  <c r="E43" i="6"/>
  <c r="M42" i="6" l="1"/>
  <c r="L42" i="6"/>
  <c r="K42" i="6"/>
  <c r="I42" i="6"/>
  <c r="H42" i="6"/>
  <c r="E42" i="6"/>
  <c r="M41" i="6" l="1"/>
  <c r="K41" i="6"/>
  <c r="G41" i="6"/>
  <c r="F41" i="6"/>
  <c r="E41" i="6"/>
  <c r="L41" i="6" l="1"/>
  <c r="L40" i="6" l="1"/>
  <c r="M40" i="6" l="1"/>
  <c r="K40" i="6"/>
  <c r="I40" i="6"/>
  <c r="H40" i="6" l="1"/>
  <c r="E40" i="6"/>
  <c r="M39" i="6" l="1"/>
  <c r="K39" i="6"/>
  <c r="I39" i="6"/>
  <c r="H39" i="6"/>
  <c r="E39" i="6"/>
  <c r="M38" i="6" l="1"/>
  <c r="L38" i="6"/>
  <c r="K38" i="6"/>
  <c r="I38" i="6"/>
  <c r="H38" i="6"/>
  <c r="E38" i="6"/>
  <c r="M37" i="6" l="1"/>
  <c r="L37" i="6"/>
  <c r="K37" i="6"/>
  <c r="I37" i="6"/>
  <c r="H37" i="6"/>
  <c r="E37" i="6"/>
  <c r="I35" i="6" l="1"/>
  <c r="M36" i="6" l="1"/>
  <c r="L36" i="6"/>
  <c r="L2" i="6" s="1"/>
  <c r="K36" i="6"/>
  <c r="I36" i="6"/>
  <c r="H36" i="6"/>
  <c r="E36" i="6"/>
  <c r="M35" i="6" l="1"/>
  <c r="L35" i="6"/>
  <c r="K35" i="6"/>
  <c r="H35" i="6"/>
  <c r="E35" i="6"/>
  <c r="L26" i="6" l="1"/>
  <c r="L24" i="6" l="1"/>
  <c r="L23" i="6" l="1"/>
  <c r="M34" i="6" l="1"/>
  <c r="L34" i="6"/>
  <c r="K34" i="6"/>
  <c r="I34" i="6"/>
  <c r="H34" i="6"/>
  <c r="E34" i="6"/>
  <c r="M33" i="6" l="1"/>
  <c r="L33" i="6"/>
  <c r="K33" i="6"/>
  <c r="I33" i="6"/>
  <c r="H33" i="6"/>
  <c r="E33" i="6"/>
  <c r="M32" i="6" l="1"/>
  <c r="L32" i="6"/>
  <c r="K32" i="6"/>
  <c r="I32" i="6"/>
  <c r="H32" i="6"/>
  <c r="E32" i="6"/>
  <c r="L30" i="6" l="1"/>
  <c r="M31" i="6" l="1"/>
  <c r="L31" i="6"/>
  <c r="K31" i="6"/>
  <c r="G31" i="6"/>
  <c r="F31" i="6"/>
  <c r="E31" i="6"/>
  <c r="Q2" i="6" l="1"/>
  <c r="L14" i="6" l="1"/>
  <c r="M30" i="6" l="1"/>
  <c r="K30" i="6"/>
  <c r="I30" i="6"/>
  <c r="H30" i="6"/>
  <c r="E30" i="6"/>
  <c r="K29" i="6" l="1"/>
  <c r="I29" i="6"/>
  <c r="H29" i="6"/>
  <c r="E29" i="6"/>
  <c r="M28" i="6" l="1"/>
  <c r="L28" i="6"/>
  <c r="K28" i="6"/>
  <c r="G28" i="6"/>
  <c r="F28" i="6"/>
  <c r="E28" i="6"/>
  <c r="M27" i="6" l="1"/>
  <c r="L27" i="6"/>
  <c r="K27" i="6"/>
  <c r="G27" i="6"/>
  <c r="F27" i="6"/>
  <c r="E27" i="6"/>
  <c r="L8" i="6" l="1"/>
  <c r="M26" i="6" l="1"/>
  <c r="K26" i="6"/>
  <c r="I26" i="6"/>
  <c r="H26" i="6"/>
  <c r="E26" i="6"/>
  <c r="M25" i="6"/>
  <c r="L25" i="6"/>
  <c r="K25" i="6"/>
  <c r="G25" i="6"/>
  <c r="F25" i="6"/>
  <c r="E25" i="6"/>
  <c r="M24" i="6" l="1"/>
  <c r="K24" i="6"/>
  <c r="I24" i="6"/>
  <c r="H24" i="6"/>
  <c r="E24" i="6"/>
  <c r="M23" i="6" l="1"/>
  <c r="K23" i="6"/>
  <c r="I23" i="6"/>
  <c r="E23" i="6"/>
  <c r="M22" i="6"/>
  <c r="L22" i="6"/>
  <c r="K22" i="6"/>
  <c r="I22" i="6"/>
  <c r="H22" i="6"/>
  <c r="E22" i="6"/>
  <c r="H23" i="6" l="1"/>
  <c r="M21" i="6" l="1"/>
  <c r="L21" i="6"/>
  <c r="K21" i="6"/>
  <c r="I21" i="6"/>
  <c r="H21" i="6"/>
  <c r="E21" i="6"/>
  <c r="M20" i="6" l="1"/>
  <c r="L20" i="6"/>
  <c r="K20" i="6"/>
  <c r="I20" i="6"/>
  <c r="H20" i="6"/>
  <c r="E20" i="6"/>
  <c r="M19" i="6" l="1"/>
  <c r="L19" i="6"/>
  <c r="K19" i="6"/>
  <c r="G19" i="6"/>
  <c r="F19" i="6"/>
  <c r="E19" i="6"/>
  <c r="M18" i="6" l="1"/>
  <c r="L18" i="6"/>
  <c r="K18" i="6"/>
  <c r="I18" i="6"/>
  <c r="H18" i="6"/>
  <c r="E18" i="6"/>
  <c r="M17" i="6" l="1"/>
  <c r="K17" i="6"/>
  <c r="G17" i="6"/>
  <c r="F17" i="6"/>
  <c r="E17" i="6"/>
  <c r="K16" i="6" l="1"/>
  <c r="E16" i="6"/>
  <c r="M15" i="6" l="1"/>
  <c r="L15" i="6"/>
  <c r="K15" i="6"/>
  <c r="I15" i="6"/>
  <c r="H15" i="6"/>
  <c r="E15" i="6"/>
  <c r="M14" i="6" l="1"/>
  <c r="K14" i="6"/>
  <c r="I14" i="6"/>
  <c r="H14" i="6"/>
  <c r="E14" i="6"/>
  <c r="M13" i="6" l="1"/>
  <c r="L13" i="6"/>
  <c r="K13" i="6"/>
  <c r="I13" i="6"/>
  <c r="H13" i="6"/>
  <c r="E13" i="6"/>
  <c r="K12" i="6" l="1"/>
  <c r="E12" i="6"/>
  <c r="I12" i="6" l="1"/>
  <c r="M12" i="6"/>
  <c r="H12" i="6" l="1"/>
  <c r="L12" i="6"/>
  <c r="M11" i="6"/>
  <c r="L11" i="6"/>
  <c r="K11" i="6"/>
  <c r="I11" i="6"/>
  <c r="H11" i="6"/>
  <c r="E11" i="6"/>
  <c r="M10" i="6" l="1"/>
  <c r="L10" i="6"/>
  <c r="K10" i="6"/>
  <c r="G10" i="6"/>
  <c r="F10" i="6"/>
  <c r="E10" i="6"/>
  <c r="K9" i="6" l="1"/>
  <c r="E9" i="6"/>
  <c r="I9" i="6" l="1"/>
  <c r="M9" i="6"/>
  <c r="H9" i="6" l="1"/>
  <c r="L9" i="6"/>
  <c r="K8" i="6"/>
  <c r="E8" i="6"/>
  <c r="G8" i="6"/>
  <c r="M8" i="6"/>
  <c r="F8" i="6" l="1"/>
  <c r="K7" i="6"/>
  <c r="E7" i="6"/>
  <c r="G7" i="6"/>
  <c r="M7" i="6"/>
  <c r="F7" i="6" l="1"/>
  <c r="L7" i="6"/>
  <c r="M6" i="6" l="1"/>
  <c r="L6" i="6"/>
  <c r="K6" i="6"/>
  <c r="G6" i="6"/>
  <c r="F6" i="6"/>
  <c r="E6" i="6"/>
  <c r="M5" i="6"/>
  <c r="L5" i="6"/>
  <c r="K5" i="6"/>
  <c r="G5" i="6"/>
  <c r="F5" i="6"/>
  <c r="E5" i="6"/>
  <c r="G16" i="6" l="1"/>
  <c r="M16" i="6"/>
  <c r="F16" i="6" l="1"/>
  <c r="L16" i="6"/>
</calcChain>
</file>

<file path=xl/sharedStrings.xml><?xml version="1.0" encoding="utf-8"?>
<sst xmlns="http://schemas.openxmlformats.org/spreadsheetml/2006/main" count="284" uniqueCount="121">
  <si>
    <t>Code</t>
  </si>
  <si>
    <t>Loanee</t>
  </si>
  <si>
    <t>Baruni</t>
  </si>
  <si>
    <t>Outstanding (days)</t>
  </si>
  <si>
    <t>Paid (days)</t>
  </si>
  <si>
    <t>Status</t>
  </si>
  <si>
    <t>S No</t>
  </si>
  <si>
    <t>Start Date</t>
  </si>
  <si>
    <t>LOAN BOOK</t>
  </si>
  <si>
    <t>Loan Amount</t>
  </si>
  <si>
    <t>Amount Outstanding</t>
  </si>
  <si>
    <t>Amount Paid</t>
  </si>
  <si>
    <t>Active</t>
  </si>
  <si>
    <t>Priyadarshini</t>
  </si>
  <si>
    <t>Mona</t>
  </si>
  <si>
    <t>Bijenti</t>
  </si>
  <si>
    <t>Outstanding (weeks)</t>
  </si>
  <si>
    <t>Paid (weeks)</t>
  </si>
  <si>
    <t>D5000P60</t>
  </si>
  <si>
    <t>D10000P120</t>
  </si>
  <si>
    <t>W10000P17</t>
  </si>
  <si>
    <t>TOTAL OUTSTANDING:</t>
  </si>
  <si>
    <t>InActive</t>
  </si>
  <si>
    <t>Salam sunanda</t>
  </si>
  <si>
    <t>Khoirom priyadarsini</t>
  </si>
  <si>
    <t>W15000P17</t>
  </si>
  <si>
    <t>Salam Sunanda 2</t>
  </si>
  <si>
    <t>Keisham Kamala</t>
  </si>
  <si>
    <t>L20000W17P1400-WED</t>
  </si>
  <si>
    <t>L20000W17P1400-SAT</t>
  </si>
  <si>
    <t>Moirangthem Naobi</t>
  </si>
  <si>
    <t>L50000W48P1750-FRI</t>
  </si>
  <si>
    <t>Thongram Rambhabati</t>
  </si>
  <si>
    <t>L20000P120</t>
  </si>
  <si>
    <t>Haobijam Thasana</t>
  </si>
  <si>
    <t>Hidangmayum Debjani</t>
  </si>
  <si>
    <t>L10000P350-FRI</t>
  </si>
  <si>
    <t>Pangambam Baruni</t>
  </si>
  <si>
    <t>Maibam Chandrika</t>
  </si>
  <si>
    <t>L10000P350-WED</t>
  </si>
  <si>
    <t>Yaithewngbam Bidyabati</t>
  </si>
  <si>
    <t>Inactive</t>
  </si>
  <si>
    <t xml:space="preserve"> Rambhabati (pishak)</t>
  </si>
  <si>
    <t>L50000W17P350-WED</t>
  </si>
  <si>
    <t>Moirangthem Narmada</t>
  </si>
  <si>
    <t>Moirangthem Niroda</t>
  </si>
  <si>
    <t>L10000P350-Mon</t>
  </si>
  <si>
    <t>Kh Manisana</t>
  </si>
  <si>
    <t>L50000W17P350-SAT</t>
  </si>
  <si>
    <t>Rambhabati Tombi</t>
  </si>
  <si>
    <t>L20000W17P1400-wed</t>
  </si>
  <si>
    <t>inActive</t>
  </si>
  <si>
    <t>L20000W17P1400-fri</t>
  </si>
  <si>
    <t>INActive</t>
  </si>
  <si>
    <t>RK Smitha</t>
  </si>
  <si>
    <t>Sheenarani</t>
  </si>
  <si>
    <t>Lourembam Ibeyaima</t>
  </si>
  <si>
    <t>Minakumari</t>
  </si>
  <si>
    <t>K. Kamala</t>
  </si>
  <si>
    <t>Ibemcha</t>
  </si>
  <si>
    <t>L50000W17P350-Wed</t>
  </si>
  <si>
    <t>Salam Sunanda</t>
  </si>
  <si>
    <t>L40000W48P1400-Sat</t>
  </si>
  <si>
    <t>Haodijam Bidyarani</t>
  </si>
  <si>
    <t>Asiqi</t>
  </si>
  <si>
    <t>Pishak</t>
  </si>
  <si>
    <t>L50000W17P350-FRI</t>
  </si>
  <si>
    <t>Ranita</t>
  </si>
  <si>
    <t>L10000p120</t>
  </si>
  <si>
    <t>tombi</t>
  </si>
  <si>
    <t>Pratima</t>
  </si>
  <si>
    <t>L10000w17P700-FRI</t>
  </si>
  <si>
    <t>Priya daily</t>
  </si>
  <si>
    <t>Rambhabati ricky</t>
  </si>
  <si>
    <t>Sonia</t>
  </si>
  <si>
    <t>L10000W17P700-wed</t>
  </si>
  <si>
    <t>L10000W17P700-mon</t>
  </si>
  <si>
    <t>iActive</t>
  </si>
  <si>
    <t>Ibecha</t>
  </si>
  <si>
    <t>L5000W17P350-tues</t>
  </si>
  <si>
    <t>L30000P120</t>
  </si>
  <si>
    <t>Bimola</t>
  </si>
  <si>
    <t>L10000P120</t>
  </si>
  <si>
    <t>Induleikha</t>
  </si>
  <si>
    <t>bidyarani</t>
  </si>
  <si>
    <t>L5000W17P350-WED</t>
  </si>
  <si>
    <t>sweety</t>
  </si>
  <si>
    <t>L5000W17P350-FRI</t>
  </si>
  <si>
    <t xml:space="preserve"> Tombi</t>
  </si>
  <si>
    <t xml:space="preserve"> ricky</t>
  </si>
  <si>
    <t>L20000p120</t>
  </si>
  <si>
    <t>Romila</t>
  </si>
  <si>
    <t>Ibeyaima</t>
  </si>
  <si>
    <t>Renita</t>
  </si>
  <si>
    <t>L15000p120</t>
  </si>
  <si>
    <t>Puyam Anita</t>
  </si>
  <si>
    <t>L50000p120</t>
  </si>
  <si>
    <t>Kh priyadarsini</t>
  </si>
  <si>
    <t>L100000p40</t>
  </si>
  <si>
    <t>kh Shaya</t>
  </si>
  <si>
    <t>Shantibala</t>
  </si>
  <si>
    <t>Joychandra</t>
  </si>
  <si>
    <t>Sanatombi</t>
  </si>
  <si>
    <t>huirem sunamani</t>
  </si>
  <si>
    <t>bijenti</t>
  </si>
  <si>
    <t>Bidyapati</t>
  </si>
  <si>
    <t>L20000W 17 1400 Wed</t>
  </si>
  <si>
    <t>Thasana</t>
  </si>
  <si>
    <t>Haobijam joyshree</t>
  </si>
  <si>
    <t>L50000P120</t>
  </si>
  <si>
    <t>Takhellambam  kiranmala</t>
  </si>
  <si>
    <t>L100000D267</t>
  </si>
  <si>
    <t>kamala</t>
  </si>
  <si>
    <t>Ibobi</t>
  </si>
  <si>
    <t>Dinita</t>
  </si>
  <si>
    <t>Sandhyarani</t>
  </si>
  <si>
    <t>Rambhabati</t>
  </si>
  <si>
    <t>L200000D267</t>
  </si>
  <si>
    <t>lukhamlu</t>
  </si>
  <si>
    <t>L10000W17P700</t>
  </si>
  <si>
    <t>Angom Bijenty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</si>
</sst>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&quot;₹&quot;\ * #,##0.00_ ;_ &quot;₹&quot;\ * \-#,##0.00_ ;_ &quot;₹&quot;\ * &quot;-&quot;??_ ;_ @_ "/>
    <numFmt numFmtId="165" formatCode="_ [$₹-4009]\ * #,##0.00_ ;_ [$₹-4009]\ * \-#,##0.00_ ;_ [$₹-4009]\ * &quot;-&quot;??_ ;_ @_ "/>
    <numFmt numFmtId="166" formatCode="[$-F800]dddd\,\ mmmm\ dd\,\ 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2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6666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3366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15" fontId="3" fillId="3" borderId="1" xfId="0" applyNumberFormat="1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 wrapText="1"/>
    </xf>
    <xf numFmtId="1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5" fontId="3" fillId="5" borderId="1" xfId="0" applyNumberFormat="1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/>
    </xf>
    <xf numFmtId="164" fontId="3" fillId="5" borderId="1" xfId="1" applyNumberFormat="1" applyFont="1" applyFill="1" applyBorder="1" applyAlignment="1">
      <alignment horizontal="center" vertical="center"/>
    </xf>
    <xf numFmtId="1" fontId="3" fillId="6" borderId="1" xfId="0" applyNumberFormat="1" applyFont="1" applyFill="1" applyBorder="1" applyAlignment="1">
      <alignment horizontal="center" vertical="center"/>
    </xf>
    <xf numFmtId="166" fontId="3" fillId="6" borderId="1" xfId="0" applyNumberFormat="1" applyFont="1" applyFill="1" applyBorder="1" applyAlignment="1">
      <alignment horizontal="center" vertical="center"/>
    </xf>
    <xf numFmtId="165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64" fontId="3" fillId="6" borderId="1" xfId="1" applyNumberFormat="1" applyFont="1" applyFill="1" applyBorder="1" applyAlignment="1">
      <alignment horizontal="center" vertical="center"/>
    </xf>
    <xf numFmtId="15" fontId="3" fillId="6" borderId="1" xfId="0" applyNumberFormat="1" applyFont="1" applyFill="1" applyBorder="1" applyAlignment="1">
      <alignment horizontal="center" vertical="center"/>
    </xf>
    <xf numFmtId="1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5" fontId="3" fillId="7" borderId="1" xfId="0" applyNumberFormat="1" applyFont="1" applyFill="1" applyBorder="1" applyAlignment="1">
      <alignment horizontal="center" vertical="center"/>
    </xf>
    <xf numFmtId="165" fontId="3" fillId="7" borderId="1" xfId="0" applyNumberFormat="1" applyFont="1" applyFill="1" applyBorder="1" applyAlignment="1">
      <alignment horizontal="center" vertical="center"/>
    </xf>
    <xf numFmtId="164" fontId="3" fillId="7" borderId="1" xfId="1" applyNumberFormat="1" applyFont="1" applyFill="1" applyBorder="1" applyAlignment="1">
      <alignment horizontal="center" vertical="center"/>
    </xf>
    <xf numFmtId="165" fontId="3" fillId="4" borderId="2" xfId="0" applyNumberFormat="1" applyFont="1" applyFill="1" applyBorder="1" applyAlignment="1">
      <alignment horizontal="center" vertical="center"/>
    </xf>
    <xf numFmtId="165" fontId="3" fillId="4" borderId="4" xfId="0" applyNumberFormat="1" applyFont="1" applyFill="1" applyBorder="1" applyAlignment="1">
      <alignment horizontal="center" vertical="center"/>
    </xf>
    <xf numFmtId="164" fontId="3" fillId="4" borderId="2" xfId="1" applyNumberFormat="1" applyFont="1" applyFill="1" applyBorder="1" applyAlignment="1">
      <alignment horizontal="center" vertical="center"/>
    </xf>
    <xf numFmtId="164" fontId="3" fillId="4" borderId="3" xfId="1" applyNumberFormat="1" applyFont="1" applyFill="1" applyBorder="1" applyAlignment="1">
      <alignment horizontal="center" vertical="center"/>
    </xf>
    <xf numFmtId="164" fontId="3" fillId="4" borderId="4" xfId="1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4" borderId="4" xfId="0" applyNumberFormat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003366"/>
      <color rgb="FF006666"/>
      <color rgb="FF336699"/>
      <color rgb="FF006699"/>
      <color rgb="FF003300"/>
      <color rgb="FF6600CC"/>
      <color rgb="FF000066"/>
      <color rgb="FF336600"/>
      <color rgb="FF6666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76" Type="http://schemas.openxmlformats.org/officeDocument/2006/relationships/externalLink" Target="externalLinks/externalLink75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97" Type="http://schemas.openxmlformats.org/officeDocument/2006/relationships/calcChain" Target="calcChain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87" Type="http://schemas.openxmlformats.org/officeDocument/2006/relationships/externalLink" Target="externalLinks/externalLink86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90" Type="http://schemas.openxmlformats.org/officeDocument/2006/relationships/externalLink" Target="externalLinks/externalLink89.xml"/><Relationship Id="rId95" Type="http://schemas.openxmlformats.org/officeDocument/2006/relationships/styles" Target="styles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93" Type="http://schemas.openxmlformats.org/officeDocument/2006/relationships/externalLink" Target="externalLinks/externalLink92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91" Type="http://schemas.openxmlformats.org/officeDocument/2006/relationships/externalLink" Target="externalLinks/externalLink90.xml"/><Relationship Id="rId9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Loanee-Baruni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3%20Loanee-Priyadarshin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4%20Loanee-Mona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5%20elangbam%20bijenti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6%20Loanee-Baruni%20complet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7%20Salam%20sunanda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8%20khoirom%20priyadarsini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9%20Salam%20Sunanda%20Saturda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10%20Keisham%20Kamal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11%20Moirangthem%20Naobi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12%20Thongram%20Rambhabati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13%20Haobijam%20Thasana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14%20Hidangmayum%20Debjani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15%20%20Pangambam%20Baruni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16Maibam%20Chandrika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17%20Yaithengbam%20Bidyabati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18%20Rambhabati-%20pishak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19%20Priya%20Moirangthem%20Narmada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20%20Moirangthem%20Niroda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21Kh%20Manisana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22Rambhabati-tombi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23%20Loanee-Mona%20-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24%20Loanee-Priyadarshini%20-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25%20Salam%20Sunanda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25%20Salam%20Sunanda%20wed%20feb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26%20bijenti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27%20Thongram%20Rambhabati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28%20Rk%20Smitha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29%20Priyadarsini%20weekly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30%20Sheenarani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31%20lourembam%20ibeyaima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32%20minakumari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33K%20kamala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34%20Ibemcha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35%20Salam%20Sunanda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35%20Salam%20Sunanda%20sat%20april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36%20haodijam%20bidyarani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37%20Asiqi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38%20Pishak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39%20Haobijam%20Thasana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42%20Ranita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41%20tombi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43Pratima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43%20Pratima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40%20priya%20daily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44%20Rambhabati%20ricky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45%20bijenti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46%20sonia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47%20Thongram%20Rambhabati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48%20Priyadarsini%20weekly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49%20Salam%20Sunanda%20wed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50%20Ibecha%20-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51%20Asiqi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52%20bimola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53%20kamala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54%20Induleikha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55%20haodijam%20bidyarani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56%20sweety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57%20pishak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58%20thasana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59%20tombi.xlsx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60%20ricky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61%20ibecha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62%20romila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63%20ibeyaima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64%20Thongram%20Rambhabati.xlsx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65%20pratima.xlsx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66%20Renita.xlsx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67%20puyam%20anita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68%20priya%20weely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69%20kh%20shyama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70%20shantibala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71Joychandra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72%20Bimola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73%20sonia.xlsx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74%20sanatombi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75%20Mona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76%20huirem%20sunamani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77%20bijenti.xlsx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78%20Yaithengbam%20Bidyabati%20-.xlsx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79%20thasana.xlsx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80%20haobijam%20joyshree.xlsx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81%20asiqi.xlsx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82%20kiranmala.xlsx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83%20sunanda.xlsx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84%20kamala.xlsx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85%20ibobi.xlsx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86%20dinita.xlsx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87%20Sandhyarani.xlsx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88%20Rambhabati.xlsx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89%20lukhamlu.xlsx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2023/90%20Angom%20Bijen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1"/>
      <sheetName val="loanform2"/>
      <sheetName val="SM5000.1-SEPT"/>
      <sheetName val="SM5000.1-oct"/>
      <sheetName val="SM5000.1-SEPT (2)"/>
    </sheetNames>
    <sheetDataSet>
      <sheetData sheetId="0" refreshError="1"/>
      <sheetData sheetId="1" refreshError="1"/>
      <sheetData sheetId="2">
        <row r="1">
          <cell r="C1">
            <v>5000</v>
          </cell>
          <cell r="K1">
            <v>0</v>
          </cell>
          <cell r="O1">
            <v>6000</v>
          </cell>
        </row>
        <row r="2">
          <cell r="K2">
            <v>60</v>
          </cell>
          <cell r="O2">
            <v>0</v>
          </cell>
        </row>
        <row r="3">
          <cell r="B3">
            <v>45180</v>
          </cell>
        </row>
      </sheetData>
      <sheetData sheetId="3">
        <row r="1">
          <cell r="C1">
            <v>5000</v>
          </cell>
          <cell r="K1">
            <v>0</v>
          </cell>
          <cell r="O1">
            <v>6000</v>
          </cell>
        </row>
        <row r="2">
          <cell r="K2">
            <v>60</v>
          </cell>
          <cell r="O2">
            <v>0</v>
          </cell>
        </row>
        <row r="3">
          <cell r="B3">
            <v>45201</v>
          </cell>
        </row>
      </sheetData>
      <sheetData sheetId="4">
        <row r="1">
          <cell r="C1">
            <v>5000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10000.1-OCT"/>
    </sheetNames>
    <sheetDataSet>
      <sheetData sheetId="0" refreshError="1"/>
      <sheetData sheetId="1">
        <row r="1">
          <cell r="C1">
            <v>10000</v>
          </cell>
          <cell r="K1">
            <v>0</v>
          </cell>
          <cell r="O1">
            <v>12000</v>
          </cell>
        </row>
        <row r="2">
          <cell r="K2">
            <v>120</v>
          </cell>
          <cell r="O2">
            <v>0</v>
          </cell>
        </row>
        <row r="3">
          <cell r="B3">
            <v>45212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10000.1-OCT"/>
    </sheetNames>
    <sheetDataSet>
      <sheetData sheetId="0" refreshError="1"/>
      <sheetData sheetId="1" refreshError="1">
        <row r="1">
          <cell r="C1">
            <v>10000</v>
          </cell>
          <cell r="K1">
            <v>0</v>
          </cell>
          <cell r="O1">
            <v>12000</v>
          </cell>
        </row>
        <row r="2">
          <cell r="K2">
            <v>120</v>
          </cell>
          <cell r="O2">
            <v>0</v>
          </cell>
        </row>
        <row r="3">
          <cell r="B3">
            <v>45213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10000.20-OCT"/>
    </sheetNames>
    <sheetDataSet>
      <sheetData sheetId="0" refreshError="1"/>
      <sheetData sheetId="1">
        <row r="1">
          <cell r="C1">
            <v>10000</v>
          </cell>
          <cell r="K1">
            <v>0</v>
          </cell>
          <cell r="O1">
            <v>12000</v>
          </cell>
        </row>
        <row r="2">
          <cell r="K2">
            <v>17</v>
          </cell>
          <cell r="O2">
            <v>0</v>
          </cell>
        </row>
        <row r="3">
          <cell r="B3">
            <v>45226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1"/>
      <sheetName val="loanform2"/>
      <sheetName val="SM5000.1-SEPT (2)"/>
    </sheetNames>
    <sheetDataSet>
      <sheetData sheetId="0"/>
      <sheetData sheetId="1"/>
      <sheetData sheetId="2">
        <row r="1">
          <cell r="C1">
            <v>5000</v>
          </cell>
          <cell r="K1">
            <v>0</v>
          </cell>
          <cell r="O1">
            <v>6000</v>
          </cell>
        </row>
        <row r="2">
          <cell r="K2">
            <v>60</v>
          </cell>
          <cell r="O2">
            <v>0</v>
          </cell>
        </row>
        <row r="3">
          <cell r="B3">
            <v>45243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10000.20-OCT"/>
    </sheetNames>
    <sheetDataSet>
      <sheetData sheetId="0" refreshError="1"/>
      <sheetData sheetId="1">
        <row r="1">
          <cell r="C1">
            <v>10000</v>
          </cell>
          <cell r="K1">
            <v>0</v>
          </cell>
          <cell r="O1">
            <v>12000</v>
          </cell>
        </row>
        <row r="2">
          <cell r="K2">
            <v>17</v>
          </cell>
          <cell r="O2">
            <v>0</v>
          </cell>
        </row>
        <row r="3">
          <cell r="B3">
            <v>45245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15000.27-NOV"/>
      <sheetName val="Sheet1"/>
    </sheetNames>
    <sheetDataSet>
      <sheetData sheetId="0" refreshError="1"/>
      <sheetData sheetId="1">
        <row r="1">
          <cell r="C1">
            <v>15000</v>
          </cell>
          <cell r="K1">
            <v>0</v>
          </cell>
          <cell r="O1">
            <v>18000</v>
          </cell>
        </row>
        <row r="2">
          <cell r="K2">
            <v>17</v>
          </cell>
          <cell r="O2">
            <v>0</v>
          </cell>
        </row>
        <row r="3">
          <cell r="B3">
            <v>45266</v>
          </cell>
        </row>
      </sheetData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20000.15-DEC"/>
      <sheetName val="Sheet1"/>
    </sheetNames>
    <sheetDataSet>
      <sheetData sheetId="0" refreshError="1"/>
      <sheetData sheetId="1">
        <row r="1">
          <cell r="C1">
            <v>20000</v>
          </cell>
          <cell r="K1">
            <v>0</v>
          </cell>
          <cell r="O1">
            <v>24000</v>
          </cell>
        </row>
        <row r="2">
          <cell r="K2">
            <v>17</v>
          </cell>
          <cell r="O2">
            <v>0</v>
          </cell>
        </row>
        <row r="3">
          <cell r="B3">
            <v>45649</v>
          </cell>
        </row>
      </sheetData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20000.15-DEc"/>
      <sheetName val="Sheet1"/>
    </sheetNames>
    <sheetDataSet>
      <sheetData sheetId="0" refreshError="1"/>
      <sheetData sheetId="1">
        <row r="1">
          <cell r="C1">
            <v>20000</v>
          </cell>
          <cell r="K1">
            <v>0</v>
          </cell>
          <cell r="O1">
            <v>24000</v>
          </cell>
        </row>
        <row r="2">
          <cell r="K2">
            <v>17</v>
          </cell>
          <cell r="O2">
            <v>0</v>
          </cell>
        </row>
        <row r="3">
          <cell r="B3">
            <v>45646</v>
          </cell>
        </row>
      </sheetData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50000.15-DEC"/>
      <sheetName val="Sheet1"/>
    </sheetNames>
    <sheetDataSet>
      <sheetData sheetId="0" refreshError="1"/>
      <sheetData sheetId="1">
        <row r="1">
          <cell r="C1">
            <v>50000</v>
          </cell>
          <cell r="K1">
            <v>0</v>
          </cell>
          <cell r="O1">
            <v>84000</v>
          </cell>
        </row>
        <row r="2">
          <cell r="K2">
            <v>48</v>
          </cell>
          <cell r="O2">
            <v>0</v>
          </cell>
        </row>
        <row r="3">
          <cell r="B3">
            <v>45648</v>
          </cell>
        </row>
      </sheetData>
      <sheetData sheetId="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20000.18-DEC"/>
    </sheetNames>
    <sheetDataSet>
      <sheetData sheetId="0" refreshError="1"/>
      <sheetData sheetId="1">
        <row r="1">
          <cell r="C1">
            <v>20000</v>
          </cell>
          <cell r="K1">
            <v>0</v>
          </cell>
          <cell r="O1">
            <v>24000</v>
          </cell>
        </row>
        <row r="2">
          <cell r="K2">
            <v>120</v>
          </cell>
          <cell r="O2">
            <v>0</v>
          </cell>
        </row>
        <row r="3">
          <cell r="B3">
            <v>45279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20000.22-DEC"/>
    </sheetNames>
    <sheetDataSet>
      <sheetData sheetId="0" refreshError="1"/>
      <sheetData sheetId="1">
        <row r="1">
          <cell r="C1">
            <v>20000</v>
          </cell>
          <cell r="K1">
            <v>120</v>
          </cell>
          <cell r="O1">
            <v>0</v>
          </cell>
        </row>
        <row r="2">
          <cell r="K2">
            <v>0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50000.15-DEC"/>
      <sheetName val="Sheet1"/>
    </sheetNames>
    <sheetDataSet>
      <sheetData sheetId="0" refreshError="1"/>
      <sheetData sheetId="1">
        <row r="1">
          <cell r="C1">
            <v>10000</v>
          </cell>
          <cell r="K1">
            <v>0</v>
          </cell>
          <cell r="O1">
            <v>16800</v>
          </cell>
        </row>
        <row r="2">
          <cell r="K2">
            <v>48</v>
          </cell>
          <cell r="O2">
            <v>0</v>
          </cell>
        </row>
        <row r="3">
          <cell r="B3">
            <v>45310</v>
          </cell>
        </row>
      </sheetData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5000-Jan24"/>
    </sheetNames>
    <sheetDataSet>
      <sheetData sheetId="0" refreshError="1"/>
      <sheetData sheetId="1">
        <row r="1">
          <cell r="C1">
            <v>5000</v>
          </cell>
          <cell r="K1">
            <v>0</v>
          </cell>
          <cell r="O1">
            <v>6000</v>
          </cell>
        </row>
        <row r="2">
          <cell r="K2">
            <v>60</v>
          </cell>
          <cell r="O2">
            <v>0</v>
          </cell>
        </row>
        <row r="3">
          <cell r="B3">
            <v>45302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10000.10-JAN"/>
      <sheetName val="Sheet1"/>
    </sheetNames>
    <sheetDataSet>
      <sheetData sheetId="0" refreshError="1"/>
      <sheetData sheetId="1">
        <row r="1">
          <cell r="C1">
            <v>10000</v>
          </cell>
          <cell r="K1">
            <v>0</v>
          </cell>
          <cell r="O1">
            <v>16800</v>
          </cell>
        </row>
        <row r="2">
          <cell r="K2">
            <v>48</v>
          </cell>
          <cell r="O2">
            <v>0</v>
          </cell>
        </row>
        <row r="3">
          <cell r="B3">
            <v>45308</v>
          </cell>
        </row>
      </sheetData>
      <sheetData sheetId="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10000.10-JAN"/>
      <sheetName val="Sheet1"/>
    </sheetNames>
    <sheetDataSet>
      <sheetData sheetId="0" refreshError="1"/>
      <sheetData sheetId="1">
        <row r="1">
          <cell r="C1">
            <v>10000</v>
          </cell>
          <cell r="K1">
            <v>0</v>
          </cell>
          <cell r="O1">
            <v>16800</v>
          </cell>
        </row>
        <row r="2">
          <cell r="K2">
            <v>48</v>
          </cell>
          <cell r="O2">
            <v>0</v>
          </cell>
        </row>
        <row r="3">
          <cell r="B3">
            <v>45308</v>
          </cell>
        </row>
      </sheetData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10000.20-OCT"/>
    </sheetNames>
    <sheetDataSet>
      <sheetData sheetId="0" refreshError="1"/>
      <sheetData sheetId="1" refreshError="1">
        <row r="1">
          <cell r="C1">
            <v>5000</v>
          </cell>
          <cell r="K1">
            <v>0</v>
          </cell>
          <cell r="O1">
            <v>6000</v>
          </cell>
        </row>
        <row r="2">
          <cell r="K2">
            <v>17</v>
          </cell>
          <cell r="O2">
            <v>0</v>
          </cell>
        </row>
        <row r="3">
          <cell r="B3">
            <v>45316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10000.20-OCT"/>
    </sheetNames>
    <sheetDataSet>
      <sheetData sheetId="0"/>
      <sheetData sheetId="1">
        <row r="1">
          <cell r="C1">
            <v>10000</v>
          </cell>
          <cell r="K1">
            <v>0</v>
          </cell>
          <cell r="O1">
            <v>16800</v>
          </cell>
        </row>
        <row r="2">
          <cell r="K2">
            <v>48</v>
          </cell>
          <cell r="O2">
            <v>0</v>
          </cell>
        </row>
        <row r="3">
          <cell r="B3">
            <v>45324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10000.20-OCT"/>
      <sheetName val="Sheet1"/>
    </sheetNames>
    <sheetDataSet>
      <sheetData sheetId="0" refreshError="1"/>
      <sheetData sheetId="1" refreshError="1">
        <row r="1">
          <cell r="C1">
            <v>10000</v>
          </cell>
          <cell r="K1">
            <v>0</v>
          </cell>
          <cell r="O1">
            <v>16800</v>
          </cell>
        </row>
        <row r="2">
          <cell r="K2">
            <v>48</v>
          </cell>
          <cell r="O2">
            <v>0</v>
          </cell>
        </row>
        <row r="3">
          <cell r="B3">
            <v>45327</v>
          </cell>
        </row>
      </sheetData>
      <sheetData sheetId="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1"/>
      <sheetName val="loanform2"/>
      <sheetName val="SM5000.1-oct"/>
    </sheetNames>
    <sheetDataSet>
      <sheetData sheetId="0" refreshError="1"/>
      <sheetData sheetId="1" refreshError="1"/>
      <sheetData sheetId="2" refreshError="1">
        <row r="1">
          <cell r="C1">
            <v>5000</v>
          </cell>
          <cell r="K1">
            <v>0</v>
          </cell>
          <cell r="O1">
            <v>6000</v>
          </cell>
        </row>
        <row r="2">
          <cell r="K2">
            <v>60</v>
          </cell>
          <cell r="O2">
            <v>0</v>
          </cell>
        </row>
        <row r="3">
          <cell r="B3">
            <v>45323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10000.20-OCT"/>
    </sheetNames>
    <sheetDataSet>
      <sheetData sheetId="0" refreshError="1"/>
      <sheetData sheetId="1" refreshError="1">
        <row r="1">
          <cell r="C1">
            <v>5000</v>
          </cell>
          <cell r="K1">
            <v>0</v>
          </cell>
          <cell r="O1">
            <v>6000</v>
          </cell>
        </row>
        <row r="2">
          <cell r="K2">
            <v>17</v>
          </cell>
          <cell r="O2">
            <v>0</v>
          </cell>
        </row>
        <row r="3">
          <cell r="B3">
            <v>45332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10000.1-OCT"/>
    </sheetNames>
    <sheetDataSet>
      <sheetData sheetId="0" refreshError="1"/>
      <sheetData sheetId="1" refreshError="1">
        <row r="1">
          <cell r="C1">
            <v>10000</v>
          </cell>
          <cell r="K1">
            <v>0</v>
          </cell>
          <cell r="O1">
            <v>12000</v>
          </cell>
        </row>
        <row r="2">
          <cell r="K2">
            <v>120</v>
          </cell>
          <cell r="O2">
            <v>0</v>
          </cell>
        </row>
        <row r="3">
          <cell r="B3">
            <v>45339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10000.1-OCT"/>
    </sheetNames>
    <sheetDataSet>
      <sheetData sheetId="0" refreshError="1"/>
      <sheetData sheetId="1" refreshError="1">
        <row r="1">
          <cell r="C1">
            <v>10000</v>
          </cell>
          <cell r="K1">
            <v>0</v>
          </cell>
          <cell r="O1">
            <v>12000</v>
          </cell>
        </row>
        <row r="2">
          <cell r="K2">
            <v>120</v>
          </cell>
          <cell r="O2">
            <v>0</v>
          </cell>
        </row>
        <row r="3">
          <cell r="B3">
            <v>45334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20000.15-DEC"/>
      <sheetName val="Sheet1"/>
    </sheetNames>
    <sheetDataSet>
      <sheetData sheetId="0" refreshError="1"/>
      <sheetData sheetId="1">
        <row r="1">
          <cell r="C1">
            <v>20000</v>
          </cell>
          <cell r="K1">
            <v>5</v>
          </cell>
        </row>
        <row r="2">
          <cell r="K2">
            <v>12</v>
          </cell>
        </row>
        <row r="3">
          <cell r="B3">
            <v>45337</v>
          </cell>
        </row>
      </sheetData>
      <sheetData sheetId="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20000.15-DEC"/>
      <sheetName val="Sheet1"/>
    </sheetNames>
    <sheetDataSet>
      <sheetData sheetId="0" refreshError="1"/>
      <sheetData sheetId="1" refreshError="1">
        <row r="1">
          <cell r="O1">
            <v>24000</v>
          </cell>
        </row>
        <row r="2">
          <cell r="O2">
            <v>0</v>
          </cell>
        </row>
      </sheetData>
      <sheetData sheetId="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20000.15-DEC"/>
      <sheetName val="Sheet1"/>
    </sheetNames>
    <sheetDataSet>
      <sheetData sheetId="0" refreshError="1"/>
      <sheetData sheetId="1" refreshError="1">
        <row r="1">
          <cell r="C1">
            <v>20000</v>
          </cell>
          <cell r="K1">
            <v>0</v>
          </cell>
          <cell r="O1">
            <v>24000</v>
          </cell>
        </row>
        <row r="2">
          <cell r="K2">
            <v>17</v>
          </cell>
          <cell r="O2">
            <v>0</v>
          </cell>
        </row>
        <row r="3">
          <cell r="B3">
            <v>45345</v>
          </cell>
        </row>
      </sheetData>
      <sheetData sheetId="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20000.18-DEC"/>
    </sheetNames>
    <sheetDataSet>
      <sheetData sheetId="0" refreshError="1"/>
      <sheetData sheetId="1" refreshError="1">
        <row r="1">
          <cell r="C1">
            <v>30000</v>
          </cell>
          <cell r="K1">
            <v>0</v>
          </cell>
          <cell r="O1">
            <v>36000</v>
          </cell>
        </row>
        <row r="2">
          <cell r="K2">
            <v>120</v>
          </cell>
          <cell r="O2">
            <v>0</v>
          </cell>
        </row>
        <row r="3">
          <cell r="B3">
            <v>45354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10000.10-JAN"/>
      <sheetName val="Sheet1"/>
    </sheetNames>
    <sheetDataSet>
      <sheetData sheetId="0" refreshError="1"/>
      <sheetData sheetId="1" refreshError="1">
        <row r="1">
          <cell r="C1">
            <v>10000</v>
          </cell>
          <cell r="K1">
            <v>0</v>
          </cell>
          <cell r="O1">
            <v>16800</v>
          </cell>
        </row>
        <row r="2">
          <cell r="K2">
            <v>48</v>
          </cell>
          <cell r="O2">
            <v>0</v>
          </cell>
        </row>
        <row r="3">
          <cell r="B3">
            <v>45366</v>
          </cell>
        </row>
      </sheetData>
      <sheetData sheetId="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20000.15-DEc"/>
      <sheetName val="Sheet1"/>
    </sheetNames>
    <sheetDataSet>
      <sheetData sheetId="0" refreshError="1"/>
      <sheetData sheetId="1" refreshError="1">
        <row r="1">
          <cell r="C1">
            <v>20000</v>
          </cell>
          <cell r="K1">
            <v>0</v>
          </cell>
          <cell r="O1">
            <v>24000</v>
          </cell>
        </row>
        <row r="2">
          <cell r="K2">
            <v>17</v>
          </cell>
          <cell r="O2">
            <v>0</v>
          </cell>
        </row>
        <row r="3">
          <cell r="B3">
            <v>45380</v>
          </cell>
        </row>
      </sheetData>
      <sheetData sheetId="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10000.10-JAN"/>
      <sheetName val="Sheet1"/>
    </sheetNames>
    <sheetDataSet>
      <sheetData sheetId="0" refreshError="1"/>
      <sheetData sheetId="1" refreshError="1">
        <row r="1">
          <cell r="C1">
            <v>10000</v>
          </cell>
          <cell r="K1">
            <v>0</v>
          </cell>
          <cell r="O1">
            <v>16800</v>
          </cell>
        </row>
        <row r="2">
          <cell r="K2">
            <v>48</v>
          </cell>
          <cell r="O2">
            <v>0</v>
          </cell>
        </row>
        <row r="3">
          <cell r="B3">
            <v>45389</v>
          </cell>
        </row>
      </sheetData>
      <sheetData sheetId="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20000.15-DEc"/>
      <sheetName val="Sheet1"/>
    </sheetNames>
    <sheetDataSet>
      <sheetData sheetId="0" refreshError="1"/>
      <sheetData sheetId="1" refreshError="1">
        <row r="1">
          <cell r="C1">
            <v>20000</v>
          </cell>
          <cell r="G1">
            <v>17</v>
          </cell>
          <cell r="O1">
            <v>24000</v>
          </cell>
        </row>
        <row r="2">
          <cell r="K2">
            <v>17</v>
          </cell>
          <cell r="O2">
            <v>0</v>
          </cell>
        </row>
        <row r="3">
          <cell r="B3">
            <v>45394</v>
          </cell>
        </row>
      </sheetData>
      <sheetData sheetId="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10000.10-JAN"/>
      <sheetName val="Sheet1"/>
    </sheetNames>
    <sheetDataSet>
      <sheetData sheetId="0" refreshError="1"/>
      <sheetData sheetId="1">
        <row r="1">
          <cell r="C1">
            <v>10000</v>
          </cell>
          <cell r="G1">
            <v>48</v>
          </cell>
          <cell r="O1">
            <v>12950</v>
          </cell>
        </row>
        <row r="2">
          <cell r="K2">
            <v>37</v>
          </cell>
          <cell r="O2">
            <v>3850</v>
          </cell>
        </row>
        <row r="3">
          <cell r="B3">
            <v>45399</v>
          </cell>
        </row>
      </sheetData>
      <sheetData sheetId="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20000.15-DEc"/>
      <sheetName val="Sheet1"/>
    </sheetNames>
    <sheetDataSet>
      <sheetData sheetId="0" refreshError="1"/>
      <sheetData sheetId="1" refreshError="1">
        <row r="1">
          <cell r="C1">
            <v>20000</v>
          </cell>
          <cell r="G1">
            <v>17</v>
          </cell>
          <cell r="O1">
            <v>24000</v>
          </cell>
        </row>
        <row r="2">
          <cell r="K2">
            <v>17</v>
          </cell>
          <cell r="O2">
            <v>0</v>
          </cell>
        </row>
        <row r="3">
          <cell r="B3">
            <v>45406</v>
          </cell>
        </row>
      </sheetData>
      <sheetData sheetId="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10000.20-OCT"/>
    </sheetNames>
    <sheetDataSet>
      <sheetData sheetId="0" refreshError="1"/>
      <sheetData sheetId="1" refreshError="1">
        <row r="1">
          <cell r="C1">
            <v>5000</v>
          </cell>
          <cell r="G1">
            <v>17</v>
          </cell>
          <cell r="O1">
            <v>5950</v>
          </cell>
        </row>
        <row r="2">
          <cell r="K2">
            <v>17</v>
          </cell>
          <cell r="O2">
            <v>0</v>
          </cell>
        </row>
        <row r="3">
          <cell r="B3">
            <v>45406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50000.15-DEC"/>
      <sheetName val="Sheet1"/>
    </sheetNames>
    <sheetDataSet>
      <sheetData sheetId="0" refreshError="1"/>
      <sheetData sheetId="1">
        <row r="1">
          <cell r="C1">
            <v>40000</v>
          </cell>
          <cell r="K1">
            <v>47</v>
          </cell>
          <cell r="O1">
            <v>1400</v>
          </cell>
        </row>
        <row r="2">
          <cell r="K2">
            <v>1</v>
          </cell>
        </row>
        <row r="3">
          <cell r="B3">
            <v>45416</v>
          </cell>
        </row>
      </sheetData>
      <sheetData sheetId="2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50000.15-DEC"/>
      <sheetName val="Sheet1"/>
    </sheetNames>
    <sheetDataSet>
      <sheetData sheetId="0" refreshError="1"/>
      <sheetData sheetId="1">
        <row r="2">
          <cell r="O2">
            <v>0</v>
          </cell>
        </row>
      </sheetData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10000.20-OCT"/>
    </sheetNames>
    <sheetDataSet>
      <sheetData sheetId="0" refreshError="1"/>
      <sheetData sheetId="1" refreshError="1">
        <row r="1">
          <cell r="C1">
            <v>5000</v>
          </cell>
          <cell r="K1">
            <v>0</v>
          </cell>
          <cell r="O1">
            <v>6000</v>
          </cell>
        </row>
        <row r="2">
          <cell r="K2">
            <v>17</v>
          </cell>
          <cell r="O2">
            <v>0</v>
          </cell>
        </row>
        <row r="3">
          <cell r="B3">
            <v>45427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20000.18-DEC"/>
    </sheetNames>
    <sheetDataSet>
      <sheetData sheetId="0" refreshError="1"/>
      <sheetData sheetId="1" refreshError="1">
        <row r="1">
          <cell r="C1">
            <v>20000</v>
          </cell>
          <cell r="K1">
            <v>0</v>
          </cell>
          <cell r="O1">
            <v>24000</v>
          </cell>
        </row>
        <row r="2">
          <cell r="K2">
            <v>120</v>
          </cell>
          <cell r="O2">
            <v>0</v>
          </cell>
        </row>
        <row r="3">
          <cell r="B3">
            <v>45425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10000.20-OCT"/>
    </sheetNames>
    <sheetDataSet>
      <sheetData sheetId="0" refreshError="1"/>
      <sheetData sheetId="1" refreshError="1">
        <row r="1">
          <cell r="C1">
            <v>5000</v>
          </cell>
          <cell r="K1">
            <v>0</v>
          </cell>
          <cell r="O1">
            <v>6000</v>
          </cell>
        </row>
        <row r="2">
          <cell r="K2">
            <v>17</v>
          </cell>
          <cell r="O2">
            <v>0</v>
          </cell>
        </row>
        <row r="3">
          <cell r="B3">
            <v>45436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20000.22-DEC"/>
    </sheetNames>
    <sheetDataSet>
      <sheetData sheetId="0" refreshError="1"/>
      <sheetData sheetId="1" refreshError="1">
        <row r="1">
          <cell r="C1">
            <v>20000</v>
          </cell>
          <cell r="K1">
            <v>0</v>
          </cell>
          <cell r="O1">
            <v>24000</v>
          </cell>
        </row>
        <row r="2">
          <cell r="K2">
            <v>120</v>
          </cell>
          <cell r="O2">
            <v>0</v>
          </cell>
        </row>
        <row r="3">
          <cell r="B3">
            <v>45432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10000.1-OCT"/>
    </sheetNames>
    <sheetDataSet>
      <sheetData sheetId="0" refreshError="1"/>
      <sheetData sheetId="1" refreshError="1">
        <row r="1">
          <cell r="C1">
            <v>10000</v>
          </cell>
          <cell r="G1">
            <v>120</v>
          </cell>
          <cell r="K1">
            <v>0</v>
          </cell>
          <cell r="O1">
            <v>12000</v>
          </cell>
        </row>
        <row r="2">
          <cell r="O2">
            <v>0</v>
          </cell>
        </row>
        <row r="3">
          <cell r="B3">
            <v>45437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10000.20-OCT"/>
    </sheetNames>
    <sheetDataSet>
      <sheetData sheetId="0"/>
      <sheetData sheetId="1">
        <row r="1">
          <cell r="C1">
            <v>5000</v>
          </cell>
          <cell r="K1">
            <v>0</v>
          </cell>
          <cell r="O1">
            <v>5950</v>
          </cell>
        </row>
        <row r="2">
          <cell r="K2">
            <v>17</v>
          </cell>
        </row>
        <row r="3">
          <cell r="B3">
            <v>45444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10000.1-OCT"/>
    </sheetNames>
    <sheetDataSet>
      <sheetData sheetId="0" refreshError="1"/>
      <sheetData sheetId="1">
        <row r="1">
          <cell r="C1">
            <v>10000</v>
          </cell>
        </row>
        <row r="3">
          <cell r="B3">
            <v>45450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10000.1-OCT"/>
    </sheetNames>
    <sheetDataSet>
      <sheetData sheetId="0"/>
      <sheetData sheetId="1">
        <row r="1">
          <cell r="K1">
            <v>0</v>
          </cell>
          <cell r="O1">
            <v>12000</v>
          </cell>
        </row>
        <row r="2">
          <cell r="K2">
            <v>17</v>
          </cell>
          <cell r="O2">
            <v>0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20000.22-DEC"/>
    </sheetNames>
    <sheetDataSet>
      <sheetData sheetId="0" refreshError="1"/>
      <sheetData sheetId="1" refreshError="1">
        <row r="1">
          <cell r="C1">
            <v>20000</v>
          </cell>
          <cell r="K1">
            <v>0</v>
          </cell>
          <cell r="O1">
            <v>24000</v>
          </cell>
        </row>
        <row r="2">
          <cell r="K2">
            <v>120</v>
          </cell>
          <cell r="O2">
            <v>0</v>
          </cell>
        </row>
        <row r="3">
          <cell r="B3">
            <v>45446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20000.22-DEC"/>
    </sheetNames>
    <sheetDataSet>
      <sheetData sheetId="0" refreshError="1"/>
      <sheetData sheetId="1" refreshError="1">
        <row r="1">
          <cell r="C1">
            <v>10000</v>
          </cell>
          <cell r="K1">
            <v>0</v>
          </cell>
          <cell r="O1">
            <v>12000</v>
          </cell>
        </row>
        <row r="2">
          <cell r="K2">
            <v>120</v>
          </cell>
          <cell r="O2">
            <v>0</v>
          </cell>
        </row>
        <row r="3">
          <cell r="B3">
            <v>45473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20000.15-DEc"/>
      <sheetName val="Sheet1"/>
    </sheetNames>
    <sheetDataSet>
      <sheetData sheetId="0" refreshError="1"/>
      <sheetData sheetId="1">
        <row r="1">
          <cell r="C1">
            <v>20000</v>
          </cell>
          <cell r="K1">
            <v>0</v>
          </cell>
          <cell r="O1">
            <v>24000</v>
          </cell>
        </row>
        <row r="2">
          <cell r="K2">
            <v>17</v>
          </cell>
          <cell r="O2">
            <v>0</v>
          </cell>
        </row>
        <row r="3">
          <cell r="B3">
            <v>45495</v>
          </cell>
        </row>
      </sheetData>
      <sheetData sheetId="2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20000.15-DEc"/>
      <sheetName val="Sheet1"/>
    </sheetNames>
    <sheetDataSet>
      <sheetData sheetId="0" refreshError="1"/>
      <sheetData sheetId="1" refreshError="1">
        <row r="1">
          <cell r="C1">
            <v>10000</v>
          </cell>
          <cell r="K1">
            <v>0</v>
          </cell>
          <cell r="O1">
            <v>12000</v>
          </cell>
        </row>
        <row r="2">
          <cell r="K2">
            <v>17</v>
          </cell>
          <cell r="O2">
            <v>0</v>
          </cell>
        </row>
        <row r="3">
          <cell r="B3">
            <v>45496</v>
          </cell>
        </row>
      </sheetData>
      <sheetData sheetId="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20000.18-DEC"/>
    </sheetNames>
    <sheetDataSet>
      <sheetData sheetId="0" refreshError="1"/>
      <sheetData sheetId="1">
        <row r="1">
          <cell r="C1">
            <v>20000</v>
          </cell>
          <cell r="K1">
            <v>0</v>
          </cell>
          <cell r="O1">
            <v>24000</v>
          </cell>
        </row>
        <row r="2">
          <cell r="K2">
            <v>120</v>
          </cell>
          <cell r="O2">
            <v>0</v>
          </cell>
        </row>
        <row r="3">
          <cell r="B3">
            <v>45493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20000.15-DEc"/>
      <sheetName val="Sheet1"/>
    </sheetNames>
    <sheetDataSet>
      <sheetData sheetId="0" refreshError="1"/>
      <sheetData sheetId="1" refreshError="1">
        <row r="1">
          <cell r="C1">
            <v>10000</v>
          </cell>
          <cell r="K1">
            <v>0</v>
          </cell>
          <cell r="O1">
            <v>12000</v>
          </cell>
        </row>
        <row r="2">
          <cell r="K2">
            <v>17</v>
          </cell>
          <cell r="O2">
            <v>0</v>
          </cell>
        </row>
        <row r="3">
          <cell r="B3">
            <v>45502</v>
          </cell>
        </row>
      </sheetData>
      <sheetData sheetId="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50000.15-DEC"/>
      <sheetName val="Sheet1"/>
    </sheetNames>
    <sheetDataSet>
      <sheetData sheetId="0" refreshError="1"/>
      <sheetData sheetId="1">
        <row r="1">
          <cell r="C1">
            <v>20000</v>
          </cell>
          <cell r="K1">
            <v>0</v>
          </cell>
          <cell r="O1">
            <v>24000</v>
          </cell>
        </row>
        <row r="2">
          <cell r="K2">
            <v>17</v>
          </cell>
          <cell r="O2">
            <v>0</v>
          </cell>
        </row>
        <row r="3">
          <cell r="B3">
            <v>45504</v>
          </cell>
        </row>
      </sheetData>
      <sheetData sheetId="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10000.20-OCT"/>
    </sheetNames>
    <sheetDataSet>
      <sheetData sheetId="0" refreshError="1"/>
      <sheetData sheetId="1" refreshError="1">
        <row r="1">
          <cell r="C1">
            <v>5000</v>
          </cell>
          <cell r="K1">
            <v>0</v>
          </cell>
          <cell r="O1">
            <v>5950</v>
          </cell>
        </row>
        <row r="2">
          <cell r="K2">
            <v>17</v>
          </cell>
          <cell r="O2">
            <v>0</v>
          </cell>
        </row>
        <row r="3">
          <cell r="B3">
            <v>45511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20000.18-DEC"/>
    </sheetNames>
    <sheetDataSet>
      <sheetData sheetId="0" refreshError="1"/>
      <sheetData sheetId="1">
        <row r="1">
          <cell r="C1">
            <v>30000</v>
          </cell>
          <cell r="K1">
            <v>0</v>
          </cell>
          <cell r="O1">
            <v>36000</v>
          </cell>
        </row>
        <row r="2">
          <cell r="K2">
            <v>120</v>
          </cell>
          <cell r="O2">
            <v>0</v>
          </cell>
        </row>
        <row r="3">
          <cell r="B3">
            <v>45508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20000.18-DEC"/>
    </sheetNames>
    <sheetDataSet>
      <sheetData sheetId="0" refreshError="1"/>
      <sheetData sheetId="1" refreshError="1">
        <row r="1">
          <cell r="C1">
            <v>10000</v>
          </cell>
          <cell r="K1">
            <v>0</v>
          </cell>
          <cell r="O1">
            <v>12000</v>
          </cell>
        </row>
        <row r="2">
          <cell r="K2">
            <v>120</v>
          </cell>
          <cell r="O2">
            <v>0</v>
          </cell>
        </row>
        <row r="3">
          <cell r="B3">
            <v>45514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20000.15-DEc"/>
      <sheetName val="Sheet1"/>
    </sheetNames>
    <sheetDataSet>
      <sheetData sheetId="0" refreshError="1"/>
      <sheetData sheetId="1">
        <row r="1">
          <cell r="C1">
            <v>20000</v>
          </cell>
          <cell r="K1">
            <v>0</v>
          </cell>
          <cell r="O1">
            <v>24000</v>
          </cell>
        </row>
        <row r="2">
          <cell r="K2">
            <v>17</v>
          </cell>
          <cell r="O2">
            <v>0</v>
          </cell>
        </row>
        <row r="3">
          <cell r="B3">
            <v>45527</v>
          </cell>
        </row>
      </sheetData>
      <sheetData sheetId="2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20000.15-DEc"/>
      <sheetName val="Sheet1"/>
    </sheetNames>
    <sheetDataSet>
      <sheetData sheetId="0"/>
      <sheetData sheetId="1">
        <row r="1">
          <cell r="C1">
            <v>10000</v>
          </cell>
          <cell r="K1">
            <v>0</v>
          </cell>
          <cell r="O1">
            <v>12000</v>
          </cell>
        </row>
        <row r="2">
          <cell r="K2">
            <v>17</v>
          </cell>
          <cell r="O2">
            <v>0</v>
          </cell>
        </row>
        <row r="3">
          <cell r="B3">
            <v>45531</v>
          </cell>
        </row>
      </sheetData>
      <sheetData sheetId="2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10000.20-OCT"/>
    </sheetNames>
    <sheetDataSet>
      <sheetData sheetId="0" refreshError="1"/>
      <sheetData sheetId="1">
        <row r="1">
          <cell r="C1">
            <v>5000</v>
          </cell>
          <cell r="K1">
            <v>0</v>
          </cell>
          <cell r="O1">
            <v>6000</v>
          </cell>
        </row>
        <row r="2">
          <cell r="K2">
            <v>17</v>
          </cell>
          <cell r="O2">
            <v>0</v>
          </cell>
        </row>
        <row r="3">
          <cell r="B3">
            <v>45532</v>
          </cell>
        </row>
      </sheetData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20000.15-DEc"/>
      <sheetName val="Sheet1"/>
    </sheetNames>
    <sheetDataSet>
      <sheetData sheetId="0" refreshError="1"/>
      <sheetData sheetId="1">
        <row r="1">
          <cell r="C1">
            <v>10000</v>
          </cell>
          <cell r="K1">
            <v>0</v>
          </cell>
          <cell r="O1">
            <v>12000</v>
          </cell>
        </row>
        <row r="2">
          <cell r="K2">
            <v>17</v>
          </cell>
          <cell r="O2">
            <v>0</v>
          </cell>
        </row>
        <row r="3">
          <cell r="B3">
            <v>45534</v>
          </cell>
        </row>
      </sheetData>
      <sheetData sheetId="2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10000.20-OCT"/>
    </sheetNames>
    <sheetDataSet>
      <sheetData sheetId="0" refreshError="1"/>
      <sheetData sheetId="1">
        <row r="1">
          <cell r="C1">
            <v>5000</v>
          </cell>
          <cell r="K1">
            <v>0</v>
          </cell>
          <cell r="O1">
            <v>6000</v>
          </cell>
        </row>
        <row r="2">
          <cell r="K2">
            <v>17</v>
          </cell>
          <cell r="O2">
            <v>0</v>
          </cell>
        </row>
        <row r="3">
          <cell r="B3">
            <v>45536</v>
          </cell>
        </row>
      </sheetData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20000.22-DEC"/>
    </sheetNames>
    <sheetDataSet>
      <sheetData sheetId="0" refreshError="1"/>
      <sheetData sheetId="1">
        <row r="1">
          <cell r="C1">
            <v>20000</v>
          </cell>
          <cell r="K1">
            <v>0</v>
          </cell>
          <cell r="O1">
            <v>24000</v>
          </cell>
        </row>
        <row r="2">
          <cell r="K2">
            <v>120</v>
          </cell>
          <cell r="O2">
            <v>0</v>
          </cell>
        </row>
        <row r="3">
          <cell r="B3">
            <v>45535</v>
          </cell>
        </row>
      </sheetData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10000.20-OCT"/>
    </sheetNames>
    <sheetDataSet>
      <sheetData sheetId="0"/>
      <sheetData sheetId="1">
        <row r="1">
          <cell r="C1">
            <v>5000</v>
          </cell>
          <cell r="K1">
            <v>0</v>
          </cell>
          <cell r="O1">
            <v>6000</v>
          </cell>
        </row>
        <row r="2">
          <cell r="K2">
            <v>17</v>
          </cell>
          <cell r="O2">
            <v>0</v>
          </cell>
        </row>
        <row r="3">
          <cell r="B3">
            <v>45549</v>
          </cell>
        </row>
      </sheetData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20000.22-DEC"/>
    </sheetNames>
    <sheetDataSet>
      <sheetData sheetId="0" refreshError="1"/>
      <sheetData sheetId="1">
        <row r="1">
          <cell r="C1">
            <v>20000</v>
          </cell>
          <cell r="K1">
            <v>0</v>
          </cell>
          <cell r="O1">
            <v>24000</v>
          </cell>
        </row>
        <row r="2">
          <cell r="K2">
            <v>120</v>
          </cell>
          <cell r="O2">
            <v>0</v>
          </cell>
        </row>
        <row r="13">
          <cell r="B13">
            <v>45562</v>
          </cell>
        </row>
      </sheetData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10000.1-OCT"/>
    </sheetNames>
    <sheetDataSet>
      <sheetData sheetId="0" refreshError="1"/>
      <sheetData sheetId="1">
        <row r="1">
          <cell r="C1">
            <v>10000</v>
          </cell>
          <cell r="K1">
            <v>0</v>
          </cell>
          <cell r="O1">
            <v>12000</v>
          </cell>
        </row>
        <row r="2">
          <cell r="K2">
            <v>120</v>
          </cell>
          <cell r="O2">
            <v>0</v>
          </cell>
        </row>
        <row r="3">
          <cell r="B3">
            <v>45557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10000.1-OCT"/>
    </sheetNames>
    <sheetDataSet>
      <sheetData sheetId="0" refreshError="1"/>
      <sheetData sheetId="1">
        <row r="1">
          <cell r="C1">
            <v>10000</v>
          </cell>
          <cell r="K1">
            <v>38</v>
          </cell>
          <cell r="O1">
            <v>8200</v>
          </cell>
        </row>
        <row r="2">
          <cell r="K2">
            <v>82</v>
          </cell>
          <cell r="O2">
            <v>3800</v>
          </cell>
        </row>
        <row r="3">
          <cell r="B3">
            <v>45557</v>
          </cell>
        </row>
      </sheetData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10000.1-OCT"/>
    </sheetNames>
    <sheetDataSet>
      <sheetData sheetId="0" refreshError="1"/>
      <sheetData sheetId="1">
        <row r="1">
          <cell r="C1">
            <v>10000</v>
          </cell>
          <cell r="K1">
            <v>19</v>
          </cell>
          <cell r="O1">
            <v>10100</v>
          </cell>
        </row>
        <row r="2">
          <cell r="K2">
            <v>101</v>
          </cell>
          <cell r="O2">
            <v>1900</v>
          </cell>
        </row>
        <row r="3">
          <cell r="B3">
            <v>45561</v>
          </cell>
        </row>
      </sheetData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20000.18-DEC"/>
    </sheetNames>
    <sheetDataSet>
      <sheetData sheetId="0" refreshError="1"/>
      <sheetData sheetId="1">
        <row r="1">
          <cell r="C1">
            <v>20000</v>
          </cell>
          <cell r="K1">
            <v>0</v>
          </cell>
          <cell r="O1">
            <v>24000</v>
          </cell>
        </row>
        <row r="2">
          <cell r="K2">
            <v>120</v>
          </cell>
          <cell r="O2">
            <v>0</v>
          </cell>
        </row>
        <row r="3">
          <cell r="B3">
            <v>45562</v>
          </cell>
        </row>
      </sheetData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10000.1-OCT"/>
    </sheetNames>
    <sheetDataSet>
      <sheetData sheetId="0" refreshError="1"/>
      <sheetData sheetId="1">
        <row r="1">
          <cell r="C1">
            <v>10000</v>
          </cell>
          <cell r="K1">
            <v>37</v>
          </cell>
          <cell r="O1">
            <v>8300</v>
          </cell>
        </row>
        <row r="2">
          <cell r="K2">
            <v>83</v>
          </cell>
          <cell r="O2">
            <v>3700</v>
          </cell>
        </row>
        <row r="3">
          <cell r="B3">
            <v>45563</v>
          </cell>
        </row>
      </sheetData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10000.1-OCT"/>
    </sheetNames>
    <sheetDataSet>
      <sheetData sheetId="0" refreshError="1"/>
      <sheetData sheetId="1">
        <row r="1">
          <cell r="C1">
            <v>15000</v>
          </cell>
          <cell r="K1">
            <v>63</v>
          </cell>
          <cell r="O1">
            <v>8550</v>
          </cell>
        </row>
        <row r="2">
          <cell r="K2">
            <v>57</v>
          </cell>
          <cell r="O2">
            <v>9450</v>
          </cell>
        </row>
        <row r="3">
          <cell r="B3">
            <v>45570</v>
          </cell>
        </row>
      </sheetData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20000.18-DEC"/>
    </sheetNames>
    <sheetDataSet>
      <sheetData sheetId="0" refreshError="1"/>
      <sheetData sheetId="1">
        <row r="1">
          <cell r="C1">
            <v>50000</v>
          </cell>
          <cell r="K1">
            <v>66</v>
          </cell>
          <cell r="O1">
            <v>27000</v>
          </cell>
        </row>
        <row r="2">
          <cell r="K2">
            <v>54</v>
          </cell>
          <cell r="O2">
            <v>33000</v>
          </cell>
        </row>
        <row r="3">
          <cell r="B3">
            <v>45579</v>
          </cell>
        </row>
      </sheetData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20000.18-DEC"/>
    </sheetNames>
    <sheetDataSet>
      <sheetData sheetId="0"/>
      <sheetData sheetId="1">
        <row r="1">
          <cell r="C1">
            <v>100000</v>
          </cell>
          <cell r="K1">
            <v>31</v>
          </cell>
          <cell r="O1">
            <v>36000</v>
          </cell>
        </row>
        <row r="2">
          <cell r="K2">
            <v>9</v>
          </cell>
          <cell r="O2">
            <v>124000</v>
          </cell>
        </row>
        <row r="3">
          <cell r="B3">
            <v>45590</v>
          </cell>
        </row>
      </sheetData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20000.18-DEC"/>
    </sheetNames>
    <sheetDataSet>
      <sheetData sheetId="0" refreshError="1"/>
      <sheetData sheetId="1">
        <row r="1">
          <cell r="C1">
            <v>50000</v>
          </cell>
          <cell r="K1">
            <v>0</v>
          </cell>
          <cell r="O1">
            <v>60000</v>
          </cell>
        </row>
        <row r="2">
          <cell r="K2">
            <v>120</v>
          </cell>
          <cell r="O2">
            <v>0</v>
          </cell>
        </row>
        <row r="3">
          <cell r="B3">
            <v>45584</v>
          </cell>
        </row>
      </sheetData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20000.18-DEC"/>
    </sheetNames>
    <sheetDataSet>
      <sheetData sheetId="0" refreshError="1"/>
      <sheetData sheetId="1">
        <row r="1">
          <cell r="C1">
            <v>20000</v>
          </cell>
          <cell r="K1">
            <v>0</v>
          </cell>
          <cell r="O1">
            <v>24000</v>
          </cell>
        </row>
        <row r="2">
          <cell r="K2">
            <v>120</v>
          </cell>
          <cell r="O2">
            <v>0</v>
          </cell>
        </row>
        <row r="3">
          <cell r="B3">
            <v>45584</v>
          </cell>
        </row>
      </sheetData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20000.18-DEC"/>
    </sheetNames>
    <sheetDataSet>
      <sheetData sheetId="0" refreshError="1"/>
      <sheetData sheetId="1">
        <row r="1">
          <cell r="C1">
            <v>20000</v>
          </cell>
          <cell r="K1">
            <v>82</v>
          </cell>
          <cell r="O1">
            <v>7600</v>
          </cell>
        </row>
        <row r="2">
          <cell r="K2">
            <v>38</v>
          </cell>
          <cell r="O2">
            <v>16400</v>
          </cell>
        </row>
        <row r="3">
          <cell r="B3">
            <v>45584</v>
          </cell>
        </row>
      </sheetData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20000.18-DEC"/>
    </sheetNames>
    <sheetDataSet>
      <sheetData sheetId="0" refreshError="1"/>
      <sheetData sheetId="1">
        <row r="1">
          <cell r="C1">
            <v>20000</v>
          </cell>
          <cell r="K1">
            <v>0</v>
          </cell>
          <cell r="O1">
            <v>24000</v>
          </cell>
        </row>
        <row r="2">
          <cell r="K2">
            <v>120</v>
          </cell>
          <cell r="O2">
            <v>0</v>
          </cell>
        </row>
        <row r="3">
          <cell r="B3">
            <v>45584</v>
          </cell>
        </row>
      </sheetData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20000.18-DEC"/>
    </sheetNames>
    <sheetDataSet>
      <sheetData sheetId="0" refreshError="1"/>
      <sheetData sheetId="1">
        <row r="1">
          <cell r="C1">
            <v>20000</v>
          </cell>
          <cell r="K1">
            <v>51</v>
          </cell>
          <cell r="O1">
            <v>13800</v>
          </cell>
        </row>
        <row r="2">
          <cell r="K2">
            <v>69</v>
          </cell>
          <cell r="O2">
            <v>10200</v>
          </cell>
        </row>
        <row r="7">
          <cell r="B7">
            <v>45587</v>
          </cell>
        </row>
      </sheetData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20000.18-DEC"/>
    </sheetNames>
    <sheetDataSet>
      <sheetData sheetId="0"/>
      <sheetData sheetId="1">
        <row r="1">
          <cell r="C1">
            <v>10000</v>
          </cell>
          <cell r="K1">
            <v>104</v>
          </cell>
          <cell r="O1">
            <v>1600</v>
          </cell>
        </row>
        <row r="2">
          <cell r="K2">
            <v>16</v>
          </cell>
          <cell r="O2">
            <v>10400</v>
          </cell>
        </row>
        <row r="3">
          <cell r="B3">
            <v>45584</v>
          </cell>
        </row>
      </sheetData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20000.18-DEC"/>
    </sheetNames>
    <sheetDataSet>
      <sheetData sheetId="0" refreshError="1"/>
      <sheetData sheetId="1">
        <row r="1">
          <cell r="C1">
            <v>10000</v>
          </cell>
          <cell r="K1">
            <v>82</v>
          </cell>
          <cell r="O1">
            <v>3800</v>
          </cell>
        </row>
        <row r="2">
          <cell r="K2">
            <v>38</v>
          </cell>
          <cell r="O2">
            <v>8200</v>
          </cell>
        </row>
        <row r="3">
          <cell r="B3">
            <v>45584</v>
          </cell>
        </row>
      </sheetData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D20000.18-DEC"/>
    </sheetNames>
    <sheetDataSet>
      <sheetData sheetId="0">
        <row r="1">
          <cell r="C1">
            <v>10000</v>
          </cell>
          <cell r="K1">
            <v>0</v>
          </cell>
          <cell r="O1">
            <v>12000</v>
          </cell>
        </row>
        <row r="2">
          <cell r="K2">
            <v>120</v>
          </cell>
          <cell r="O2">
            <v>0</v>
          </cell>
        </row>
        <row r="3">
          <cell r="B3">
            <v>45587</v>
          </cell>
        </row>
      </sheetData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20000.15-DEc"/>
      <sheetName val="Sheet1"/>
    </sheetNames>
    <sheetDataSet>
      <sheetData sheetId="0" refreshError="1"/>
      <sheetData sheetId="1">
        <row r="1">
          <cell r="C1">
            <v>20000</v>
          </cell>
          <cell r="K1">
            <v>8</v>
          </cell>
          <cell r="O1">
            <v>12800</v>
          </cell>
        </row>
        <row r="2">
          <cell r="K2">
            <v>9</v>
          </cell>
          <cell r="O2">
            <v>11200</v>
          </cell>
        </row>
        <row r="3">
          <cell r="B3">
            <v>45595</v>
          </cell>
        </row>
      </sheetData>
      <sheetData sheetId="2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10000.10-JAN"/>
      <sheetName val="Sheet1"/>
    </sheetNames>
    <sheetDataSet>
      <sheetData sheetId="0" refreshError="1"/>
      <sheetData sheetId="1">
        <row r="1">
          <cell r="C1">
            <v>20000</v>
          </cell>
          <cell r="K1">
            <v>9</v>
          </cell>
          <cell r="O1">
            <v>11400</v>
          </cell>
        </row>
        <row r="2">
          <cell r="K2">
            <v>8</v>
          </cell>
          <cell r="O2">
            <v>12600</v>
          </cell>
        </row>
        <row r="3">
          <cell r="B3">
            <v>45602</v>
          </cell>
        </row>
      </sheetData>
      <sheetData sheetId="2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20000.22-DEC"/>
    </sheetNames>
    <sheetDataSet>
      <sheetData sheetId="0" refreshError="1"/>
      <sheetData sheetId="1">
        <row r="1">
          <cell r="C1">
            <v>20000</v>
          </cell>
          <cell r="K1">
            <v>0</v>
          </cell>
          <cell r="O1">
            <v>24000</v>
          </cell>
        </row>
        <row r="2">
          <cell r="K2">
            <v>120</v>
          </cell>
          <cell r="O2">
            <v>0</v>
          </cell>
        </row>
        <row r="3">
          <cell r="B3">
            <v>45597</v>
          </cell>
        </row>
      </sheetData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20000.18-DEC"/>
    </sheetNames>
    <sheetDataSet>
      <sheetData sheetId="0" refreshError="1"/>
      <sheetData sheetId="1">
        <row r="1">
          <cell r="C1">
            <v>30000</v>
          </cell>
          <cell r="K1">
            <v>0</v>
          </cell>
          <cell r="O1">
            <v>36000</v>
          </cell>
        </row>
        <row r="2">
          <cell r="K2">
            <v>120</v>
          </cell>
          <cell r="O2">
            <v>0</v>
          </cell>
        </row>
        <row r="3">
          <cell r="B3">
            <v>45602</v>
          </cell>
        </row>
      </sheetData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20000.18-DEC"/>
    </sheetNames>
    <sheetDataSet>
      <sheetData sheetId="0"/>
      <sheetData sheetId="1">
        <row r="1">
          <cell r="C1">
            <v>50000</v>
          </cell>
          <cell r="K1">
            <v>100</v>
          </cell>
          <cell r="O1">
            <v>10000</v>
          </cell>
        </row>
        <row r="2">
          <cell r="K2">
            <v>20</v>
          </cell>
          <cell r="O2">
            <v>50000</v>
          </cell>
        </row>
        <row r="3">
          <cell r="B3">
            <v>45612</v>
          </cell>
        </row>
      </sheetData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20000.18-DEC"/>
    </sheetNames>
    <sheetDataSet>
      <sheetData sheetId="0" refreshError="1"/>
      <sheetData sheetId="1">
        <row r="1">
          <cell r="C1">
            <v>10000</v>
          </cell>
          <cell r="K1">
            <v>78</v>
          </cell>
          <cell r="O1">
            <v>4200</v>
          </cell>
        </row>
        <row r="2">
          <cell r="K2">
            <v>42</v>
          </cell>
          <cell r="O2">
            <v>7800</v>
          </cell>
        </row>
        <row r="3">
          <cell r="B3">
            <v>45612</v>
          </cell>
        </row>
      </sheetData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50000.15-DEC"/>
      <sheetName val="Sheet1"/>
    </sheetNames>
    <sheetDataSet>
      <sheetData sheetId="0" refreshError="1"/>
      <sheetData sheetId="1">
        <row r="1">
          <cell r="C1">
            <v>100000</v>
          </cell>
          <cell r="K1">
            <v>245</v>
          </cell>
          <cell r="O1">
            <v>13200</v>
          </cell>
        </row>
        <row r="2">
          <cell r="K2">
            <v>22</v>
          </cell>
          <cell r="O2">
            <v>147000</v>
          </cell>
        </row>
        <row r="3">
          <cell r="B3">
            <v>45619</v>
          </cell>
        </row>
      </sheetData>
      <sheetData sheetId="2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20000.18-DEC"/>
    </sheetNames>
    <sheetDataSet>
      <sheetData sheetId="0" refreshError="1"/>
      <sheetData sheetId="1">
        <row r="1">
          <cell r="C1">
            <v>50000</v>
          </cell>
          <cell r="K1">
            <v>92</v>
          </cell>
          <cell r="O1">
            <v>14000</v>
          </cell>
        </row>
        <row r="2">
          <cell r="K2">
            <v>28</v>
          </cell>
          <cell r="O2">
            <v>46000</v>
          </cell>
        </row>
        <row r="3">
          <cell r="B3">
            <v>45628</v>
          </cell>
        </row>
      </sheetData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20000.18-DEC"/>
    </sheetNames>
    <sheetDataSet>
      <sheetData sheetId="0" refreshError="1"/>
      <sheetData sheetId="1">
        <row r="1">
          <cell r="C1">
            <v>30000</v>
          </cell>
          <cell r="K1">
            <v>0</v>
          </cell>
          <cell r="O1">
            <v>36000</v>
          </cell>
        </row>
        <row r="2">
          <cell r="K2">
            <v>120</v>
          </cell>
          <cell r="O2">
            <v>0</v>
          </cell>
        </row>
        <row r="3">
          <cell r="B3">
            <v>45647</v>
          </cell>
        </row>
      </sheetData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20000.18-DEC"/>
    </sheetNames>
    <sheetDataSet>
      <sheetData sheetId="0" refreshError="1"/>
      <sheetData sheetId="1">
        <row r="1">
          <cell r="C1">
            <v>10000</v>
          </cell>
          <cell r="K1">
            <v>99</v>
          </cell>
          <cell r="O1">
            <v>2100</v>
          </cell>
        </row>
        <row r="2">
          <cell r="K2">
            <v>21</v>
          </cell>
          <cell r="O2">
            <v>9900</v>
          </cell>
        </row>
        <row r="3">
          <cell r="B3">
            <v>45635</v>
          </cell>
        </row>
      </sheetData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20000.18-DEC"/>
    </sheetNames>
    <sheetDataSet>
      <sheetData sheetId="0" refreshError="1"/>
      <sheetData sheetId="1">
        <row r="1">
          <cell r="C1">
            <v>10000</v>
          </cell>
          <cell r="K1">
            <v>99</v>
          </cell>
          <cell r="O1">
            <v>2100</v>
          </cell>
        </row>
        <row r="2">
          <cell r="K2">
            <v>21</v>
          </cell>
          <cell r="O2">
            <v>9900</v>
          </cell>
        </row>
        <row r="3">
          <cell r="B3">
            <v>45635</v>
          </cell>
        </row>
      </sheetData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50000.15-DEC"/>
      <sheetName val="Sheet1"/>
    </sheetNames>
    <sheetDataSet>
      <sheetData sheetId="0" refreshError="1"/>
      <sheetData sheetId="1">
        <row r="1">
          <cell r="C1">
            <v>200000</v>
          </cell>
          <cell r="K1">
            <v>263</v>
          </cell>
          <cell r="O1">
            <v>4800</v>
          </cell>
        </row>
        <row r="2">
          <cell r="K2">
            <v>4</v>
          </cell>
          <cell r="O2">
            <v>315600</v>
          </cell>
        </row>
        <row r="3">
          <cell r="B3">
            <v>45648</v>
          </cell>
        </row>
      </sheetData>
      <sheetData sheetId="2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20000.15-DEc"/>
      <sheetName val="Sheet1"/>
    </sheetNames>
    <sheetDataSet>
      <sheetData sheetId="0"/>
      <sheetData sheetId="1">
        <row r="1">
          <cell r="C1">
            <v>10000</v>
          </cell>
          <cell r="K1">
            <v>14</v>
          </cell>
          <cell r="O1">
            <v>2100</v>
          </cell>
        </row>
        <row r="2">
          <cell r="K2">
            <v>3</v>
          </cell>
          <cell r="O2">
            <v>9900</v>
          </cell>
        </row>
        <row r="3">
          <cell r="B3">
            <v>45649</v>
          </cell>
        </row>
      </sheetData>
      <sheetData sheetId="2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Form"/>
      <sheetName val="MD50000.15-DEC"/>
      <sheetName val="Sheet1"/>
    </sheetNames>
    <sheetDataSet>
      <sheetData sheetId="0" refreshError="1"/>
      <sheetData sheetId="1">
        <row r="1">
          <cell r="C1">
            <v>50000</v>
          </cell>
          <cell r="K1">
            <v>118</v>
          </cell>
          <cell r="O1">
            <v>1000</v>
          </cell>
        </row>
        <row r="2">
          <cell r="K2">
            <v>2</v>
          </cell>
          <cell r="O2">
            <v>59000</v>
          </cell>
        </row>
        <row r="3">
          <cell r="B3">
            <v>45652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100"/>
  <sheetViews>
    <sheetView tabSelected="1" zoomScale="70" zoomScaleNormal="70" workbookViewId="0">
      <selection activeCell="L2" sqref="L2:M2"/>
    </sheetView>
  </sheetViews>
  <sheetFormatPr defaultRowHeight="15" x14ac:dyDescent="0.2"/>
  <cols>
    <col min="1" max="1" width="3.7109375" style="1" customWidth="1"/>
    <col min="2" max="2" width="6.7109375" style="1" customWidth="1"/>
    <col min="3" max="3" width="32.7109375" style="1" customWidth="1"/>
    <col min="4" max="4" width="27.85546875" style="1" customWidth="1"/>
    <col min="5" max="5" width="20.85546875" style="1" customWidth="1"/>
    <col min="6" max="6" width="14.42578125" style="1" customWidth="1"/>
    <col min="7" max="7" width="7.42578125" style="1" customWidth="1"/>
    <col min="8" max="8" width="14.42578125" style="1" customWidth="1"/>
    <col min="9" max="9" width="8.42578125" style="1" customWidth="1"/>
    <col min="10" max="10" width="9.7109375" style="1" customWidth="1"/>
    <col min="11" max="11" width="12.5703125" style="1" customWidth="1"/>
    <col min="12" max="12" width="18.5703125" style="1" customWidth="1"/>
    <col min="13" max="13" width="15" style="1" customWidth="1"/>
    <col min="14" max="14" width="15.28515625" style="1" customWidth="1"/>
    <col min="15" max="15" width="11.85546875" style="1" customWidth="1"/>
    <col min="16" max="16" width="10.28515625" style="1" bestFit="1" customWidth="1"/>
    <col min="17" max="17" width="15.85546875" style="1" bestFit="1" customWidth="1"/>
    <col min="18" max="16384" width="9.140625" style="1"/>
  </cols>
  <sheetData>
    <row r="2" spans="2:17" ht="22.5" customHeight="1" x14ac:dyDescent="0.2">
      <c r="B2" s="33" t="s">
        <v>8</v>
      </c>
      <c r="C2" s="34"/>
      <c r="I2" s="30" t="s">
        <v>21</v>
      </c>
      <c r="J2" s="31"/>
      <c r="K2" s="32"/>
      <c r="L2" s="28">
        <f>SUM(L5:L108)</f>
        <v>903800</v>
      </c>
      <c r="M2" s="29"/>
      <c r="N2" s="1">
        <f>SUM(N5:N117)</f>
        <v>36900</v>
      </c>
      <c r="Q2" s="1">
        <f>14900+260750</f>
        <v>275650</v>
      </c>
    </row>
    <row r="3" spans="2:17" ht="18" x14ac:dyDescent="0.2">
      <c r="C3" s="2"/>
      <c r="D3" s="3"/>
      <c r="E3" s="4"/>
      <c r="F3" s="2"/>
      <c r="G3" s="4"/>
      <c r="H3" s="5"/>
      <c r="K3" s="3"/>
      <c r="M3" s="3"/>
    </row>
    <row r="4" spans="2:17" ht="40.5" customHeight="1" x14ac:dyDescent="0.2">
      <c r="B4" s="11" t="s">
        <v>6</v>
      </c>
      <c r="C4" s="11" t="s">
        <v>1</v>
      </c>
      <c r="D4" s="11" t="s">
        <v>0</v>
      </c>
      <c r="E4" s="11" t="s">
        <v>9</v>
      </c>
      <c r="F4" s="11" t="s">
        <v>3</v>
      </c>
      <c r="G4" s="11" t="s">
        <v>4</v>
      </c>
      <c r="H4" s="11" t="s">
        <v>16</v>
      </c>
      <c r="I4" s="11" t="s">
        <v>17</v>
      </c>
      <c r="J4" s="11" t="s">
        <v>5</v>
      </c>
      <c r="K4" s="11" t="s">
        <v>7</v>
      </c>
      <c r="L4" s="11" t="s">
        <v>10</v>
      </c>
      <c r="M4" s="11" t="s">
        <v>11</v>
      </c>
    </row>
    <row r="5" spans="2:17" ht="22.5" customHeight="1" x14ac:dyDescent="0.2">
      <c r="B5" s="17">
        <v>1</v>
      </c>
      <c r="C5" s="18" t="s">
        <v>2</v>
      </c>
      <c r="D5" s="18" t="s">
        <v>18</v>
      </c>
      <c r="E5" s="19">
        <f>'[1]SM5000.1-SEPT'!$C$1</f>
        <v>5000</v>
      </c>
      <c r="F5" s="20">
        <f>'[1]SM5000.1-SEPT'!$K$1</f>
        <v>0</v>
      </c>
      <c r="G5" s="20">
        <f>'[1]SM5000.1-SEPT'!$K$2</f>
        <v>60</v>
      </c>
      <c r="H5" s="20"/>
      <c r="I5" s="20"/>
      <c r="J5" s="21" t="s">
        <v>22</v>
      </c>
      <c r="K5" s="22">
        <f>'[1]SM5000.1-SEPT'!$B$3</f>
        <v>45180</v>
      </c>
      <c r="L5" s="19">
        <f>'[1]SM5000.1-SEPT'!$O$2</f>
        <v>0</v>
      </c>
      <c r="M5" s="19">
        <f>'[1]SM5000.1-SEPT'!$O$1</f>
        <v>6000</v>
      </c>
    </row>
    <row r="6" spans="2:17" ht="22.5" customHeight="1" x14ac:dyDescent="0.2">
      <c r="B6" s="17">
        <v>2</v>
      </c>
      <c r="C6" s="18" t="s">
        <v>2</v>
      </c>
      <c r="D6" s="18" t="s">
        <v>18</v>
      </c>
      <c r="E6" s="19">
        <f>'[1]SM5000.1-oct'!$C$1</f>
        <v>5000</v>
      </c>
      <c r="F6" s="20">
        <f>'[1]SM5000.1-oct'!$K$1</f>
        <v>0</v>
      </c>
      <c r="G6" s="20">
        <f>'[1]SM5000.1-oct'!$K$2</f>
        <v>60</v>
      </c>
      <c r="H6" s="20"/>
      <c r="I6" s="20"/>
      <c r="J6" s="21" t="s">
        <v>22</v>
      </c>
      <c r="K6" s="22">
        <f>'[1]SM5000.1-oct'!$B$3</f>
        <v>45201</v>
      </c>
      <c r="L6" s="19">
        <f>'[1]SM5000.1-oct'!$O$2</f>
        <v>0</v>
      </c>
      <c r="M6" s="19">
        <f>'[1]SM5000.1-oct'!$O$1</f>
        <v>6000</v>
      </c>
    </row>
    <row r="7" spans="2:17" ht="22.5" customHeight="1" x14ac:dyDescent="0.2">
      <c r="B7" s="17">
        <v>3</v>
      </c>
      <c r="C7" s="18" t="s">
        <v>13</v>
      </c>
      <c r="D7" s="18" t="s">
        <v>19</v>
      </c>
      <c r="E7" s="19">
        <f>'[2]MD10000.1-OCT'!$C$1</f>
        <v>10000</v>
      </c>
      <c r="F7" s="20">
        <f>'[2]MD10000.1-OCT'!$K$1</f>
        <v>0</v>
      </c>
      <c r="G7" s="20">
        <f>'[2]MD10000.1-OCT'!$K$2</f>
        <v>120</v>
      </c>
      <c r="H7" s="20"/>
      <c r="I7" s="20"/>
      <c r="J7" s="21" t="s">
        <v>22</v>
      </c>
      <c r="K7" s="22">
        <f>'[2]MD10000.1-OCT'!$B$3</f>
        <v>45212</v>
      </c>
      <c r="L7" s="19">
        <f>'[2]MD10000.1-OCT'!$O$2</f>
        <v>0</v>
      </c>
      <c r="M7" s="19">
        <f>'[2]MD10000.1-OCT'!$O$1</f>
        <v>12000</v>
      </c>
    </row>
    <row r="8" spans="2:17" ht="22.5" customHeight="1" x14ac:dyDescent="0.2">
      <c r="B8" s="17">
        <v>4</v>
      </c>
      <c r="C8" s="18" t="s">
        <v>14</v>
      </c>
      <c r="D8" s="18" t="s">
        <v>19</v>
      </c>
      <c r="E8" s="19">
        <f>'[3]MD10000.1-OCT'!$C$1</f>
        <v>10000</v>
      </c>
      <c r="F8" s="20">
        <f>'[3]MD10000.1-OCT'!$K$1</f>
        <v>0</v>
      </c>
      <c r="G8" s="20">
        <f>'[3]MD10000.1-OCT'!$K$2</f>
        <v>120</v>
      </c>
      <c r="H8" s="20"/>
      <c r="I8" s="20"/>
      <c r="J8" s="21" t="s">
        <v>22</v>
      </c>
      <c r="K8" s="22">
        <f>'[3]MD10000.1-OCT'!$B$3</f>
        <v>45213</v>
      </c>
      <c r="L8" s="19">
        <f>'[3]MD10000.1-OCT'!$O$2</f>
        <v>0</v>
      </c>
      <c r="M8" s="19">
        <f>'[3]MD10000.1-OCT'!$O$1</f>
        <v>12000</v>
      </c>
    </row>
    <row r="9" spans="2:17" ht="22.5" customHeight="1" x14ac:dyDescent="0.2">
      <c r="B9" s="17">
        <v>5</v>
      </c>
      <c r="C9" s="18" t="s">
        <v>15</v>
      </c>
      <c r="D9" s="18" t="s">
        <v>20</v>
      </c>
      <c r="E9" s="19">
        <f>'[4]MD10000.20-OCT'!$C$1</f>
        <v>10000</v>
      </c>
      <c r="F9" s="20"/>
      <c r="G9" s="20"/>
      <c r="H9" s="20">
        <f>'[4]MD10000.20-OCT'!$K$1</f>
        <v>0</v>
      </c>
      <c r="I9" s="20">
        <f>'[4]MD10000.20-OCT'!$K$2</f>
        <v>17</v>
      </c>
      <c r="J9" s="21" t="s">
        <v>51</v>
      </c>
      <c r="K9" s="22">
        <f>'[4]MD10000.20-OCT'!$B$3</f>
        <v>45226</v>
      </c>
      <c r="L9" s="19">
        <f>'[4]MD10000.20-OCT'!$O$2</f>
        <v>0</v>
      </c>
      <c r="M9" s="19">
        <f>'[4]MD10000.20-OCT'!$O$1</f>
        <v>12000</v>
      </c>
    </row>
    <row r="10" spans="2:17" ht="22.5" customHeight="1" x14ac:dyDescent="0.2">
      <c r="B10" s="17">
        <v>6</v>
      </c>
      <c r="C10" s="18" t="s">
        <v>2</v>
      </c>
      <c r="D10" s="18" t="s">
        <v>18</v>
      </c>
      <c r="E10" s="19">
        <f>'[5]SM5000.1-SEPT (2)'!$C$1</f>
        <v>5000</v>
      </c>
      <c r="F10" s="20">
        <f>'[5]SM5000.1-SEPT (2)'!$K$1</f>
        <v>0</v>
      </c>
      <c r="G10" s="20">
        <f>'[5]SM5000.1-SEPT (2)'!$K$2</f>
        <v>60</v>
      </c>
      <c r="H10" s="20"/>
      <c r="I10" s="20"/>
      <c r="J10" s="21" t="s">
        <v>41</v>
      </c>
      <c r="K10" s="22">
        <f>'[5]SM5000.1-SEPT (2)'!$B$3</f>
        <v>45243</v>
      </c>
      <c r="L10" s="19">
        <f>'[5]SM5000.1-SEPT (2)'!$O$2</f>
        <v>0</v>
      </c>
      <c r="M10" s="19">
        <f>'[5]SM5000.1-SEPT (2)'!$O$1</f>
        <v>6000</v>
      </c>
    </row>
    <row r="11" spans="2:17" ht="22.5" customHeight="1" x14ac:dyDescent="0.2">
      <c r="B11" s="17">
        <v>7</v>
      </c>
      <c r="C11" s="18" t="s">
        <v>23</v>
      </c>
      <c r="D11" s="18" t="s">
        <v>20</v>
      </c>
      <c r="E11" s="19">
        <f>'[6]MD10000.20-OCT'!$C$1</f>
        <v>10000</v>
      </c>
      <c r="F11" s="20"/>
      <c r="G11" s="20"/>
      <c r="H11" s="20">
        <f>'[6]MD10000.20-OCT'!$K$1</f>
        <v>0</v>
      </c>
      <c r="I11" s="20">
        <f>'[6]MD10000.20-OCT'!$K$2</f>
        <v>17</v>
      </c>
      <c r="J11" s="21" t="s">
        <v>51</v>
      </c>
      <c r="K11" s="22">
        <f>'[6]MD10000.20-OCT'!$B$3</f>
        <v>45245</v>
      </c>
      <c r="L11" s="19">
        <f>'[6]MD10000.20-OCT'!$O$2</f>
        <v>0</v>
      </c>
      <c r="M11" s="19">
        <f>'[6]MD10000.20-OCT'!$O$1</f>
        <v>12000</v>
      </c>
    </row>
    <row r="12" spans="2:17" ht="22.5" customHeight="1" x14ac:dyDescent="0.2">
      <c r="B12" s="17">
        <v>8</v>
      </c>
      <c r="C12" s="18" t="s">
        <v>24</v>
      </c>
      <c r="D12" s="18" t="s">
        <v>25</v>
      </c>
      <c r="E12" s="19">
        <f>'[7]MD15000.27-NOV'!$C$1</f>
        <v>15000</v>
      </c>
      <c r="F12" s="20"/>
      <c r="G12" s="20"/>
      <c r="H12" s="20">
        <f>'[7]MD15000.27-NOV'!$K$1</f>
        <v>0</v>
      </c>
      <c r="I12" s="20">
        <f>'[7]MD15000.27-NOV'!$K$2</f>
        <v>17</v>
      </c>
      <c r="J12" s="21" t="s">
        <v>51</v>
      </c>
      <c r="K12" s="22">
        <f>'[7]MD15000.27-NOV'!$B$3</f>
        <v>45266</v>
      </c>
      <c r="L12" s="19">
        <f>'[7]MD15000.27-NOV'!$O$2</f>
        <v>0</v>
      </c>
      <c r="M12" s="19">
        <f>'[7]MD15000.27-NOV'!$O$1</f>
        <v>18000</v>
      </c>
    </row>
    <row r="13" spans="2:17" ht="22.5" customHeight="1" x14ac:dyDescent="0.2">
      <c r="B13" s="17">
        <v>9</v>
      </c>
      <c r="C13" s="18" t="s">
        <v>26</v>
      </c>
      <c r="D13" s="18" t="s">
        <v>29</v>
      </c>
      <c r="E13" s="19">
        <f>'[8]MD20000.15-DEC'!$C$1</f>
        <v>20000</v>
      </c>
      <c r="F13" s="20"/>
      <c r="G13" s="20"/>
      <c r="H13" s="20">
        <f>'[8]MD20000.15-DEC'!$K$1</f>
        <v>0</v>
      </c>
      <c r="I13" s="20">
        <f>'[8]MD20000.15-DEC'!$K$2</f>
        <v>17</v>
      </c>
      <c r="J13" s="21" t="s">
        <v>51</v>
      </c>
      <c r="K13" s="22">
        <f>'[8]MD20000.15-DEC'!$B$3</f>
        <v>45649</v>
      </c>
      <c r="L13" s="19">
        <f>'[8]MD20000.15-DEC'!$O$2</f>
        <v>0</v>
      </c>
      <c r="M13" s="19">
        <f>'[8]MD20000.15-DEC'!$O$1</f>
        <v>24000</v>
      </c>
    </row>
    <row r="14" spans="2:17" ht="22.5" customHeight="1" x14ac:dyDescent="0.2">
      <c r="B14" s="17">
        <v>10</v>
      </c>
      <c r="C14" s="18" t="s">
        <v>27</v>
      </c>
      <c r="D14" s="18" t="s">
        <v>28</v>
      </c>
      <c r="E14" s="19">
        <f>'[9]MD20000.15-DEc'!$C$1</f>
        <v>20000</v>
      </c>
      <c r="F14" s="20"/>
      <c r="G14" s="20"/>
      <c r="H14" s="20">
        <f>'[9]MD20000.15-DEc'!$K$1</f>
        <v>0</v>
      </c>
      <c r="I14" s="20">
        <f>'[9]MD20000.15-DEc'!$K$2</f>
        <v>17</v>
      </c>
      <c r="J14" s="21" t="s">
        <v>51</v>
      </c>
      <c r="K14" s="22">
        <f>'[9]MD20000.15-DEc'!$B$3</f>
        <v>45646</v>
      </c>
      <c r="L14" s="19">
        <f>'[9]MD20000.15-DEc'!$O$2</f>
        <v>0</v>
      </c>
      <c r="M14" s="19">
        <f>'[9]MD20000.15-DEc'!$O$1</f>
        <v>24000</v>
      </c>
    </row>
    <row r="15" spans="2:17" ht="22.5" customHeight="1" x14ac:dyDescent="0.2">
      <c r="B15" s="17">
        <v>11</v>
      </c>
      <c r="C15" s="18" t="s">
        <v>30</v>
      </c>
      <c r="D15" s="18" t="s">
        <v>31</v>
      </c>
      <c r="E15" s="19">
        <f>'[10]MD50000.15-DEC'!$C$1</f>
        <v>50000</v>
      </c>
      <c r="F15" s="20"/>
      <c r="G15" s="20"/>
      <c r="H15" s="20">
        <f>'[10]MD50000.15-DEC'!$K$1</f>
        <v>0</v>
      </c>
      <c r="I15" s="20">
        <f>'[10]MD50000.15-DEC'!$K$2</f>
        <v>48</v>
      </c>
      <c r="J15" s="21" t="s">
        <v>51</v>
      </c>
      <c r="K15" s="22">
        <f>'[10]MD50000.15-DEC'!$B$3</f>
        <v>45648</v>
      </c>
      <c r="L15" s="19">
        <f>'[10]MD50000.15-DEC'!$O$2</f>
        <v>0</v>
      </c>
      <c r="M15" s="19">
        <f>'[10]MD50000.15-DEC'!$O$1</f>
        <v>84000</v>
      </c>
    </row>
    <row r="16" spans="2:17" ht="22.5" customHeight="1" x14ac:dyDescent="0.2">
      <c r="B16" s="17">
        <v>12</v>
      </c>
      <c r="C16" s="18" t="s">
        <v>32</v>
      </c>
      <c r="D16" s="18" t="s">
        <v>33</v>
      </c>
      <c r="E16" s="19">
        <f>'[11]MD20000.18-DEC'!$C$1</f>
        <v>20000</v>
      </c>
      <c r="F16" s="20">
        <f>'[11]MD20000.18-DEC'!$K$1</f>
        <v>0</v>
      </c>
      <c r="G16" s="20">
        <f>'[11]MD20000.18-DEC'!$K$2</f>
        <v>120</v>
      </c>
      <c r="H16" s="20"/>
      <c r="I16" s="20"/>
      <c r="J16" s="21" t="s">
        <v>53</v>
      </c>
      <c r="K16" s="22">
        <f>'[11]MD20000.18-DEC'!$B$3</f>
        <v>45279</v>
      </c>
      <c r="L16" s="19">
        <f>'[11]MD20000.18-DEC'!$O$2</f>
        <v>0</v>
      </c>
      <c r="M16" s="19">
        <f>'[11]MD20000.18-DEC'!$O$1</f>
        <v>24000</v>
      </c>
    </row>
    <row r="17" spans="2:13" ht="22.5" customHeight="1" x14ac:dyDescent="0.2">
      <c r="B17" s="17">
        <v>13</v>
      </c>
      <c r="C17" s="18" t="s">
        <v>34</v>
      </c>
      <c r="D17" s="18" t="s">
        <v>33</v>
      </c>
      <c r="E17" s="19">
        <f>'[12]MD20000.22-DEC'!$C$1</f>
        <v>20000</v>
      </c>
      <c r="F17" s="20">
        <f>'[12]MD20000.22-DEC'!$K$1</f>
        <v>120</v>
      </c>
      <c r="G17" s="20">
        <f>'[12]MD20000.22-DEC'!$K$2</f>
        <v>0</v>
      </c>
      <c r="H17" s="20"/>
      <c r="I17" s="20"/>
      <c r="J17" s="21" t="s">
        <v>51</v>
      </c>
      <c r="K17" s="22">
        <f>'[12]MD20000.22-DEC'!$B$3</f>
        <v>0</v>
      </c>
      <c r="L17" s="19"/>
      <c r="M17" s="19">
        <f>'[12]MD20000.22-DEC'!$O$1</f>
        <v>0</v>
      </c>
    </row>
    <row r="18" spans="2:13" ht="22.5" customHeight="1" x14ac:dyDescent="0.2">
      <c r="B18" s="17">
        <v>14</v>
      </c>
      <c r="C18" s="18" t="s">
        <v>35</v>
      </c>
      <c r="D18" s="18" t="s">
        <v>36</v>
      </c>
      <c r="E18" s="19">
        <f>'[13]MD50000.15-DEC'!$C$1</f>
        <v>10000</v>
      </c>
      <c r="F18" s="20"/>
      <c r="G18" s="20"/>
      <c r="H18" s="20">
        <f>'[13]MD50000.15-DEC'!$K$1</f>
        <v>0</v>
      </c>
      <c r="I18" s="20">
        <f>'[13]MD50000.15-DEC'!$K$2</f>
        <v>48</v>
      </c>
      <c r="J18" s="21" t="s">
        <v>51</v>
      </c>
      <c r="K18" s="22">
        <f>'[13]MD50000.15-DEC'!$B$3</f>
        <v>45310</v>
      </c>
      <c r="L18" s="19">
        <f>'[13]MD50000.15-DEC'!$O$2</f>
        <v>0</v>
      </c>
      <c r="M18" s="19">
        <f>'[13]MD50000.15-DEC'!$O$1</f>
        <v>16800</v>
      </c>
    </row>
    <row r="19" spans="2:13" ht="22.5" customHeight="1" x14ac:dyDescent="0.2">
      <c r="B19" s="17">
        <v>15</v>
      </c>
      <c r="C19" s="18" t="s">
        <v>37</v>
      </c>
      <c r="D19" s="18" t="s">
        <v>18</v>
      </c>
      <c r="E19" s="19">
        <f>'[14]MD5000-Jan24'!$C$1</f>
        <v>5000</v>
      </c>
      <c r="F19" s="20">
        <f>'[14]MD5000-Jan24'!$K$1</f>
        <v>0</v>
      </c>
      <c r="G19" s="20">
        <f>'[14]MD5000-Jan24'!$K$2</f>
        <v>60</v>
      </c>
      <c r="H19" s="20"/>
      <c r="I19" s="20"/>
      <c r="J19" s="21" t="s">
        <v>51</v>
      </c>
      <c r="K19" s="22">
        <f>'[14]MD5000-Jan24'!$B$3</f>
        <v>45302</v>
      </c>
      <c r="L19" s="19">
        <f>'[14]MD5000-Jan24'!$O$2</f>
        <v>0</v>
      </c>
      <c r="M19" s="19">
        <f>'[14]MD5000-Jan24'!$O$1</f>
        <v>6000</v>
      </c>
    </row>
    <row r="20" spans="2:13" ht="22.5" customHeight="1" x14ac:dyDescent="0.2">
      <c r="B20" s="17">
        <v>16</v>
      </c>
      <c r="C20" s="18" t="s">
        <v>38</v>
      </c>
      <c r="D20" s="18" t="s">
        <v>39</v>
      </c>
      <c r="E20" s="19">
        <f>'[15]MD10000.10-JAN'!$C$1</f>
        <v>10000</v>
      </c>
      <c r="F20" s="20"/>
      <c r="G20" s="20"/>
      <c r="H20" s="20">
        <f>'[15]MD10000.10-JAN'!$K$1</f>
        <v>0</v>
      </c>
      <c r="I20" s="20">
        <f>'[15]MD10000.10-JAN'!$K$2</f>
        <v>48</v>
      </c>
      <c r="J20" s="21" t="s">
        <v>12</v>
      </c>
      <c r="K20" s="22">
        <f>'[15]MD10000.10-JAN'!$B$3</f>
        <v>45308</v>
      </c>
      <c r="L20" s="19">
        <f>'[15]MD10000.10-JAN'!$O$2</f>
        <v>0</v>
      </c>
      <c r="M20" s="19">
        <f>'[15]MD10000.10-JAN'!$O$1</f>
        <v>16800</v>
      </c>
    </row>
    <row r="21" spans="2:13" ht="22.5" customHeight="1" x14ac:dyDescent="0.2">
      <c r="B21" s="17">
        <v>17</v>
      </c>
      <c r="C21" s="18" t="s">
        <v>40</v>
      </c>
      <c r="D21" s="18" t="s">
        <v>39</v>
      </c>
      <c r="E21" s="19">
        <f>'[16]MD10000.10-JAN'!$C$1</f>
        <v>10000</v>
      </c>
      <c r="F21" s="20"/>
      <c r="G21" s="20"/>
      <c r="H21" s="20">
        <f>'[16]MD10000.10-JAN'!$K$1</f>
        <v>0</v>
      </c>
      <c r="I21" s="20">
        <f>'[16]MD10000.10-JAN'!$K$2</f>
        <v>48</v>
      </c>
      <c r="J21" s="21" t="s">
        <v>51</v>
      </c>
      <c r="K21" s="22">
        <f>'[16]MD10000.10-JAN'!$B$3</f>
        <v>45308</v>
      </c>
      <c r="L21" s="19">
        <f>'[16]MD10000.10-JAN'!$O$2</f>
        <v>0</v>
      </c>
      <c r="M21" s="19">
        <f>'[16]MD10000.10-JAN'!$O$1</f>
        <v>16800</v>
      </c>
    </row>
    <row r="22" spans="2:13" ht="22.5" customHeight="1" x14ac:dyDescent="0.2">
      <c r="B22" s="17">
        <v>18</v>
      </c>
      <c r="C22" s="18" t="s">
        <v>42</v>
      </c>
      <c r="D22" s="18" t="s">
        <v>43</v>
      </c>
      <c r="E22" s="19">
        <f>'[17]MD10000.20-OCT'!$C$1</f>
        <v>5000</v>
      </c>
      <c r="F22" s="20"/>
      <c r="G22" s="20"/>
      <c r="H22" s="20">
        <f>'[17]MD10000.20-OCT'!$K$1</f>
        <v>0</v>
      </c>
      <c r="I22" s="20">
        <f>'[17]MD10000.20-OCT'!$K$2</f>
        <v>17</v>
      </c>
      <c r="J22" s="21" t="s">
        <v>51</v>
      </c>
      <c r="K22" s="22">
        <f>'[17]MD10000.20-OCT'!$B$3</f>
        <v>45316</v>
      </c>
      <c r="L22" s="19">
        <f>'[17]MD10000.20-OCT'!$O$2</f>
        <v>0</v>
      </c>
      <c r="M22" s="19">
        <f>'[17]MD10000.20-OCT'!$O$1</f>
        <v>6000</v>
      </c>
    </row>
    <row r="23" spans="2:13" ht="22.5" customHeight="1" x14ac:dyDescent="0.2">
      <c r="B23" s="17">
        <v>19</v>
      </c>
      <c r="C23" s="18" t="s">
        <v>44</v>
      </c>
      <c r="D23" s="18" t="s">
        <v>36</v>
      </c>
      <c r="E23" s="19">
        <f>'[18]MD10000.20-OCT'!$C$1</f>
        <v>10000</v>
      </c>
      <c r="F23" s="20"/>
      <c r="G23" s="20"/>
      <c r="H23" s="20">
        <f>'[18]MD10000.20-OCT'!$K$1</f>
        <v>0</v>
      </c>
      <c r="I23" s="20">
        <f>'[18]MD10000.20-OCT'!$K$2</f>
        <v>48</v>
      </c>
      <c r="J23" s="21" t="s">
        <v>51</v>
      </c>
      <c r="K23" s="22">
        <f>'[18]MD10000.20-OCT'!$B$3</f>
        <v>45324</v>
      </c>
      <c r="L23" s="19">
        <f>'[18]MD10000.20-OCT'!$O$2</f>
        <v>0</v>
      </c>
      <c r="M23" s="19">
        <f>'[18]MD10000.20-OCT'!$O$1</f>
        <v>16800</v>
      </c>
    </row>
    <row r="24" spans="2:13" ht="22.5" customHeight="1" x14ac:dyDescent="0.2">
      <c r="B24" s="17">
        <v>20</v>
      </c>
      <c r="C24" s="18" t="s">
        <v>45</v>
      </c>
      <c r="D24" s="18" t="s">
        <v>46</v>
      </c>
      <c r="E24" s="19">
        <f>'[19]MD10000.20-OCT'!$C$1</f>
        <v>10000</v>
      </c>
      <c r="F24" s="20"/>
      <c r="G24" s="20"/>
      <c r="H24" s="20">
        <f>'[19]MD10000.20-OCT'!$K$1</f>
        <v>0</v>
      </c>
      <c r="I24" s="20">
        <f>'[19]MD10000.20-OCT'!$K$2</f>
        <v>48</v>
      </c>
      <c r="J24" s="21" t="s">
        <v>51</v>
      </c>
      <c r="K24" s="22">
        <f>'[19]MD10000.20-OCT'!$B$3</f>
        <v>45327</v>
      </c>
      <c r="L24" s="19">
        <f>'[19]MD10000.20-OCT'!$O$2</f>
        <v>0</v>
      </c>
      <c r="M24" s="19">
        <f>'[19]MD10000.20-OCT'!$O$1</f>
        <v>16800</v>
      </c>
    </row>
    <row r="25" spans="2:13" ht="22.5" customHeight="1" x14ac:dyDescent="0.2">
      <c r="B25" s="17">
        <v>21</v>
      </c>
      <c r="C25" s="18" t="s">
        <v>47</v>
      </c>
      <c r="D25" s="18" t="s">
        <v>18</v>
      </c>
      <c r="E25" s="19">
        <f>'[20]SM5000.1-oct'!$C$1</f>
        <v>5000</v>
      </c>
      <c r="F25" s="20">
        <f>'[20]SM5000.1-oct'!$K$1</f>
        <v>0</v>
      </c>
      <c r="G25" s="20">
        <f>'[20]SM5000.1-oct'!$K$2</f>
        <v>60</v>
      </c>
      <c r="H25" s="20"/>
      <c r="I25" s="20"/>
      <c r="J25" s="21" t="s">
        <v>12</v>
      </c>
      <c r="K25" s="22">
        <f>'[20]SM5000.1-oct'!$B$3</f>
        <v>45323</v>
      </c>
      <c r="L25" s="19">
        <f>'[20]SM5000.1-oct'!$O$2</f>
        <v>0</v>
      </c>
      <c r="M25" s="19">
        <f>'[20]SM5000.1-oct'!$O$1</f>
        <v>6000</v>
      </c>
    </row>
    <row r="26" spans="2:13" ht="22.5" customHeight="1" x14ac:dyDescent="0.2">
      <c r="B26" s="17">
        <v>22</v>
      </c>
      <c r="C26" s="18" t="s">
        <v>49</v>
      </c>
      <c r="D26" s="18" t="s">
        <v>48</v>
      </c>
      <c r="E26" s="19">
        <f>'[21]MD10000.20-OCT'!$C$1</f>
        <v>5000</v>
      </c>
      <c r="F26" s="20"/>
      <c r="G26" s="20"/>
      <c r="H26" s="20">
        <f>'[21]MD10000.20-OCT'!$K$1</f>
        <v>0</v>
      </c>
      <c r="I26" s="20">
        <f>'[21]MD10000.20-OCT'!$K$2</f>
        <v>17</v>
      </c>
      <c r="J26" s="21" t="s">
        <v>51</v>
      </c>
      <c r="K26" s="22">
        <f>'[21]MD10000.20-OCT'!$B$3</f>
        <v>45332</v>
      </c>
      <c r="L26" s="19">
        <f>'[21]MD10000.20-OCT'!$O$2</f>
        <v>0</v>
      </c>
      <c r="M26" s="19">
        <f>'[21]MD10000.20-OCT'!$O$1</f>
        <v>6000</v>
      </c>
    </row>
    <row r="27" spans="2:13" ht="22.5" customHeight="1" x14ac:dyDescent="0.2">
      <c r="B27" s="17">
        <v>23</v>
      </c>
      <c r="C27" s="18" t="s">
        <v>14</v>
      </c>
      <c r="D27" s="18" t="s">
        <v>19</v>
      </c>
      <c r="E27" s="19">
        <f>'[22]MD10000.1-OCT'!$C$1</f>
        <v>10000</v>
      </c>
      <c r="F27" s="20">
        <f>'[22]MD10000.1-OCT'!$K$1</f>
        <v>0</v>
      </c>
      <c r="G27" s="20">
        <f>'[22]MD10000.1-OCT'!$K$2</f>
        <v>120</v>
      </c>
      <c r="H27" s="20"/>
      <c r="I27" s="20"/>
      <c r="J27" s="21" t="s">
        <v>12</v>
      </c>
      <c r="K27" s="22">
        <f>'[22]MD10000.1-OCT'!$B$3</f>
        <v>45339</v>
      </c>
      <c r="L27" s="19">
        <f>'[22]MD10000.1-OCT'!$O$2</f>
        <v>0</v>
      </c>
      <c r="M27" s="19">
        <f>'[22]MD10000.1-OCT'!$O$1</f>
        <v>12000</v>
      </c>
    </row>
    <row r="28" spans="2:13" ht="22.5" customHeight="1" x14ac:dyDescent="0.2">
      <c r="B28" s="17">
        <v>24</v>
      </c>
      <c r="C28" s="18" t="s">
        <v>13</v>
      </c>
      <c r="D28" s="18" t="s">
        <v>19</v>
      </c>
      <c r="E28" s="19">
        <f>'[23]MD10000.1-OCT'!$C$1</f>
        <v>10000</v>
      </c>
      <c r="F28" s="20">
        <f>'[23]MD10000.1-OCT'!$K$1</f>
        <v>0</v>
      </c>
      <c r="G28" s="20">
        <f>'[23]MD10000.1-OCT'!$K$2</f>
        <v>120</v>
      </c>
      <c r="H28" s="20"/>
      <c r="I28" s="20"/>
      <c r="J28" s="21" t="s">
        <v>51</v>
      </c>
      <c r="K28" s="22">
        <f>'[23]MD10000.1-OCT'!$B$3</f>
        <v>45334</v>
      </c>
      <c r="L28" s="19">
        <f>'[23]MD10000.1-OCT'!$O$2</f>
        <v>0</v>
      </c>
      <c r="M28" s="19">
        <f>'[23]MD10000.1-OCT'!$O$1</f>
        <v>12000</v>
      </c>
    </row>
    <row r="29" spans="2:13" ht="22.5" customHeight="1" x14ac:dyDescent="0.2">
      <c r="B29" s="17">
        <v>25</v>
      </c>
      <c r="C29" s="18" t="s">
        <v>23</v>
      </c>
      <c r="D29" s="18" t="s">
        <v>50</v>
      </c>
      <c r="E29" s="19">
        <f>'[24]MD20000.15-DEC'!$C$1</f>
        <v>20000</v>
      </c>
      <c r="F29" s="20"/>
      <c r="G29" s="20"/>
      <c r="H29" s="20">
        <f>'[24]MD20000.15-DEC'!$K$1</f>
        <v>5</v>
      </c>
      <c r="I29" s="20">
        <f>'[24]MD20000.15-DEC'!$K$2</f>
        <v>12</v>
      </c>
      <c r="J29" s="21" t="s">
        <v>51</v>
      </c>
      <c r="K29" s="22">
        <f>'[24]MD20000.15-DEC'!$B$3</f>
        <v>45337</v>
      </c>
      <c r="L29" s="19">
        <f>'[25]MD20000.15-DEC'!$O$2</f>
        <v>0</v>
      </c>
      <c r="M29" s="19">
        <f>'[25]MD20000.15-DEC'!$O$1</f>
        <v>24000</v>
      </c>
    </row>
    <row r="30" spans="2:13" ht="22.5" customHeight="1" x14ac:dyDescent="0.2">
      <c r="B30" s="17">
        <v>26</v>
      </c>
      <c r="C30" s="18" t="s">
        <v>15</v>
      </c>
      <c r="D30" s="18" t="s">
        <v>52</v>
      </c>
      <c r="E30" s="19">
        <f>'[26]MD20000.15-DEC'!$C$1</f>
        <v>20000</v>
      </c>
      <c r="F30" s="20"/>
      <c r="G30" s="20"/>
      <c r="H30" s="20">
        <f>'[26]MD20000.15-DEC'!$K$1</f>
        <v>0</v>
      </c>
      <c r="I30" s="20">
        <f>'[26]MD20000.15-DEC'!$K$2</f>
        <v>17</v>
      </c>
      <c r="J30" s="21" t="s">
        <v>51</v>
      </c>
      <c r="K30" s="22">
        <f>'[26]MD20000.15-DEC'!$B$3</f>
        <v>45345</v>
      </c>
      <c r="L30" s="19">
        <f>'[26]MD20000.15-DEC'!$O$2</f>
        <v>0</v>
      </c>
      <c r="M30" s="19">
        <f>'[26]MD20000.15-DEC'!$O$1</f>
        <v>24000</v>
      </c>
    </row>
    <row r="31" spans="2:13" ht="22.5" customHeight="1" x14ac:dyDescent="0.2">
      <c r="B31" s="17">
        <v>27</v>
      </c>
      <c r="C31" s="18" t="s">
        <v>32</v>
      </c>
      <c r="D31" s="18" t="s">
        <v>33</v>
      </c>
      <c r="E31" s="19">
        <f>'[27]MD20000.18-DEC'!$C$1</f>
        <v>30000</v>
      </c>
      <c r="F31" s="20">
        <f>'[27]MD20000.18-DEC'!$K$1</f>
        <v>0</v>
      </c>
      <c r="G31" s="20">
        <f>'[27]MD20000.18-DEC'!$K$2</f>
        <v>120</v>
      </c>
      <c r="H31" s="20"/>
      <c r="I31" s="20"/>
      <c r="J31" s="21" t="s">
        <v>51</v>
      </c>
      <c r="K31" s="22">
        <f>'[27]MD20000.18-DEC'!$B$3</f>
        <v>45354</v>
      </c>
      <c r="L31" s="19">
        <f>'[27]MD20000.18-DEC'!$O$2</f>
        <v>0</v>
      </c>
      <c r="M31" s="19">
        <f>'[27]MD20000.18-DEC'!$O$1</f>
        <v>36000</v>
      </c>
    </row>
    <row r="32" spans="2:13" ht="22.5" customHeight="1" x14ac:dyDescent="0.2">
      <c r="B32" s="17">
        <v>28</v>
      </c>
      <c r="C32" s="18" t="s">
        <v>54</v>
      </c>
      <c r="D32" s="18" t="s">
        <v>36</v>
      </c>
      <c r="E32" s="19">
        <f>'[28]MD10000.10-JAN'!$C$1</f>
        <v>10000</v>
      </c>
      <c r="F32" s="20"/>
      <c r="G32" s="20"/>
      <c r="H32" s="20">
        <f>'[28]MD10000.10-JAN'!$K$1</f>
        <v>0</v>
      </c>
      <c r="I32" s="20">
        <f>'[28]MD10000.10-JAN'!$K$2</f>
        <v>48</v>
      </c>
      <c r="J32" s="21" t="s">
        <v>12</v>
      </c>
      <c r="K32" s="22">
        <f>'[28]MD10000.10-JAN'!$B$3</f>
        <v>45366</v>
      </c>
      <c r="L32" s="19">
        <f>'[28]MD10000.10-JAN'!$O$2</f>
        <v>0</v>
      </c>
      <c r="M32" s="19">
        <f>'[28]MD10000.10-JAN'!$O$1</f>
        <v>16800</v>
      </c>
    </row>
    <row r="33" spans="2:14" ht="22.5" customHeight="1" x14ac:dyDescent="0.2">
      <c r="B33" s="17">
        <v>29</v>
      </c>
      <c r="C33" s="18" t="s">
        <v>13</v>
      </c>
      <c r="D33" s="18" t="s">
        <v>52</v>
      </c>
      <c r="E33" s="19">
        <f>'[29]MD20000.15-DEc'!$C$1</f>
        <v>20000</v>
      </c>
      <c r="F33" s="20"/>
      <c r="G33" s="20"/>
      <c r="H33" s="20">
        <f>'[29]MD20000.15-DEc'!$K$1</f>
        <v>0</v>
      </c>
      <c r="I33" s="20">
        <f>'[29]MD20000.15-DEc'!$K$2</f>
        <v>17</v>
      </c>
      <c r="J33" s="21" t="s">
        <v>51</v>
      </c>
      <c r="K33" s="22">
        <f>'[29]MD20000.15-DEc'!$B$3</f>
        <v>45380</v>
      </c>
      <c r="L33" s="19">
        <f>'[29]MD20000.15-DEc'!$O$2</f>
        <v>0</v>
      </c>
      <c r="M33" s="19">
        <f>'[29]MD20000.15-DEc'!$O$1</f>
        <v>24000</v>
      </c>
    </row>
    <row r="34" spans="2:14" ht="22.5" customHeight="1" x14ac:dyDescent="0.2">
      <c r="B34" s="17">
        <v>30</v>
      </c>
      <c r="C34" s="18" t="s">
        <v>55</v>
      </c>
      <c r="D34" s="18" t="s">
        <v>36</v>
      </c>
      <c r="E34" s="19">
        <f>'[30]MD10000.10-JAN'!$C$1</f>
        <v>10000</v>
      </c>
      <c r="F34" s="20"/>
      <c r="G34" s="20"/>
      <c r="H34" s="20">
        <f>'[30]MD10000.10-JAN'!$K$1</f>
        <v>0</v>
      </c>
      <c r="I34" s="20">
        <f>'[30]MD10000.10-JAN'!$K$2</f>
        <v>48</v>
      </c>
      <c r="J34" s="21" t="s">
        <v>12</v>
      </c>
      <c r="K34" s="22">
        <f>'[30]MD10000.10-JAN'!$B$3</f>
        <v>45389</v>
      </c>
      <c r="L34" s="19">
        <f>'[30]MD10000.10-JAN'!$O$2</f>
        <v>0</v>
      </c>
      <c r="M34" s="19">
        <f>'[30]MD10000.10-JAN'!$O$1</f>
        <v>16800</v>
      </c>
    </row>
    <row r="35" spans="2:14" ht="22.5" customHeight="1" x14ac:dyDescent="0.2">
      <c r="B35" s="17">
        <v>31</v>
      </c>
      <c r="C35" s="18" t="s">
        <v>56</v>
      </c>
      <c r="D35" s="18" t="s">
        <v>52</v>
      </c>
      <c r="E35" s="19">
        <f>'[31]MD20000.15-DEc'!$C$1</f>
        <v>20000</v>
      </c>
      <c r="F35" s="20"/>
      <c r="G35" s="20"/>
      <c r="H35" s="20">
        <f>'[31]MD20000.15-DEc'!$G$1</f>
        <v>17</v>
      </c>
      <c r="I35" s="20">
        <f>'[31]MD20000.15-DEc'!$K$2</f>
        <v>17</v>
      </c>
      <c r="J35" s="21" t="s">
        <v>77</v>
      </c>
      <c r="K35" s="22">
        <f>'[31]MD20000.15-DEc'!$B$3</f>
        <v>45394</v>
      </c>
      <c r="L35" s="19">
        <f>'[31]MD20000.15-DEc'!$O$2</f>
        <v>0</v>
      </c>
      <c r="M35" s="19">
        <f>'[31]MD20000.15-DEc'!$O$1</f>
        <v>24000</v>
      </c>
    </row>
    <row r="36" spans="2:14" ht="22.5" customHeight="1" x14ac:dyDescent="0.2">
      <c r="B36" s="12">
        <v>32</v>
      </c>
      <c r="C36" s="8" t="s">
        <v>57</v>
      </c>
      <c r="D36" s="14" t="s">
        <v>39</v>
      </c>
      <c r="E36" s="15">
        <f>'[32]MD10000.10-JAN'!$C$1</f>
        <v>10000</v>
      </c>
      <c r="F36" s="13"/>
      <c r="G36" s="13"/>
      <c r="H36" s="13">
        <f>'[32]MD10000.10-JAN'!$G$1</f>
        <v>48</v>
      </c>
      <c r="I36" s="13">
        <f>'[32]MD10000.10-JAN'!$K$2</f>
        <v>37</v>
      </c>
      <c r="J36" s="16" t="s">
        <v>12</v>
      </c>
      <c r="K36" s="14">
        <f>'[32]MD10000.10-JAN'!$B$3</f>
        <v>45399</v>
      </c>
      <c r="L36" s="15">
        <f>'[32]MD10000.10-JAN'!$O$2</f>
        <v>3850</v>
      </c>
      <c r="M36" s="15">
        <f>'[32]MD10000.10-JAN'!$O$1</f>
        <v>12950</v>
      </c>
      <c r="N36" s="1">
        <v>350</v>
      </c>
    </row>
    <row r="37" spans="2:14" ht="22.5" customHeight="1" x14ac:dyDescent="0.2">
      <c r="B37" s="17">
        <v>33</v>
      </c>
      <c r="C37" s="18" t="s">
        <v>58</v>
      </c>
      <c r="D37" s="18" t="s">
        <v>52</v>
      </c>
      <c r="E37" s="19">
        <f>'[33]MD20000.15-DEc'!$C$1</f>
        <v>20000</v>
      </c>
      <c r="F37" s="20"/>
      <c r="G37" s="20"/>
      <c r="H37" s="20">
        <f>'[33]MD20000.15-DEc'!$G$1</f>
        <v>17</v>
      </c>
      <c r="I37" s="20">
        <f>'[33]MD20000.15-DEc'!$K$2</f>
        <v>17</v>
      </c>
      <c r="J37" s="21" t="s">
        <v>12</v>
      </c>
      <c r="K37" s="22">
        <f>'[33]MD20000.15-DEc'!$B$3</f>
        <v>45406</v>
      </c>
      <c r="L37" s="19">
        <f>'[33]MD20000.15-DEc'!$O$2</f>
        <v>0</v>
      </c>
      <c r="M37" s="19">
        <f>'[33]MD20000.15-DEc'!$O$1</f>
        <v>24000</v>
      </c>
    </row>
    <row r="38" spans="2:14" ht="22.5" customHeight="1" x14ac:dyDescent="0.2">
      <c r="B38" s="17">
        <v>34</v>
      </c>
      <c r="C38" s="18" t="s">
        <v>59</v>
      </c>
      <c r="D38" s="18" t="s">
        <v>60</v>
      </c>
      <c r="E38" s="19">
        <f>'[34]MD10000.20-OCT'!$C$1</f>
        <v>5000</v>
      </c>
      <c r="F38" s="20"/>
      <c r="G38" s="20"/>
      <c r="H38" s="20">
        <f>'[34]MD10000.20-OCT'!$G$1</f>
        <v>17</v>
      </c>
      <c r="I38" s="20">
        <f>'[34]MD10000.20-OCT'!$K$2</f>
        <v>17</v>
      </c>
      <c r="J38" s="21" t="s">
        <v>77</v>
      </c>
      <c r="K38" s="22">
        <f>'[34]MD10000.20-OCT'!$B$3</f>
        <v>45406</v>
      </c>
      <c r="L38" s="19">
        <f>'[34]MD10000.20-OCT'!$O$2</f>
        <v>0</v>
      </c>
      <c r="M38" s="19">
        <f>'[34]MD10000.20-OCT'!$O$1</f>
        <v>5950</v>
      </c>
    </row>
    <row r="39" spans="2:14" ht="22.5" customHeight="1" x14ac:dyDescent="0.2">
      <c r="B39" s="17">
        <v>35</v>
      </c>
      <c r="C39" s="18" t="s">
        <v>61</v>
      </c>
      <c r="D39" s="18" t="s">
        <v>62</v>
      </c>
      <c r="E39" s="19">
        <f>'[35]MD50000.15-DEC'!$C$1</f>
        <v>40000</v>
      </c>
      <c r="F39" s="20"/>
      <c r="G39" s="20"/>
      <c r="H39" s="20">
        <f>'[35]MD50000.15-DEC'!$K$1</f>
        <v>47</v>
      </c>
      <c r="I39" s="20">
        <f>'[35]MD50000.15-DEC'!$K$2</f>
        <v>1</v>
      </c>
      <c r="J39" s="21" t="s">
        <v>12</v>
      </c>
      <c r="K39" s="22">
        <f>'[35]MD50000.15-DEC'!$B$3</f>
        <v>45416</v>
      </c>
      <c r="L39" s="19">
        <f>'[36]MD50000.15-DEC'!$O$2</f>
        <v>0</v>
      </c>
      <c r="M39" s="19">
        <f>'[35]MD50000.15-DEC'!$O$1</f>
        <v>1400</v>
      </c>
    </row>
    <row r="40" spans="2:14" ht="22.5" customHeight="1" x14ac:dyDescent="0.2">
      <c r="B40" s="17">
        <v>36</v>
      </c>
      <c r="C40" s="18" t="s">
        <v>63</v>
      </c>
      <c r="D40" s="18" t="s">
        <v>85</v>
      </c>
      <c r="E40" s="19">
        <f>'[37]MD10000.20-OCT'!$C$1</f>
        <v>5000</v>
      </c>
      <c r="F40" s="20"/>
      <c r="G40" s="20"/>
      <c r="H40" s="20">
        <f>'[37]MD10000.20-OCT'!$K$1</f>
        <v>0</v>
      </c>
      <c r="I40" s="20">
        <f>'[37]MD10000.20-OCT'!$K$2</f>
        <v>17</v>
      </c>
      <c r="J40" s="21" t="s">
        <v>51</v>
      </c>
      <c r="K40" s="22">
        <f>'[37]MD10000.20-OCT'!$B$3</f>
        <v>45427</v>
      </c>
      <c r="L40" s="19">
        <f>'[37]MD10000.20-OCT'!$O$2</f>
        <v>0</v>
      </c>
      <c r="M40" s="19">
        <f>'[37]MD10000.20-OCT'!$O$1</f>
        <v>6000</v>
      </c>
    </row>
    <row r="41" spans="2:14" ht="22.5" customHeight="1" x14ac:dyDescent="0.2">
      <c r="B41" s="17">
        <v>37</v>
      </c>
      <c r="C41" s="18" t="s">
        <v>64</v>
      </c>
      <c r="D41" s="18" t="s">
        <v>33</v>
      </c>
      <c r="E41" s="19">
        <f>'[38]MD20000.18-DEC'!$C$1</f>
        <v>20000</v>
      </c>
      <c r="F41" s="20">
        <f>'[38]MD20000.18-DEC'!$K$1</f>
        <v>0</v>
      </c>
      <c r="G41" s="20">
        <f>'[38]MD20000.18-DEC'!$K$2</f>
        <v>120</v>
      </c>
      <c r="H41" s="20"/>
      <c r="I41" s="20"/>
      <c r="J41" s="21" t="s">
        <v>77</v>
      </c>
      <c r="K41" s="22">
        <f>'[38]MD20000.18-DEC'!$B$3</f>
        <v>45425</v>
      </c>
      <c r="L41" s="19">
        <f>'[38]MD20000.18-DEC'!$O$2</f>
        <v>0</v>
      </c>
      <c r="M41" s="19">
        <f>'[38]MD20000.18-DEC'!$O$1</f>
        <v>24000</v>
      </c>
    </row>
    <row r="42" spans="2:14" ht="22.5" customHeight="1" x14ac:dyDescent="0.2">
      <c r="B42" s="17">
        <v>38</v>
      </c>
      <c r="C42" s="18" t="s">
        <v>65</v>
      </c>
      <c r="D42" s="18" t="s">
        <v>66</v>
      </c>
      <c r="E42" s="19">
        <f>'[39]MD10000.20-OCT'!$C$1</f>
        <v>5000</v>
      </c>
      <c r="F42" s="20"/>
      <c r="G42" s="20"/>
      <c r="H42" s="20">
        <f>'[39]MD10000.20-OCT'!$K$1</f>
        <v>0</v>
      </c>
      <c r="I42" s="20">
        <f>'[39]MD10000.20-OCT'!$K$2</f>
        <v>17</v>
      </c>
      <c r="J42" s="21" t="s">
        <v>51</v>
      </c>
      <c r="K42" s="22">
        <f>'[39]MD10000.20-OCT'!$B$3</f>
        <v>45436</v>
      </c>
      <c r="L42" s="19">
        <f>'[39]MD10000.20-OCT'!$O$2</f>
        <v>0</v>
      </c>
      <c r="M42" s="19">
        <f>'[39]MD10000.20-OCT'!$O$1</f>
        <v>6000</v>
      </c>
    </row>
    <row r="43" spans="2:14" ht="22.5" customHeight="1" x14ac:dyDescent="0.2">
      <c r="B43" s="17">
        <v>39</v>
      </c>
      <c r="C43" s="18" t="s">
        <v>34</v>
      </c>
      <c r="D43" s="18" t="s">
        <v>33</v>
      </c>
      <c r="E43" s="19">
        <f>'[40]MD20000.22-DEC'!$C$1</f>
        <v>20000</v>
      </c>
      <c r="F43" s="20">
        <f>'[40]MD20000.22-DEC'!$K$1</f>
        <v>0</v>
      </c>
      <c r="G43" s="20">
        <f>'[40]MD20000.22-DEC'!$K$2</f>
        <v>120</v>
      </c>
      <c r="H43" s="20"/>
      <c r="I43" s="20"/>
      <c r="J43" s="21" t="s">
        <v>12</v>
      </c>
      <c r="K43" s="22">
        <f>'[40]MD20000.22-DEC'!$B$3</f>
        <v>45432</v>
      </c>
      <c r="L43" s="19">
        <f>'[40]MD20000.22-DEC'!$O$2</f>
        <v>0</v>
      </c>
      <c r="M43" s="19">
        <f>'[40]MD20000.22-DEC'!$O$1</f>
        <v>24000</v>
      </c>
    </row>
    <row r="44" spans="2:14" ht="22.5" customHeight="1" x14ac:dyDescent="0.2">
      <c r="B44" s="17">
        <v>40</v>
      </c>
      <c r="C44" s="18" t="s">
        <v>67</v>
      </c>
      <c r="D44" s="18" t="s">
        <v>68</v>
      </c>
      <c r="E44" s="19">
        <f>'[41]MD10000.1-OCT'!$C$1</f>
        <v>10000</v>
      </c>
      <c r="F44" s="20">
        <f>'[41]MD10000.1-OCT'!$G$1</f>
        <v>120</v>
      </c>
      <c r="G44" s="20">
        <f>'[41]MD10000.1-OCT'!$K$1</f>
        <v>0</v>
      </c>
      <c r="H44" s="20"/>
      <c r="I44" s="20"/>
      <c r="J44" s="21" t="s">
        <v>77</v>
      </c>
      <c r="K44" s="22">
        <f>'[41]MD10000.1-OCT'!$B$3</f>
        <v>45437</v>
      </c>
      <c r="L44" s="19">
        <f>'[41]MD10000.1-OCT'!$O$2</f>
        <v>0</v>
      </c>
      <c r="M44" s="19">
        <f>'[41]MD10000.1-OCT'!$O$1</f>
        <v>12000</v>
      </c>
    </row>
    <row r="45" spans="2:14" ht="22.5" customHeight="1" x14ac:dyDescent="0.2">
      <c r="B45" s="17">
        <v>41</v>
      </c>
      <c r="C45" s="18" t="s">
        <v>69</v>
      </c>
      <c r="D45" s="18" t="s">
        <v>48</v>
      </c>
      <c r="E45" s="19">
        <f>'[42]MD10000.20-OCT'!$C$1</f>
        <v>5000</v>
      </c>
      <c r="F45" s="20"/>
      <c r="G45" s="20"/>
      <c r="H45" s="20">
        <f>'[42]MD10000.20-OCT'!$K$1</f>
        <v>0</v>
      </c>
      <c r="I45" s="20">
        <f>'[42]MD10000.20-OCT'!$K$2</f>
        <v>17</v>
      </c>
      <c r="J45" s="21" t="s">
        <v>51</v>
      </c>
      <c r="K45" s="22">
        <f>'[42]MD10000.20-OCT'!$B$3</f>
        <v>45444</v>
      </c>
      <c r="L45" s="19"/>
      <c r="M45" s="19">
        <f>'[42]MD10000.20-OCT'!$O$1</f>
        <v>5950</v>
      </c>
    </row>
    <row r="46" spans="2:14" ht="22.5" customHeight="1" x14ac:dyDescent="0.2">
      <c r="B46" s="17">
        <v>42</v>
      </c>
      <c r="C46" s="18" t="s">
        <v>70</v>
      </c>
      <c r="D46" s="18" t="s">
        <v>71</v>
      </c>
      <c r="E46" s="19">
        <f>'[43]MD10000.1-OCT'!$C$1</f>
        <v>10000</v>
      </c>
      <c r="F46" s="20"/>
      <c r="G46" s="20"/>
      <c r="H46" s="20">
        <f>'[44]MD10000.1-OCT'!$K$1</f>
        <v>0</v>
      </c>
      <c r="I46" s="20">
        <f>'[44]MD10000.1-OCT'!$K$2</f>
        <v>17</v>
      </c>
      <c r="J46" s="21" t="s">
        <v>77</v>
      </c>
      <c r="K46" s="22">
        <f>'[43]MD10000.1-OCT'!$B$3</f>
        <v>45450</v>
      </c>
      <c r="L46" s="19">
        <f>'[44]MD10000.1-OCT'!$O$2</f>
        <v>0</v>
      </c>
      <c r="M46" s="19">
        <f>'[44]MD10000.1-OCT'!$O$1</f>
        <v>12000</v>
      </c>
    </row>
    <row r="47" spans="2:14" ht="22.5" customHeight="1" x14ac:dyDescent="0.2">
      <c r="B47" s="17">
        <v>43</v>
      </c>
      <c r="C47" s="18" t="s">
        <v>72</v>
      </c>
      <c r="D47" s="18" t="s">
        <v>33</v>
      </c>
      <c r="E47" s="19">
        <f>'[45]MD20000.22-DEC'!$C$1</f>
        <v>20000</v>
      </c>
      <c r="F47" s="20">
        <f>'[45]MD20000.22-DEC'!$K$1</f>
        <v>0</v>
      </c>
      <c r="G47" s="20">
        <f>'[45]MD20000.22-DEC'!$K$2</f>
        <v>120</v>
      </c>
      <c r="H47" s="20"/>
      <c r="I47" s="20"/>
      <c r="J47" s="21" t="s">
        <v>77</v>
      </c>
      <c r="K47" s="22">
        <f>'[45]MD20000.22-DEC'!$B$3</f>
        <v>45446</v>
      </c>
      <c r="L47" s="19">
        <f>'[45]MD20000.22-DEC'!$O$2</f>
        <v>0</v>
      </c>
      <c r="M47" s="19">
        <f>'[45]MD20000.22-DEC'!$O$1</f>
        <v>24000</v>
      </c>
    </row>
    <row r="48" spans="2:14" ht="22.5" customHeight="1" x14ac:dyDescent="0.2">
      <c r="B48" s="17">
        <v>44</v>
      </c>
      <c r="C48" s="18" t="s">
        <v>73</v>
      </c>
      <c r="D48" s="18" t="s">
        <v>68</v>
      </c>
      <c r="E48" s="19">
        <f>'[46]MD20000.22-DEC'!$C$1</f>
        <v>10000</v>
      </c>
      <c r="F48" s="20">
        <f>'[46]MD20000.22-DEC'!$K$1</f>
        <v>0</v>
      </c>
      <c r="G48" s="20">
        <f>'[46]MD20000.22-DEC'!$K$2</f>
        <v>120</v>
      </c>
      <c r="H48" s="20"/>
      <c r="I48" s="20"/>
      <c r="J48" s="21" t="s">
        <v>77</v>
      </c>
      <c r="K48" s="22">
        <f>'[46]MD20000.22-DEC'!$B$3</f>
        <v>45473</v>
      </c>
      <c r="L48" s="19">
        <f>'[46]MD20000.22-DEC'!$O$2</f>
        <v>0</v>
      </c>
      <c r="M48" s="19">
        <f>'[46]MD20000.22-DEC'!$O$1</f>
        <v>12000</v>
      </c>
    </row>
    <row r="49" spans="2:13" ht="22.5" customHeight="1" x14ac:dyDescent="0.2">
      <c r="B49" s="17">
        <v>45</v>
      </c>
      <c r="C49" s="18" t="s">
        <v>15</v>
      </c>
      <c r="D49" s="18" t="s">
        <v>50</v>
      </c>
      <c r="E49" s="19">
        <f>'[47]MD20000.15-DEc'!$C$1</f>
        <v>20000</v>
      </c>
      <c r="F49" s="20"/>
      <c r="G49" s="20"/>
      <c r="H49" s="20">
        <f>'[47]MD20000.15-DEc'!$K$1</f>
        <v>0</v>
      </c>
      <c r="I49" s="20">
        <f>'[47]MD20000.15-DEc'!$K$2</f>
        <v>17</v>
      </c>
      <c r="J49" s="21" t="s">
        <v>12</v>
      </c>
      <c r="K49" s="22">
        <f>'[47]MD20000.15-DEc'!$B$3</f>
        <v>45495</v>
      </c>
      <c r="L49" s="19">
        <f>'[47]MD20000.15-DEc'!$O$2</f>
        <v>0</v>
      </c>
      <c r="M49" s="19">
        <f>'[47]MD20000.15-DEc'!$O$1</f>
        <v>24000</v>
      </c>
    </row>
    <row r="50" spans="2:13" ht="22.5" customHeight="1" x14ac:dyDescent="0.2">
      <c r="B50" s="17">
        <v>46</v>
      </c>
      <c r="C50" s="18" t="s">
        <v>74</v>
      </c>
      <c r="D50" s="18" t="s">
        <v>75</v>
      </c>
      <c r="E50" s="19">
        <f>'[48]MD20000.15-DEc'!$C$1</f>
        <v>10000</v>
      </c>
      <c r="F50" s="20"/>
      <c r="G50" s="20"/>
      <c r="H50" s="20">
        <f>'[48]MD20000.15-DEc'!$K$1</f>
        <v>0</v>
      </c>
      <c r="I50" s="20">
        <f>'[48]MD20000.15-DEc'!$K$2</f>
        <v>17</v>
      </c>
      <c r="J50" s="21" t="s">
        <v>12</v>
      </c>
      <c r="K50" s="22">
        <f>'[48]MD20000.15-DEc'!$B$3</f>
        <v>45496</v>
      </c>
      <c r="L50" s="19">
        <f>'[48]MD20000.15-DEc'!$O$2</f>
        <v>0</v>
      </c>
      <c r="M50" s="19">
        <f>'[48]MD20000.15-DEc'!$O$1</f>
        <v>12000</v>
      </c>
    </row>
    <row r="51" spans="2:13" ht="22.5" customHeight="1" x14ac:dyDescent="0.2">
      <c r="B51" s="17">
        <v>47</v>
      </c>
      <c r="C51" s="18" t="s">
        <v>32</v>
      </c>
      <c r="D51" s="18" t="s">
        <v>33</v>
      </c>
      <c r="E51" s="19">
        <f>'[49]MD20000.18-DEC'!$C$1</f>
        <v>20000</v>
      </c>
      <c r="F51" s="20">
        <f>'[49]MD20000.18-DEC'!$K$1</f>
        <v>0</v>
      </c>
      <c r="G51" s="20">
        <f>'[49]MD20000.18-DEC'!$K$2</f>
        <v>120</v>
      </c>
      <c r="H51" s="20"/>
      <c r="I51" s="20"/>
      <c r="J51" s="21" t="s">
        <v>12</v>
      </c>
      <c r="K51" s="22">
        <f>'[49]MD20000.18-DEC'!$B$3</f>
        <v>45493</v>
      </c>
      <c r="L51" s="19">
        <f>'[49]MD20000.18-DEC'!$O$2</f>
        <v>0</v>
      </c>
      <c r="M51" s="19">
        <f>'[49]MD20000.18-DEC'!$O$1</f>
        <v>24000</v>
      </c>
    </row>
    <row r="52" spans="2:13" ht="22.5" customHeight="1" x14ac:dyDescent="0.2">
      <c r="B52" s="17">
        <v>48</v>
      </c>
      <c r="C52" s="18" t="s">
        <v>13</v>
      </c>
      <c r="D52" s="18" t="s">
        <v>76</v>
      </c>
      <c r="E52" s="19">
        <f>'[50]MD20000.15-DEc'!$C$1</f>
        <v>10000</v>
      </c>
      <c r="F52" s="20"/>
      <c r="G52" s="20"/>
      <c r="H52" s="20">
        <f>'[50]MD20000.15-DEc'!$K$1</f>
        <v>0</v>
      </c>
      <c r="I52" s="20">
        <f>'[50]MD20000.15-DEc'!$K$2</f>
        <v>17</v>
      </c>
      <c r="J52" s="21" t="s">
        <v>12</v>
      </c>
      <c r="K52" s="22">
        <f>'[50]MD20000.15-DEc'!$B$3</f>
        <v>45502</v>
      </c>
      <c r="L52" s="19">
        <f>'[50]MD20000.15-DEc'!$O$2</f>
        <v>0</v>
      </c>
      <c r="M52" s="19">
        <f>'[50]MD20000.15-DEc'!$O$1</f>
        <v>12000</v>
      </c>
    </row>
    <row r="53" spans="2:13" ht="22.5" customHeight="1" x14ac:dyDescent="0.2">
      <c r="B53" s="17">
        <v>49</v>
      </c>
      <c r="C53" s="18" t="s">
        <v>23</v>
      </c>
      <c r="D53" s="18" t="s">
        <v>50</v>
      </c>
      <c r="E53" s="19">
        <f>'[51]MD50000.15-DEC'!$C$1</f>
        <v>20000</v>
      </c>
      <c r="F53" s="20"/>
      <c r="G53" s="20"/>
      <c r="H53" s="20">
        <f>'[51]MD50000.15-DEC'!$K$1</f>
        <v>0</v>
      </c>
      <c r="I53" s="20">
        <f>'[51]MD50000.15-DEC'!$K$2</f>
        <v>17</v>
      </c>
      <c r="J53" s="21" t="s">
        <v>12</v>
      </c>
      <c r="K53" s="22">
        <f>'[51]MD50000.15-DEC'!$B$3</f>
        <v>45504</v>
      </c>
      <c r="L53" s="19">
        <f>'[51]MD50000.15-DEC'!$O$2</f>
        <v>0</v>
      </c>
      <c r="M53" s="19">
        <f>'[51]MD50000.15-DEC'!$O$1</f>
        <v>24000</v>
      </c>
    </row>
    <row r="54" spans="2:13" ht="22.5" customHeight="1" x14ac:dyDescent="0.2">
      <c r="B54" s="17">
        <v>50</v>
      </c>
      <c r="C54" s="18" t="s">
        <v>78</v>
      </c>
      <c r="D54" s="18" t="s">
        <v>79</v>
      </c>
      <c r="E54" s="19">
        <f>'[52]MD10000.20-OCT'!$C$1</f>
        <v>5000</v>
      </c>
      <c r="F54" s="20"/>
      <c r="G54" s="20"/>
      <c r="H54" s="20">
        <f>'[52]MD10000.20-OCT'!$K$1</f>
        <v>0</v>
      </c>
      <c r="I54" s="20">
        <f>'[52]MD10000.20-OCT'!$K$2</f>
        <v>17</v>
      </c>
      <c r="J54" s="21" t="s">
        <v>51</v>
      </c>
      <c r="K54" s="22">
        <f>'[52]MD10000.20-OCT'!$B$3</f>
        <v>45511</v>
      </c>
      <c r="L54" s="19">
        <f>'[52]MD10000.20-OCT'!$O$2</f>
        <v>0</v>
      </c>
      <c r="M54" s="19">
        <f>'[52]MD10000.20-OCT'!$O$1</f>
        <v>5950</v>
      </c>
    </row>
    <row r="55" spans="2:13" ht="22.5" customHeight="1" x14ac:dyDescent="0.2">
      <c r="B55" s="17">
        <v>51</v>
      </c>
      <c r="C55" s="18" t="s">
        <v>64</v>
      </c>
      <c r="D55" s="18" t="s">
        <v>80</v>
      </c>
      <c r="E55" s="19">
        <f>'[53]MD20000.18-DEC'!$C$1</f>
        <v>30000</v>
      </c>
      <c r="F55" s="20">
        <f>'[53]MD20000.18-DEC'!$K$1</f>
        <v>0</v>
      </c>
      <c r="G55" s="20">
        <f>'[53]MD20000.18-DEC'!$K$2</f>
        <v>120</v>
      </c>
      <c r="H55" s="20"/>
      <c r="I55" s="20"/>
      <c r="J55" s="21" t="s">
        <v>51</v>
      </c>
      <c r="K55" s="22">
        <f>'[53]MD20000.18-DEC'!$B$3</f>
        <v>45508</v>
      </c>
      <c r="L55" s="19">
        <f>'[53]MD20000.18-DEC'!$O$2</f>
        <v>0</v>
      </c>
      <c r="M55" s="19">
        <f>'[53]MD20000.18-DEC'!$O$1</f>
        <v>36000</v>
      </c>
    </row>
    <row r="56" spans="2:13" ht="22.5" customHeight="1" x14ac:dyDescent="0.2">
      <c r="B56" s="17">
        <v>52</v>
      </c>
      <c r="C56" s="18" t="s">
        <v>81</v>
      </c>
      <c r="D56" s="18" t="s">
        <v>82</v>
      </c>
      <c r="E56" s="19">
        <f>'[54]MD20000.18-DEC'!$C$1</f>
        <v>10000</v>
      </c>
      <c r="F56" s="20">
        <f>'[54]MD20000.18-DEC'!$K$1</f>
        <v>0</v>
      </c>
      <c r="G56" s="20">
        <f>'[54]MD20000.18-DEC'!$K$2</f>
        <v>120</v>
      </c>
      <c r="H56" s="20"/>
      <c r="I56" s="20"/>
      <c r="J56" s="21" t="s">
        <v>12</v>
      </c>
      <c r="K56" s="22">
        <f>'[54]MD20000.18-DEC'!$B$3</f>
        <v>45514</v>
      </c>
      <c r="L56" s="19">
        <f>'[54]MD20000.18-DEC'!$O$2</f>
        <v>0</v>
      </c>
      <c r="M56" s="19">
        <f>'[54]MD20000.18-DEC'!$O$1</f>
        <v>12000</v>
      </c>
    </row>
    <row r="57" spans="2:13" ht="22.5" customHeight="1" x14ac:dyDescent="0.2">
      <c r="B57" s="17">
        <v>53</v>
      </c>
      <c r="C57" s="18" t="s">
        <v>58</v>
      </c>
      <c r="D57" s="18" t="s">
        <v>52</v>
      </c>
      <c r="E57" s="19">
        <f>'[55]MD20000.15-DEc'!$C$1</f>
        <v>20000</v>
      </c>
      <c r="F57" s="20"/>
      <c r="G57" s="20"/>
      <c r="H57" s="20">
        <f>'[55]MD20000.15-DEc'!$K$1</f>
        <v>0</v>
      </c>
      <c r="I57" s="20">
        <f>'[55]MD20000.15-DEc'!$K$2</f>
        <v>17</v>
      </c>
      <c r="J57" s="21" t="s">
        <v>12</v>
      </c>
      <c r="K57" s="22">
        <f>'[55]MD20000.15-DEc'!$B$3</f>
        <v>45527</v>
      </c>
      <c r="L57" s="19">
        <f>'[55]MD20000.15-DEc'!$O$2</f>
        <v>0</v>
      </c>
      <c r="M57" s="19">
        <f>'[55]MD20000.15-DEc'!$O$1</f>
        <v>24000</v>
      </c>
    </row>
    <row r="58" spans="2:13" ht="22.5" customHeight="1" x14ac:dyDescent="0.2">
      <c r="B58" s="17">
        <v>54</v>
      </c>
      <c r="C58" s="18" t="s">
        <v>83</v>
      </c>
      <c r="D58" s="18" t="s">
        <v>76</v>
      </c>
      <c r="E58" s="19">
        <f>'[56]MD20000.15-DEc'!$C$1</f>
        <v>10000</v>
      </c>
      <c r="F58" s="20"/>
      <c r="G58" s="20"/>
      <c r="H58" s="20">
        <f>'[56]MD20000.15-DEc'!$K$1</f>
        <v>0</v>
      </c>
      <c r="I58" s="20">
        <f>'[56]MD20000.15-DEc'!$K$2</f>
        <v>17</v>
      </c>
      <c r="J58" s="21" t="s">
        <v>12</v>
      </c>
      <c r="K58" s="22">
        <f>'[56]MD20000.15-DEc'!$B$3</f>
        <v>45531</v>
      </c>
      <c r="L58" s="19">
        <f>'[56]MD20000.15-DEc'!$O$2</f>
        <v>0</v>
      </c>
      <c r="M58" s="19">
        <f>'[56]MD20000.15-DEc'!$O$1</f>
        <v>12000</v>
      </c>
    </row>
    <row r="59" spans="2:13" ht="22.5" customHeight="1" x14ac:dyDescent="0.2">
      <c r="B59" s="17">
        <v>55</v>
      </c>
      <c r="C59" s="18" t="s">
        <v>84</v>
      </c>
      <c r="D59" s="18" t="s">
        <v>85</v>
      </c>
      <c r="E59" s="19">
        <f>'[57]MD10000.20-OCT'!$C$1</f>
        <v>5000</v>
      </c>
      <c r="F59" s="20"/>
      <c r="G59" s="20"/>
      <c r="H59" s="20">
        <f>'[57]MD10000.20-OCT'!$K$1</f>
        <v>0</v>
      </c>
      <c r="I59" s="20">
        <f>'[57]MD10000.20-OCT'!$K$2</f>
        <v>17</v>
      </c>
      <c r="J59" s="21" t="s">
        <v>51</v>
      </c>
      <c r="K59" s="22">
        <f>'[57]MD10000.20-OCT'!$B$3</f>
        <v>45532</v>
      </c>
      <c r="L59" s="19">
        <f>'[57]MD10000.20-OCT'!$O$2</f>
        <v>0</v>
      </c>
      <c r="M59" s="19">
        <f>'[57]MD10000.20-OCT'!$O$1</f>
        <v>6000</v>
      </c>
    </row>
    <row r="60" spans="2:13" ht="22.5" customHeight="1" x14ac:dyDescent="0.2">
      <c r="B60" s="17">
        <v>56</v>
      </c>
      <c r="C60" s="18" t="s">
        <v>86</v>
      </c>
      <c r="D60" s="18" t="s">
        <v>76</v>
      </c>
      <c r="E60" s="19">
        <f>'[58]MD20000.15-DEc'!$C$1</f>
        <v>10000</v>
      </c>
      <c r="F60" s="20"/>
      <c r="G60" s="20"/>
      <c r="H60" s="20">
        <f>'[58]MD20000.15-DEc'!$K$1</f>
        <v>0</v>
      </c>
      <c r="I60" s="20">
        <f>'[58]MD20000.15-DEc'!$K$2</f>
        <v>17</v>
      </c>
      <c r="J60" s="21" t="s">
        <v>12</v>
      </c>
      <c r="K60" s="22">
        <f>'[58]MD20000.15-DEc'!$B$3</f>
        <v>45534</v>
      </c>
      <c r="L60" s="19">
        <f>'[58]MD20000.15-DEc'!$O$2</f>
        <v>0</v>
      </c>
      <c r="M60" s="19">
        <f>'[58]MD20000.15-DEc'!$O$1</f>
        <v>12000</v>
      </c>
    </row>
    <row r="61" spans="2:13" ht="22.5" customHeight="1" x14ac:dyDescent="0.2">
      <c r="B61" s="17">
        <v>57</v>
      </c>
      <c r="C61" s="18" t="s">
        <v>65</v>
      </c>
      <c r="D61" s="18" t="s">
        <v>87</v>
      </c>
      <c r="E61" s="19">
        <f>'[59]MD10000.20-OCT'!$C$1</f>
        <v>5000</v>
      </c>
      <c r="F61" s="20"/>
      <c r="G61" s="20"/>
      <c r="H61" s="20">
        <f>'[59]MD10000.20-OCT'!$K$1</f>
        <v>0</v>
      </c>
      <c r="I61" s="20">
        <f>'[59]MD10000.20-OCT'!$K$2</f>
        <v>17</v>
      </c>
      <c r="J61" s="21" t="s">
        <v>51</v>
      </c>
      <c r="K61" s="22">
        <f>'[59]MD10000.20-OCT'!$B$3</f>
        <v>45536</v>
      </c>
      <c r="L61" s="19">
        <f>'[59]MD10000.20-OCT'!$O$2</f>
        <v>0</v>
      </c>
      <c r="M61" s="19">
        <f>'[59]MD10000.20-OCT'!$O$1</f>
        <v>6000</v>
      </c>
    </row>
    <row r="62" spans="2:13" ht="22.5" customHeight="1" x14ac:dyDescent="0.2">
      <c r="B62" s="17">
        <v>58</v>
      </c>
      <c r="C62" s="18" t="s">
        <v>34</v>
      </c>
      <c r="D62" s="18" t="s">
        <v>33</v>
      </c>
      <c r="E62" s="19">
        <f>'[60]MD20000.22-DEC'!$C$1</f>
        <v>20000</v>
      </c>
      <c r="F62" s="20">
        <f>'[60]MD20000.22-DEC'!$K$1</f>
        <v>0</v>
      </c>
      <c r="G62" s="20">
        <f>'[60]MD20000.22-DEC'!$K$2</f>
        <v>120</v>
      </c>
      <c r="H62" s="20"/>
      <c r="I62" s="20"/>
      <c r="J62" s="21" t="s">
        <v>51</v>
      </c>
      <c r="K62" s="22">
        <f>'[60]MD20000.22-DEC'!$B$3</f>
        <v>45535</v>
      </c>
      <c r="L62" s="19">
        <f>'[60]MD20000.22-DEC'!$O$2</f>
        <v>0</v>
      </c>
      <c r="M62" s="19">
        <f>'[60]MD20000.22-DEC'!$O$1</f>
        <v>24000</v>
      </c>
    </row>
    <row r="63" spans="2:13" ht="22.5" customHeight="1" x14ac:dyDescent="0.2">
      <c r="B63" s="17">
        <v>59</v>
      </c>
      <c r="C63" s="18" t="s">
        <v>88</v>
      </c>
      <c r="D63" s="18" t="s">
        <v>48</v>
      </c>
      <c r="E63" s="19">
        <f>'[61]MD10000.20-OCT'!$C$1</f>
        <v>5000</v>
      </c>
      <c r="F63" s="20"/>
      <c r="G63" s="20"/>
      <c r="H63" s="20">
        <f>'[61]MD10000.20-OCT'!$K$1</f>
        <v>0</v>
      </c>
      <c r="I63" s="20">
        <f>'[61]MD10000.20-OCT'!$K$2</f>
        <v>17</v>
      </c>
      <c r="J63" s="21" t="s">
        <v>51</v>
      </c>
      <c r="K63" s="22">
        <f>'[61]MD10000.20-OCT'!$B$3</f>
        <v>45549</v>
      </c>
      <c r="L63" s="19">
        <f>'[61]MD10000.20-OCT'!$O$2</f>
        <v>0</v>
      </c>
      <c r="M63" s="19">
        <f>'[61]MD10000.20-OCT'!$O$1</f>
        <v>6000</v>
      </c>
    </row>
    <row r="64" spans="2:13" ht="22.5" customHeight="1" x14ac:dyDescent="0.2">
      <c r="B64" s="17">
        <v>60</v>
      </c>
      <c r="C64" s="18" t="s">
        <v>89</v>
      </c>
      <c r="D64" s="18" t="s">
        <v>90</v>
      </c>
      <c r="E64" s="19">
        <f>'[62]MD20000.22-DEC'!$C$1</f>
        <v>20000</v>
      </c>
      <c r="F64" s="20">
        <f>'[62]MD20000.22-DEC'!$K$1</f>
        <v>0</v>
      </c>
      <c r="G64" s="20">
        <f>'[62]MD20000.22-DEC'!$K$2</f>
        <v>120</v>
      </c>
      <c r="H64" s="20"/>
      <c r="I64" s="20"/>
      <c r="J64" s="21" t="s">
        <v>12</v>
      </c>
      <c r="K64" s="22">
        <f>'[62]MD20000.22-DEC'!$B$13</f>
        <v>45562</v>
      </c>
      <c r="L64" s="19">
        <f>'[62]MD20000.22-DEC'!$O$2</f>
        <v>0</v>
      </c>
      <c r="M64" s="19">
        <f>'[62]MD20000.22-DEC'!$O$1</f>
        <v>24000</v>
      </c>
    </row>
    <row r="65" spans="2:14" ht="22.5" customHeight="1" x14ac:dyDescent="0.2">
      <c r="B65" s="17">
        <v>61</v>
      </c>
      <c r="C65" s="18" t="s">
        <v>78</v>
      </c>
      <c r="D65" s="18" t="s">
        <v>68</v>
      </c>
      <c r="E65" s="19">
        <f>'[63]MD10000.1-OCT'!$C$1</f>
        <v>10000</v>
      </c>
      <c r="F65" s="20">
        <f>'[63]MD10000.1-OCT'!$K$1</f>
        <v>0</v>
      </c>
      <c r="G65" s="20">
        <f>'[63]MD10000.1-OCT'!$K$2</f>
        <v>120</v>
      </c>
      <c r="H65" s="20"/>
      <c r="I65" s="20"/>
      <c r="J65" s="21" t="s">
        <v>12</v>
      </c>
      <c r="K65" s="22">
        <f>'[63]MD10000.1-OCT'!$B$3</f>
        <v>45557</v>
      </c>
      <c r="L65" s="19">
        <f>'[63]MD10000.1-OCT'!$O$2</f>
        <v>0</v>
      </c>
      <c r="M65" s="19">
        <f>'[63]MD10000.1-OCT'!$O$1</f>
        <v>12000</v>
      </c>
    </row>
    <row r="66" spans="2:14" ht="22.5" customHeight="1" x14ac:dyDescent="0.2">
      <c r="B66" s="6">
        <v>62</v>
      </c>
      <c r="C66" s="8" t="s">
        <v>91</v>
      </c>
      <c r="D66" s="14" t="s">
        <v>68</v>
      </c>
      <c r="E66" s="7">
        <f>'[64]MD10000.1-OCT'!$C$1</f>
        <v>10000</v>
      </c>
      <c r="F66" s="8">
        <f>'[64]MD10000.1-OCT'!$K$1</f>
        <v>38</v>
      </c>
      <c r="G66" s="8">
        <f>'[64]MD10000.1-OCT'!$K$2</f>
        <v>82</v>
      </c>
      <c r="H66" s="8"/>
      <c r="I66" s="8"/>
      <c r="J66" s="9" t="s">
        <v>12</v>
      </c>
      <c r="K66" s="10">
        <f>'[64]MD10000.1-OCT'!$B$3</f>
        <v>45557</v>
      </c>
      <c r="L66" s="7">
        <f>'[64]MD10000.1-OCT'!$O$2</f>
        <v>3800</v>
      </c>
      <c r="M66" s="7">
        <f>'[64]MD10000.1-OCT'!$O$1</f>
        <v>8200</v>
      </c>
      <c r="N66" s="1">
        <v>700</v>
      </c>
    </row>
    <row r="67" spans="2:14" ht="22.5" customHeight="1" x14ac:dyDescent="0.2">
      <c r="B67" s="6">
        <v>63</v>
      </c>
      <c r="C67" s="8" t="s">
        <v>92</v>
      </c>
      <c r="D67" s="14" t="s">
        <v>68</v>
      </c>
      <c r="E67" s="7">
        <f>'[65]MD10000.1-OCT'!$C$1</f>
        <v>10000</v>
      </c>
      <c r="F67" s="8">
        <f>'[65]MD10000.1-OCT'!$K$1</f>
        <v>19</v>
      </c>
      <c r="G67" s="8">
        <f>'[65]MD10000.1-OCT'!$K$2</f>
        <v>101</v>
      </c>
      <c r="H67" s="8"/>
      <c r="I67" s="8"/>
      <c r="J67" s="9" t="s">
        <v>12</v>
      </c>
      <c r="K67" s="10">
        <f>'[65]MD10000.1-OCT'!$B$3</f>
        <v>45561</v>
      </c>
      <c r="L67" s="7">
        <f>'[65]MD10000.1-OCT'!$O$2</f>
        <v>1900</v>
      </c>
      <c r="M67" s="7">
        <f>'[65]MD10000.1-OCT'!$O$1</f>
        <v>10100</v>
      </c>
      <c r="N67" s="1">
        <v>700</v>
      </c>
    </row>
    <row r="68" spans="2:14" ht="22.5" customHeight="1" x14ac:dyDescent="0.2">
      <c r="B68" s="17">
        <v>64</v>
      </c>
      <c r="C68" s="18" t="s">
        <v>32</v>
      </c>
      <c r="D68" s="18" t="s">
        <v>33</v>
      </c>
      <c r="E68" s="19">
        <f>'[66]MD20000.18-DEC'!$C$1</f>
        <v>20000</v>
      </c>
      <c r="F68" s="20">
        <f>'[66]MD20000.18-DEC'!$K$1</f>
        <v>0</v>
      </c>
      <c r="G68" s="20">
        <f>'[66]MD20000.18-DEC'!$K$2</f>
        <v>120</v>
      </c>
      <c r="H68" s="20"/>
      <c r="I68" s="20"/>
      <c r="J68" s="21" t="s">
        <v>12</v>
      </c>
      <c r="K68" s="22">
        <f>'[66]MD20000.18-DEC'!$B$3</f>
        <v>45562</v>
      </c>
      <c r="L68" s="19">
        <f>'[66]MD20000.18-DEC'!$O$2</f>
        <v>0</v>
      </c>
      <c r="M68" s="19">
        <f>'[66]MD20000.18-DEC'!$O$1</f>
        <v>24000</v>
      </c>
    </row>
    <row r="69" spans="2:14" ht="22.5" customHeight="1" x14ac:dyDescent="0.2">
      <c r="B69" s="6">
        <v>65</v>
      </c>
      <c r="C69" s="13" t="s">
        <v>70</v>
      </c>
      <c r="D69" s="14" t="s">
        <v>68</v>
      </c>
      <c r="E69" s="7">
        <f>'[67]MD10000.1-OCT'!$C$1</f>
        <v>10000</v>
      </c>
      <c r="F69" s="8">
        <f>'[67]MD10000.1-OCT'!$K$1</f>
        <v>37</v>
      </c>
      <c r="G69" s="8">
        <f>'[67]MD10000.1-OCT'!$K$2</f>
        <v>83</v>
      </c>
      <c r="H69" s="8"/>
      <c r="I69" s="8"/>
      <c r="J69" s="9" t="s">
        <v>12</v>
      </c>
      <c r="K69" s="10">
        <f>'[67]MD10000.1-OCT'!$B$3</f>
        <v>45563</v>
      </c>
      <c r="L69" s="7">
        <f>'[67]MD10000.1-OCT'!$O$2</f>
        <v>3700</v>
      </c>
      <c r="M69" s="7">
        <f>'[67]MD10000.1-OCT'!$O$1</f>
        <v>8300</v>
      </c>
      <c r="N69" s="1">
        <v>700</v>
      </c>
    </row>
    <row r="70" spans="2:14" ht="22.5" customHeight="1" x14ac:dyDescent="0.2">
      <c r="B70" s="6">
        <v>66</v>
      </c>
      <c r="C70" s="8" t="s">
        <v>93</v>
      </c>
      <c r="D70" s="14" t="s">
        <v>94</v>
      </c>
      <c r="E70" s="7">
        <f>'[68]MD10000.1-OCT'!$C$1</f>
        <v>15000</v>
      </c>
      <c r="F70" s="8">
        <f>'[68]MD10000.1-OCT'!$K$1</f>
        <v>63</v>
      </c>
      <c r="G70" s="8">
        <f>'[68]MD10000.1-OCT'!$K$2</f>
        <v>57</v>
      </c>
      <c r="H70" s="8"/>
      <c r="I70" s="8"/>
      <c r="J70" s="9" t="s">
        <v>12</v>
      </c>
      <c r="K70" s="10">
        <f>'[68]MD10000.1-OCT'!$B$3</f>
        <v>45570</v>
      </c>
      <c r="L70" s="7">
        <f>'[68]MD10000.1-OCT'!$O$2</f>
        <v>9450</v>
      </c>
      <c r="M70" s="7">
        <f>'[68]MD10000.1-OCT'!$O$1</f>
        <v>8550</v>
      </c>
      <c r="N70" s="1">
        <v>1050</v>
      </c>
    </row>
    <row r="71" spans="2:14" ht="22.5" customHeight="1" x14ac:dyDescent="0.2">
      <c r="B71" s="23">
        <v>67</v>
      </c>
      <c r="C71" s="24" t="s">
        <v>95</v>
      </c>
      <c r="D71" s="25" t="s">
        <v>96</v>
      </c>
      <c r="E71" s="26">
        <f>'[69]MD20000.18-DEC'!$C$1</f>
        <v>50000</v>
      </c>
      <c r="F71" s="24">
        <f>'[69]MD20000.18-DEC'!$K$1</f>
        <v>66</v>
      </c>
      <c r="G71" s="24">
        <f>'[69]MD20000.18-DEC'!$K$2</f>
        <v>54</v>
      </c>
      <c r="H71" s="24"/>
      <c r="I71" s="24"/>
      <c r="J71" s="27" t="s">
        <v>12</v>
      </c>
      <c r="K71" s="25">
        <f>'[69]MD20000.18-DEC'!$B$3</f>
        <v>45579</v>
      </c>
      <c r="L71" s="26">
        <f>'[69]MD20000.18-DEC'!$O$2</f>
        <v>33000</v>
      </c>
      <c r="M71" s="26">
        <f>'[69]MD20000.18-DEC'!$O$1</f>
        <v>27000</v>
      </c>
    </row>
    <row r="72" spans="2:14" ht="22.5" customHeight="1" x14ac:dyDescent="0.2">
      <c r="B72" s="6">
        <v>68</v>
      </c>
      <c r="C72" s="8" t="s">
        <v>97</v>
      </c>
      <c r="D72" s="14" t="s">
        <v>98</v>
      </c>
      <c r="E72" s="7">
        <f>'[70]MD20000.18-DEC'!$C$1</f>
        <v>100000</v>
      </c>
      <c r="F72" s="8"/>
      <c r="G72" s="8"/>
      <c r="H72" s="8">
        <f>'[70]MD20000.18-DEC'!$K$1</f>
        <v>31</v>
      </c>
      <c r="I72" s="8">
        <f>'[70]MD20000.18-DEC'!$K$2</f>
        <v>9</v>
      </c>
      <c r="J72" s="9" t="s">
        <v>12</v>
      </c>
      <c r="K72" s="10">
        <f>'[70]MD20000.18-DEC'!$B$3</f>
        <v>45590</v>
      </c>
      <c r="L72" s="7">
        <f>'[70]MD20000.18-DEC'!$O$2</f>
        <v>124000</v>
      </c>
      <c r="M72" s="7">
        <f>'[70]MD20000.18-DEC'!$O$1</f>
        <v>36000</v>
      </c>
      <c r="N72" s="1">
        <v>4000</v>
      </c>
    </row>
    <row r="73" spans="2:14" ht="22.5" customHeight="1" x14ac:dyDescent="0.2">
      <c r="B73" s="17">
        <v>69</v>
      </c>
      <c r="C73" s="18" t="s">
        <v>99</v>
      </c>
      <c r="D73" s="18" t="s">
        <v>96</v>
      </c>
      <c r="E73" s="19">
        <f>'[71]MD20000.18-DEC'!$C$1</f>
        <v>50000</v>
      </c>
      <c r="F73" s="20">
        <f>'[71]MD20000.18-DEC'!$K$1</f>
        <v>0</v>
      </c>
      <c r="G73" s="20">
        <f>'[71]MD20000.18-DEC'!$K$2</f>
        <v>120</v>
      </c>
      <c r="H73" s="20"/>
      <c r="I73" s="20"/>
      <c r="J73" s="21" t="s">
        <v>12</v>
      </c>
      <c r="K73" s="22">
        <f>'[71]MD20000.18-DEC'!$B$3</f>
        <v>45584</v>
      </c>
      <c r="L73" s="19">
        <f>'[71]MD20000.18-DEC'!$O$2</f>
        <v>0</v>
      </c>
      <c r="M73" s="19">
        <f>'[71]MD20000.18-DEC'!$O$1</f>
        <v>60000</v>
      </c>
    </row>
    <row r="74" spans="2:14" ht="22.5" customHeight="1" x14ac:dyDescent="0.2">
      <c r="B74" s="17">
        <v>70</v>
      </c>
      <c r="C74" s="18" t="s">
        <v>100</v>
      </c>
      <c r="D74" s="18" t="s">
        <v>90</v>
      </c>
      <c r="E74" s="19">
        <f>'[72]MD20000.18-DEC'!$C$1</f>
        <v>20000</v>
      </c>
      <c r="F74" s="20">
        <f>'[72]MD20000.18-DEC'!$K$1</f>
        <v>0</v>
      </c>
      <c r="G74" s="20">
        <f>'[72]MD20000.18-DEC'!$K$2</f>
        <v>120</v>
      </c>
      <c r="H74" s="20"/>
      <c r="I74" s="20"/>
      <c r="J74" s="21" t="s">
        <v>12</v>
      </c>
      <c r="K74" s="22">
        <f>'[72]MD20000.18-DEC'!$B$3</f>
        <v>45584</v>
      </c>
      <c r="L74" s="19">
        <f>'[72]MD20000.18-DEC'!$O$2</f>
        <v>0</v>
      </c>
      <c r="M74" s="19">
        <f>'[72]MD20000.18-DEC'!$O$1</f>
        <v>24000</v>
      </c>
    </row>
    <row r="75" spans="2:14" ht="22.5" customHeight="1" x14ac:dyDescent="0.2">
      <c r="B75" s="6">
        <v>71</v>
      </c>
      <c r="C75" s="8" t="s">
        <v>101</v>
      </c>
      <c r="D75" s="14" t="s">
        <v>90</v>
      </c>
      <c r="E75" s="7">
        <f>'[73]MD20000.18-DEC'!$C$1</f>
        <v>20000</v>
      </c>
      <c r="F75" s="8">
        <f>'[73]MD20000.18-DEC'!$K$1</f>
        <v>82</v>
      </c>
      <c r="G75" s="8">
        <f>'[73]MD20000.18-DEC'!$K$2</f>
        <v>38</v>
      </c>
      <c r="H75" s="8"/>
      <c r="I75" s="8"/>
      <c r="J75" s="9" t="s">
        <v>12</v>
      </c>
      <c r="K75" s="10">
        <f>'[73]MD20000.18-DEC'!$B$3</f>
        <v>45584</v>
      </c>
      <c r="L75" s="7">
        <f>'[73]MD20000.18-DEC'!$O$2</f>
        <v>16400</v>
      </c>
      <c r="M75" s="7">
        <f>'[73]MD20000.18-DEC'!$O$1</f>
        <v>7600</v>
      </c>
      <c r="N75" s="1">
        <v>1400</v>
      </c>
    </row>
    <row r="76" spans="2:14" ht="22.5" customHeight="1" x14ac:dyDescent="0.2">
      <c r="B76" s="17">
        <v>72</v>
      </c>
      <c r="C76" s="18" t="s">
        <v>81</v>
      </c>
      <c r="D76" s="18" t="s">
        <v>90</v>
      </c>
      <c r="E76" s="19">
        <f>'[74]MD20000.18-DEC'!$C$1</f>
        <v>20000</v>
      </c>
      <c r="F76" s="20">
        <f>'[74]MD20000.18-DEC'!$K$1</f>
        <v>0</v>
      </c>
      <c r="G76" s="20">
        <f>'[74]MD20000.18-DEC'!$K$2</f>
        <v>120</v>
      </c>
      <c r="H76" s="20"/>
      <c r="I76" s="20"/>
      <c r="J76" s="21" t="s">
        <v>12</v>
      </c>
      <c r="K76" s="22">
        <f>'[74]MD20000.18-DEC'!$B$3</f>
        <v>45584</v>
      </c>
      <c r="L76" s="19">
        <f>'[74]MD20000.18-DEC'!$O$2</f>
        <v>0</v>
      </c>
      <c r="M76" s="19">
        <f>'[74]MD20000.18-DEC'!$O$1</f>
        <v>24000</v>
      </c>
    </row>
    <row r="77" spans="2:14" ht="22.5" customHeight="1" x14ac:dyDescent="0.2">
      <c r="B77" s="6">
        <v>73</v>
      </c>
      <c r="C77" s="8" t="s">
        <v>74</v>
      </c>
      <c r="D77" s="14" t="s">
        <v>90</v>
      </c>
      <c r="E77" s="7">
        <f>'[75]MD20000.18-DEC'!$C$1</f>
        <v>20000</v>
      </c>
      <c r="F77" s="8">
        <f>'[75]MD20000.18-DEC'!$K$1</f>
        <v>51</v>
      </c>
      <c r="G77" s="8">
        <f>'[75]MD20000.18-DEC'!$K$2</f>
        <v>69</v>
      </c>
      <c r="H77" s="8"/>
      <c r="I77" s="8"/>
      <c r="J77" s="9" t="s">
        <v>12</v>
      </c>
      <c r="K77" s="10">
        <f>'[75]MD20000.18-DEC'!$B$7</f>
        <v>45587</v>
      </c>
      <c r="L77" s="7">
        <f>'[75]MD20000.18-DEC'!$O$2</f>
        <v>10200</v>
      </c>
      <c r="M77" s="7">
        <f>'[75]MD20000.18-DEC'!$O$1</f>
        <v>13800</v>
      </c>
      <c r="N77" s="1">
        <v>1400</v>
      </c>
    </row>
    <row r="78" spans="2:14" ht="22.5" customHeight="1" x14ac:dyDescent="0.2">
      <c r="B78" s="6">
        <v>74</v>
      </c>
      <c r="C78" s="8" t="s">
        <v>102</v>
      </c>
      <c r="D78" s="14" t="s">
        <v>68</v>
      </c>
      <c r="E78" s="7">
        <f>'[76]MD20000.18-DEC'!$C$1</f>
        <v>10000</v>
      </c>
      <c r="F78" s="8">
        <f>'[76]MD20000.18-DEC'!$K$1</f>
        <v>104</v>
      </c>
      <c r="G78" s="8">
        <f>'[76]MD20000.18-DEC'!$K$2</f>
        <v>16</v>
      </c>
      <c r="H78" s="8"/>
      <c r="I78" s="8"/>
      <c r="J78" s="9" t="s">
        <v>12</v>
      </c>
      <c r="K78" s="10">
        <f>'[76]MD20000.18-DEC'!$B$3</f>
        <v>45584</v>
      </c>
      <c r="L78" s="7">
        <f>'[76]MD20000.18-DEC'!$O$2</f>
        <v>10400</v>
      </c>
      <c r="M78" s="7">
        <f>'[76]MD20000.18-DEC'!$O$1</f>
        <v>1600</v>
      </c>
      <c r="N78" s="1">
        <v>700</v>
      </c>
    </row>
    <row r="79" spans="2:14" ht="22.5" customHeight="1" x14ac:dyDescent="0.2">
      <c r="B79" s="6">
        <v>75</v>
      </c>
      <c r="C79" s="8" t="s">
        <v>14</v>
      </c>
      <c r="D79" s="14" t="s">
        <v>68</v>
      </c>
      <c r="E79" s="7">
        <f>'[77]MD20000.18-DEC'!$C$1</f>
        <v>10000</v>
      </c>
      <c r="F79" s="8">
        <f>'[77]MD20000.18-DEC'!$K$1</f>
        <v>82</v>
      </c>
      <c r="G79" s="8">
        <f>'[77]MD20000.18-DEC'!$K$2</f>
        <v>38</v>
      </c>
      <c r="H79" s="8"/>
      <c r="I79" s="8"/>
      <c r="J79" s="9" t="s">
        <v>12</v>
      </c>
      <c r="K79" s="10">
        <f>'[77]MD20000.18-DEC'!$B$3</f>
        <v>45584</v>
      </c>
      <c r="L79" s="7">
        <f>'[77]MD20000.18-DEC'!$O$2</f>
        <v>8200</v>
      </c>
      <c r="M79" s="7">
        <f>'[77]MD20000.18-DEC'!$O$1</f>
        <v>3800</v>
      </c>
      <c r="N79" s="1">
        <v>700</v>
      </c>
    </row>
    <row r="80" spans="2:14" ht="22.5" customHeight="1" x14ac:dyDescent="0.2">
      <c r="B80" s="17">
        <v>76</v>
      </c>
      <c r="C80" s="18" t="s">
        <v>103</v>
      </c>
      <c r="D80" s="18" t="s">
        <v>68</v>
      </c>
      <c r="E80" s="19">
        <f>'[78]MD20000.18-DEC'!$C$1</f>
        <v>10000</v>
      </c>
      <c r="F80" s="20">
        <f>'[78]MD20000.18-DEC'!$K$1</f>
        <v>0</v>
      </c>
      <c r="G80" s="20">
        <f>'[78]MD20000.18-DEC'!$K$2</f>
        <v>120</v>
      </c>
      <c r="H80" s="20"/>
      <c r="I80" s="20"/>
      <c r="J80" s="21" t="s">
        <v>12</v>
      </c>
      <c r="K80" s="22">
        <f>'[78]MD20000.18-DEC'!$B$3</f>
        <v>45587</v>
      </c>
      <c r="L80" s="19">
        <f>'[78]MD20000.18-DEC'!$O$2</f>
        <v>0</v>
      </c>
      <c r="M80" s="19">
        <f>'[78]MD20000.18-DEC'!$O$1</f>
        <v>12000</v>
      </c>
    </row>
    <row r="81" spans="2:14" ht="22.5" customHeight="1" x14ac:dyDescent="0.2">
      <c r="B81" s="6">
        <v>77</v>
      </c>
      <c r="C81" s="8" t="s">
        <v>104</v>
      </c>
      <c r="D81" s="10" t="s">
        <v>52</v>
      </c>
      <c r="E81" s="7">
        <f>'[79]MD20000.15-DEc'!$C$1</f>
        <v>20000</v>
      </c>
      <c r="F81" s="8"/>
      <c r="G81" s="8"/>
      <c r="H81" s="8">
        <f>'[79]MD20000.15-DEc'!$K$1</f>
        <v>8</v>
      </c>
      <c r="I81" s="8">
        <f>'[79]MD20000.15-DEc'!$K$2</f>
        <v>9</v>
      </c>
      <c r="J81" s="9" t="s">
        <v>12</v>
      </c>
      <c r="K81" s="10">
        <f>'[79]MD20000.15-DEc'!$B$3</f>
        <v>45595</v>
      </c>
      <c r="L81" s="7">
        <f>'[79]MD20000.15-DEc'!$O$2</f>
        <v>11200</v>
      </c>
      <c r="M81" s="7">
        <f>'[79]MD20000.15-DEc'!$O$1</f>
        <v>12800</v>
      </c>
      <c r="N81" s="1">
        <v>1400</v>
      </c>
    </row>
    <row r="82" spans="2:14" ht="22.5" customHeight="1" x14ac:dyDescent="0.2">
      <c r="B82" s="6">
        <v>78</v>
      </c>
      <c r="C82" s="8" t="s">
        <v>105</v>
      </c>
      <c r="D82" s="14" t="s">
        <v>106</v>
      </c>
      <c r="E82" s="7">
        <f>'[80]MD10000.10-JAN'!$C$1</f>
        <v>20000</v>
      </c>
      <c r="F82" s="8"/>
      <c r="G82" s="8"/>
      <c r="H82" s="8">
        <f>'[80]MD10000.10-JAN'!$K$1</f>
        <v>9</v>
      </c>
      <c r="I82" s="8">
        <f>'[80]MD10000.10-JAN'!$K$2</f>
        <v>8</v>
      </c>
      <c r="J82" s="9" t="s">
        <v>12</v>
      </c>
      <c r="K82" s="10">
        <f>'[80]MD10000.10-JAN'!$B$3</f>
        <v>45602</v>
      </c>
      <c r="L82" s="7">
        <f>'[80]MD10000.10-JAN'!$O$2</f>
        <v>12600</v>
      </c>
      <c r="M82" s="7">
        <f>'[80]MD10000.10-JAN'!$O$1</f>
        <v>11400</v>
      </c>
      <c r="N82" s="1">
        <v>1400</v>
      </c>
    </row>
    <row r="83" spans="2:14" ht="22.5" customHeight="1" x14ac:dyDescent="0.2">
      <c r="B83" s="17">
        <v>79</v>
      </c>
      <c r="C83" s="18" t="s">
        <v>107</v>
      </c>
      <c r="D83" s="18" t="s">
        <v>90</v>
      </c>
      <c r="E83" s="19">
        <f>'[81]MD20000.22-DEC'!$C$1</f>
        <v>20000</v>
      </c>
      <c r="F83" s="20">
        <f>'[81]MD20000.22-DEC'!$K$1</f>
        <v>0</v>
      </c>
      <c r="G83" s="20">
        <f>'[81]MD20000.22-DEC'!$K$2</f>
        <v>120</v>
      </c>
      <c r="H83" s="20"/>
      <c r="I83" s="20"/>
      <c r="J83" s="21" t="s">
        <v>12</v>
      </c>
      <c r="K83" s="22">
        <f>'[81]MD20000.22-DEC'!$B$3</f>
        <v>45597</v>
      </c>
      <c r="L83" s="19">
        <f>'[81]MD20000.22-DEC'!$O$2</f>
        <v>0</v>
      </c>
      <c r="M83" s="19">
        <f>'[81]MD20000.22-DEC'!$O$1</f>
        <v>24000</v>
      </c>
    </row>
    <row r="84" spans="2:14" ht="22.5" customHeight="1" x14ac:dyDescent="0.2">
      <c r="B84" s="17">
        <v>80</v>
      </c>
      <c r="C84" s="18" t="s">
        <v>108</v>
      </c>
      <c r="D84" s="18" t="s">
        <v>80</v>
      </c>
      <c r="E84" s="19">
        <f>'[82]MD20000.18-DEC'!$C$1</f>
        <v>30000</v>
      </c>
      <c r="F84" s="20">
        <f>'[82]MD20000.18-DEC'!$K$1</f>
        <v>0</v>
      </c>
      <c r="G84" s="20">
        <f>'[82]MD20000.18-DEC'!$K$2</f>
        <v>120</v>
      </c>
      <c r="H84" s="20"/>
      <c r="I84" s="20"/>
      <c r="J84" s="21" t="s">
        <v>12</v>
      </c>
      <c r="K84" s="22">
        <f>'[82]MD20000.18-DEC'!$B$3</f>
        <v>45602</v>
      </c>
      <c r="L84" s="19">
        <f>'[82]MD20000.18-DEC'!$O$2</f>
        <v>0</v>
      </c>
      <c r="M84" s="19">
        <f>'[82]MD20000.18-DEC'!$O$1</f>
        <v>36000</v>
      </c>
    </row>
    <row r="85" spans="2:14" ht="22.5" customHeight="1" x14ac:dyDescent="0.2">
      <c r="B85" s="23">
        <v>81</v>
      </c>
      <c r="C85" s="24" t="s">
        <v>64</v>
      </c>
      <c r="D85" s="25" t="s">
        <v>109</v>
      </c>
      <c r="E85" s="26">
        <f>'[83]MD20000.18-DEC'!$C$1</f>
        <v>50000</v>
      </c>
      <c r="F85" s="24">
        <f>'[83]MD20000.18-DEC'!$K$1</f>
        <v>100</v>
      </c>
      <c r="G85" s="24">
        <f>'[83]MD20000.18-DEC'!$K$2</f>
        <v>20</v>
      </c>
      <c r="H85" s="24"/>
      <c r="I85" s="24"/>
      <c r="J85" s="27" t="s">
        <v>12</v>
      </c>
      <c r="K85" s="25">
        <f>'[83]MD20000.18-DEC'!$B$3</f>
        <v>45612</v>
      </c>
      <c r="L85" s="26">
        <f>'[83]MD20000.18-DEC'!$O$2</f>
        <v>50000</v>
      </c>
      <c r="M85" s="26">
        <f>'[83]MD20000.18-DEC'!$O$1</f>
        <v>10000</v>
      </c>
    </row>
    <row r="86" spans="2:14" ht="22.5" customHeight="1" x14ac:dyDescent="0.2">
      <c r="B86" s="6">
        <v>82</v>
      </c>
      <c r="C86" s="8" t="s">
        <v>110</v>
      </c>
      <c r="D86" s="14" t="s">
        <v>68</v>
      </c>
      <c r="E86" s="7">
        <f>'[84]MD20000.18-DEC'!$C$1</f>
        <v>10000</v>
      </c>
      <c r="F86" s="8">
        <f>'[84]MD20000.18-DEC'!$K$1</f>
        <v>78</v>
      </c>
      <c r="G86" s="8">
        <f>'[84]MD20000.18-DEC'!$K$2</f>
        <v>42</v>
      </c>
      <c r="H86" s="8"/>
      <c r="I86" s="8"/>
      <c r="J86" s="9" t="s">
        <v>12</v>
      </c>
      <c r="K86" s="10">
        <f>'[84]MD20000.18-DEC'!$B$3</f>
        <v>45612</v>
      </c>
      <c r="L86" s="7">
        <f>'[84]MD20000.18-DEC'!$O$2</f>
        <v>7800</v>
      </c>
      <c r="M86" s="7">
        <f>'[84]MD20000.18-DEC'!$O$1</f>
        <v>4200</v>
      </c>
      <c r="N86" s="1">
        <v>700</v>
      </c>
    </row>
    <row r="87" spans="2:14" ht="22.5" customHeight="1" x14ac:dyDescent="0.2">
      <c r="B87" s="6">
        <v>83</v>
      </c>
      <c r="C87" s="8" t="s">
        <v>23</v>
      </c>
      <c r="D87" s="14" t="s">
        <v>111</v>
      </c>
      <c r="E87" s="7">
        <f>'[85]MD50000.15-DEC'!$C$1</f>
        <v>100000</v>
      </c>
      <c r="F87" s="8">
        <f>'[85]MD50000.15-DEC'!$K$1</f>
        <v>245</v>
      </c>
      <c r="G87" s="8">
        <f>'[85]MD50000.15-DEC'!$K$2</f>
        <v>22</v>
      </c>
      <c r="H87" s="8"/>
      <c r="I87" s="8"/>
      <c r="J87" s="9" t="s">
        <v>12</v>
      </c>
      <c r="K87" s="10">
        <f>'[85]MD50000.15-DEC'!$B$3</f>
        <v>45619</v>
      </c>
      <c r="L87" s="7">
        <f>'[85]MD50000.15-DEC'!$O$2</f>
        <v>147000</v>
      </c>
      <c r="M87" s="7">
        <f>'[85]MD50000.15-DEC'!$O$1</f>
        <v>13200</v>
      </c>
      <c r="N87" s="1">
        <v>4200</v>
      </c>
    </row>
    <row r="88" spans="2:14" ht="22.5" customHeight="1" x14ac:dyDescent="0.2">
      <c r="B88" s="6">
        <v>84</v>
      </c>
      <c r="C88" s="8" t="s">
        <v>112</v>
      </c>
      <c r="D88" s="14" t="s">
        <v>96</v>
      </c>
      <c r="E88" s="7">
        <f>'[86]MD20000.18-DEC'!$C$1</f>
        <v>50000</v>
      </c>
      <c r="F88" s="8">
        <f>'[86]MD20000.18-DEC'!$K$1</f>
        <v>92</v>
      </c>
      <c r="G88" s="8">
        <f>'[86]MD20000.18-DEC'!$K$2</f>
        <v>28</v>
      </c>
      <c r="H88" s="8"/>
      <c r="I88" s="8"/>
      <c r="J88" s="9" t="s">
        <v>12</v>
      </c>
      <c r="K88" s="10">
        <f>'[86]MD20000.18-DEC'!$B$3</f>
        <v>45628</v>
      </c>
      <c r="L88" s="7">
        <f>'[86]MD20000.18-DEC'!$O$2</f>
        <v>46000</v>
      </c>
      <c r="M88" s="7">
        <f>'[86]MD20000.18-DEC'!$O$1</f>
        <v>14000</v>
      </c>
      <c r="N88" s="1">
        <v>3500</v>
      </c>
    </row>
    <row r="89" spans="2:14" ht="22.5" customHeight="1" x14ac:dyDescent="0.2">
      <c r="B89" s="17">
        <v>85</v>
      </c>
      <c r="C89" s="18" t="s">
        <v>113</v>
      </c>
      <c r="D89" s="18" t="s">
        <v>80</v>
      </c>
      <c r="E89" s="19">
        <f>'[87]MD20000.18-DEC'!$C$1</f>
        <v>30000</v>
      </c>
      <c r="F89" s="20">
        <f>'[87]MD20000.18-DEC'!$K$1</f>
        <v>0</v>
      </c>
      <c r="G89" s="20">
        <f>'[87]MD20000.18-DEC'!$K$2</f>
        <v>120</v>
      </c>
      <c r="H89" s="20"/>
      <c r="I89" s="20"/>
      <c r="J89" s="21" t="s">
        <v>12</v>
      </c>
      <c r="K89" s="22">
        <f>'[87]MD20000.18-DEC'!$B$3</f>
        <v>45647</v>
      </c>
      <c r="L89" s="19">
        <f>'[87]MD20000.18-DEC'!$O$2</f>
        <v>0</v>
      </c>
      <c r="M89" s="19">
        <f>'[87]MD20000.18-DEC'!$O$1</f>
        <v>36000</v>
      </c>
    </row>
    <row r="90" spans="2:14" ht="22.5" customHeight="1" x14ac:dyDescent="0.2">
      <c r="B90" s="6">
        <v>86</v>
      </c>
      <c r="C90" s="8" t="s">
        <v>114</v>
      </c>
      <c r="D90" s="14" t="s">
        <v>68</v>
      </c>
      <c r="E90" s="7">
        <f>'[88]MD20000.18-DEC'!$C$1</f>
        <v>10000</v>
      </c>
      <c r="F90" s="8">
        <f>'[88]MD20000.18-DEC'!$K$1</f>
        <v>99</v>
      </c>
      <c r="G90" s="8">
        <f>'[88]MD20000.18-DEC'!$K$2</f>
        <v>21</v>
      </c>
      <c r="H90" s="8"/>
      <c r="I90" s="8"/>
      <c r="J90" s="9" t="s">
        <v>12</v>
      </c>
      <c r="K90" s="10">
        <f>'[88]MD20000.18-DEC'!$B$3</f>
        <v>45635</v>
      </c>
      <c r="L90" s="7">
        <f>'[88]MD20000.18-DEC'!$O$2</f>
        <v>9900</v>
      </c>
      <c r="M90" s="7">
        <f>'[88]MD20000.18-DEC'!$O$1</f>
        <v>2100</v>
      </c>
      <c r="N90" s="1">
        <v>700</v>
      </c>
    </row>
    <row r="91" spans="2:14" ht="22.5" customHeight="1" x14ac:dyDescent="0.2">
      <c r="B91" s="6">
        <v>87</v>
      </c>
      <c r="C91" s="8" t="s">
        <v>115</v>
      </c>
      <c r="D91" s="14" t="s">
        <v>68</v>
      </c>
      <c r="E91" s="7">
        <f>'[89]MD20000.18-DEC'!$C$1</f>
        <v>10000</v>
      </c>
      <c r="F91" s="8">
        <f>'[89]MD20000.18-DEC'!$K$1</f>
        <v>99</v>
      </c>
      <c r="G91" s="8">
        <f>'[89]MD20000.18-DEC'!$K$2</f>
        <v>21</v>
      </c>
      <c r="H91" s="8"/>
      <c r="I91" s="8"/>
      <c r="J91" s="9" t="s">
        <v>12</v>
      </c>
      <c r="K91" s="10">
        <f>'[89]MD20000.18-DEC'!$B$3</f>
        <v>45635</v>
      </c>
      <c r="L91" s="7">
        <f>'[89]MD20000.18-DEC'!$O$2</f>
        <v>9900</v>
      </c>
      <c r="M91" s="7">
        <f>'[89]MD20000.18-DEC'!$O$1</f>
        <v>2100</v>
      </c>
      <c r="N91" s="1">
        <v>700</v>
      </c>
    </row>
    <row r="92" spans="2:14" ht="22.5" customHeight="1" x14ac:dyDescent="0.2">
      <c r="B92" s="6">
        <v>88</v>
      </c>
      <c r="C92" s="8" t="s">
        <v>116</v>
      </c>
      <c r="D92" s="14" t="s">
        <v>117</v>
      </c>
      <c r="E92" s="7">
        <f>'[90]MD50000.15-DEC'!$C$1</f>
        <v>200000</v>
      </c>
      <c r="F92" s="8">
        <f>'[90]MD50000.15-DEC'!$K$1</f>
        <v>263</v>
      </c>
      <c r="G92" s="8">
        <f>'[90]MD50000.15-DEC'!$K$2</f>
        <v>4</v>
      </c>
      <c r="H92" s="8"/>
      <c r="I92" s="8"/>
      <c r="J92" s="9" t="s">
        <v>12</v>
      </c>
      <c r="K92" s="10">
        <f>'[90]MD50000.15-DEC'!$B$3</f>
        <v>45648</v>
      </c>
      <c r="L92" s="7">
        <f>'[90]MD50000.15-DEC'!$O$2</f>
        <v>315600</v>
      </c>
      <c r="M92" s="7">
        <f>'[90]MD50000.15-DEC'!$O$1</f>
        <v>4800</v>
      </c>
      <c r="N92" s="1">
        <v>8400</v>
      </c>
    </row>
    <row r="93" spans="2:14" ht="22.5" customHeight="1" x14ac:dyDescent="0.2">
      <c r="B93" s="6">
        <v>89</v>
      </c>
      <c r="C93" s="8" t="s">
        <v>118</v>
      </c>
      <c r="D93" s="10" t="s">
        <v>119</v>
      </c>
      <c r="E93" s="7">
        <f>'[91]MD20000.15-DEc'!$C$1</f>
        <v>10000</v>
      </c>
      <c r="F93" s="8"/>
      <c r="G93" s="8"/>
      <c r="H93" s="8">
        <f>'[91]MD20000.15-DEc'!$K$1</f>
        <v>14</v>
      </c>
      <c r="I93" s="8">
        <f>'[91]MD20000.15-DEc'!$K$2</f>
        <v>3</v>
      </c>
      <c r="J93" s="9" t="s">
        <v>12</v>
      </c>
      <c r="K93" s="10">
        <f>'[91]MD20000.15-DEc'!$B$3</f>
        <v>45649</v>
      </c>
      <c r="L93" s="7">
        <f>'[91]MD20000.15-DEc'!$O$2</f>
        <v>9900</v>
      </c>
      <c r="M93" s="7">
        <f>'[91]MD20000.15-DEc'!$O$1</f>
        <v>2100</v>
      </c>
      <c r="N93" s="1">
        <v>700</v>
      </c>
    </row>
    <row r="94" spans="2:14" ht="22.5" customHeight="1" x14ac:dyDescent="0.2">
      <c r="B94" s="6">
        <v>90</v>
      </c>
      <c r="C94" s="8" t="s">
        <v>120</v>
      </c>
      <c r="D94" s="14" t="s">
        <v>96</v>
      </c>
      <c r="E94" s="7">
        <f>'[92]MD50000.15-DEC'!$C$1</f>
        <v>50000</v>
      </c>
      <c r="F94" s="8">
        <f>'[92]MD50000.15-DEC'!$K$1</f>
        <v>118</v>
      </c>
      <c r="G94" s="8">
        <f>'[92]MD50000.15-DEC'!$K$2</f>
        <v>2</v>
      </c>
      <c r="H94" s="8"/>
      <c r="I94" s="8"/>
      <c r="J94" s="9" t="s">
        <v>12</v>
      </c>
      <c r="K94" s="10">
        <f>'[92]MD50000.15-DEC'!$B$3</f>
        <v>45652</v>
      </c>
      <c r="L94" s="7">
        <f>'[92]MD50000.15-DEC'!$O$2</f>
        <v>59000</v>
      </c>
      <c r="M94" s="7">
        <f>'[92]MD50000.15-DEC'!$O$1</f>
        <v>1000</v>
      </c>
      <c r="N94" s="1">
        <v>3500</v>
      </c>
    </row>
    <row r="95" spans="2:14" ht="22.5" customHeight="1" x14ac:dyDescent="0.2">
      <c r="B95" s="6">
        <v>91</v>
      </c>
      <c r="C95" s="8"/>
      <c r="D95" s="14"/>
      <c r="E95" s="7"/>
      <c r="F95" s="8"/>
      <c r="G95" s="8"/>
      <c r="H95" s="8"/>
      <c r="I95" s="8"/>
      <c r="J95" s="9"/>
      <c r="K95" s="10"/>
      <c r="L95" s="7"/>
      <c r="M95" s="7"/>
    </row>
    <row r="96" spans="2:14" ht="22.5" customHeight="1" x14ac:dyDescent="0.2">
      <c r="B96" s="6">
        <v>92</v>
      </c>
      <c r="C96" s="8"/>
      <c r="D96" s="14"/>
      <c r="E96" s="7"/>
      <c r="F96" s="8"/>
      <c r="G96" s="8"/>
      <c r="H96" s="8"/>
      <c r="I96" s="8"/>
      <c r="J96" s="9"/>
      <c r="K96" s="10"/>
      <c r="L96" s="7"/>
      <c r="M96" s="7"/>
    </row>
    <row r="97" spans="2:13" ht="22.5" customHeight="1" x14ac:dyDescent="0.2">
      <c r="B97" s="6">
        <v>93</v>
      </c>
      <c r="C97" s="8"/>
      <c r="D97" s="14"/>
      <c r="E97" s="7"/>
      <c r="F97" s="8"/>
      <c r="G97" s="8"/>
      <c r="H97" s="8"/>
      <c r="I97" s="8"/>
      <c r="J97" s="9"/>
      <c r="K97" s="10"/>
      <c r="L97" s="7"/>
      <c r="M97" s="7"/>
    </row>
    <row r="98" spans="2:13" ht="22.5" customHeight="1" x14ac:dyDescent="0.2">
      <c r="B98" s="6">
        <v>94</v>
      </c>
      <c r="C98" s="8"/>
      <c r="D98" s="14"/>
      <c r="E98" s="7"/>
      <c r="F98" s="8"/>
      <c r="G98" s="8"/>
      <c r="H98" s="8"/>
      <c r="I98" s="8"/>
      <c r="J98" s="9"/>
      <c r="K98" s="10"/>
      <c r="L98" s="7"/>
      <c r="M98" s="7"/>
    </row>
    <row r="99" spans="2:13" ht="22.5" customHeight="1" x14ac:dyDescent="0.2">
      <c r="B99" s="6">
        <v>95</v>
      </c>
      <c r="C99" s="8"/>
      <c r="D99" s="14"/>
      <c r="E99" s="7"/>
      <c r="F99" s="8"/>
      <c r="G99" s="8"/>
      <c r="H99" s="8"/>
      <c r="I99" s="8"/>
      <c r="J99" s="9"/>
      <c r="K99" s="10"/>
      <c r="L99" s="7"/>
      <c r="M99" s="7"/>
    </row>
    <row r="100" spans="2:13" ht="22.5" customHeight="1" x14ac:dyDescent="0.2">
      <c r="B100" s="6">
        <v>96</v>
      </c>
      <c r="C100" s="8"/>
      <c r="D100" s="14"/>
      <c r="E100" s="7"/>
      <c r="F100" s="8"/>
      <c r="G100" s="8"/>
      <c r="H100" s="8"/>
      <c r="I100" s="8"/>
      <c r="J100" s="9"/>
      <c r="K100" s="10"/>
      <c r="L100" s="7"/>
      <c r="M100" s="7"/>
    </row>
  </sheetData>
  <mergeCells count="3">
    <mergeCell ref="L2:M2"/>
    <mergeCell ref="I2:K2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2024-12-29T04:27:21Z</dcterms:modified>
</cp:coreProperties>
</file>