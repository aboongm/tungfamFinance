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</externalReferences>
  <calcPr calcId="145621" iterateDelta="1E-4"/>
</workbook>
</file>

<file path=xl/calcChain.xml><?xml version="1.0" encoding="utf-8"?>
<calcChain xmlns="http://schemas.openxmlformats.org/spreadsheetml/2006/main">
  <c r="M50" i="7" l="1"/>
  <c r="L50" i="7"/>
  <c r="K50" i="7"/>
  <c r="I50" i="7"/>
  <c r="H50" i="7"/>
  <c r="E50" i="7"/>
  <c r="N2" i="7" l="1"/>
  <c r="M49" i="7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M42" i="7" l="1"/>
  <c r="L42" i="7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L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L2" i="7" s="1"/>
  <c r="O5" i="7" s="1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L2" i="6" s="1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<sst xmlns="http://schemas.openxmlformats.org/spreadsheetml/2006/main" count="436" uniqueCount="149">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</sst>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7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84" Type="http://schemas.openxmlformats.org/officeDocument/2006/relationships/externalLink" Target="externalLinks/externalLink82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6" Type="http://schemas.openxmlformats.org/officeDocument/2006/relationships/externalLink" Target="externalLinks/externalLink14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16" Type="http://schemas.openxmlformats.org/officeDocument/2006/relationships/externalLink" Target="externalLinks/externalLink114.xml"/><Relationship Id="rId124" Type="http://schemas.openxmlformats.org/officeDocument/2006/relationships/calcChain" Target="calcChain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11" Type="http://schemas.openxmlformats.org/officeDocument/2006/relationships/externalLink" Target="externalLinks/externalLink10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6%20bidyapat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100000</v>
          </cell>
          <cell r="K1">
            <v>12</v>
          </cell>
          <cell r="O1">
            <v>112000</v>
          </cell>
        </row>
        <row r="2">
          <cell r="K2">
            <v>28</v>
          </cell>
          <cell r="O2">
            <v>48000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11000</v>
          </cell>
        </row>
        <row r="2">
          <cell r="K2">
            <v>110</v>
          </cell>
          <cell r="O2">
            <v>1000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68</v>
          </cell>
          <cell r="O1">
            <v>5200</v>
          </cell>
        </row>
        <row r="2">
          <cell r="K2">
            <v>52</v>
          </cell>
          <cell r="O2">
            <v>6800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206</v>
          </cell>
          <cell r="O1">
            <v>36600</v>
          </cell>
        </row>
        <row r="2">
          <cell r="K2">
            <v>61</v>
          </cell>
          <cell r="O2">
            <v>123600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62</v>
          </cell>
          <cell r="O1">
            <v>29000</v>
          </cell>
        </row>
        <row r="2">
          <cell r="K2">
            <v>58</v>
          </cell>
          <cell r="O2">
            <v>31000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47</v>
          </cell>
          <cell r="O1">
            <v>7300</v>
          </cell>
        </row>
        <row r="2">
          <cell r="K2">
            <v>73</v>
          </cell>
          <cell r="O2">
            <v>4700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99</v>
          </cell>
          <cell r="O1">
            <v>7350</v>
          </cell>
        </row>
        <row r="2">
          <cell r="K2">
            <v>21</v>
          </cell>
          <cell r="O2">
            <v>34650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44</v>
          </cell>
          <cell r="O1">
            <v>15200</v>
          </cell>
        </row>
        <row r="2">
          <cell r="K2">
            <v>76</v>
          </cell>
          <cell r="O2">
            <v>8800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12600</v>
          </cell>
        </row>
        <row r="2">
          <cell r="K2">
            <v>9</v>
          </cell>
          <cell r="O2">
            <v>11200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50</v>
          </cell>
          <cell r="O1">
            <v>14000</v>
          </cell>
        </row>
        <row r="2">
          <cell r="K2">
            <v>70</v>
          </cell>
          <cell r="O2">
            <v>10000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12600</v>
          </cell>
        </row>
        <row r="2">
          <cell r="K2">
            <v>9</v>
          </cell>
          <cell r="O2">
            <v>11200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81</v>
          </cell>
          <cell r="O1">
            <v>7800</v>
          </cell>
        </row>
        <row r="2">
          <cell r="K2">
            <v>39</v>
          </cell>
          <cell r="O2">
            <v>16200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11</v>
          </cell>
          <cell r="O1">
            <v>8400</v>
          </cell>
        </row>
        <row r="2">
          <cell r="K2">
            <v>6</v>
          </cell>
          <cell r="O2">
            <v>15400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94</v>
          </cell>
          <cell r="O1">
            <v>7800</v>
          </cell>
        </row>
        <row r="2">
          <cell r="K2">
            <v>26</v>
          </cell>
          <cell r="O2">
            <v>28200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104</v>
          </cell>
          <cell r="O1">
            <v>1600</v>
          </cell>
        </row>
        <row r="2">
          <cell r="K2">
            <v>16</v>
          </cell>
          <cell r="O2">
            <v>10400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104</v>
          </cell>
          <cell r="O1">
            <v>1600</v>
          </cell>
        </row>
        <row r="2">
          <cell r="K2">
            <v>16</v>
          </cell>
          <cell r="O2">
            <v>10400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104</v>
          </cell>
          <cell r="O1">
            <v>1600</v>
          </cell>
        </row>
        <row r="2">
          <cell r="K2">
            <v>16</v>
          </cell>
          <cell r="O2">
            <v>10400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109</v>
          </cell>
          <cell r="O1">
            <v>5500</v>
          </cell>
        </row>
        <row r="2">
          <cell r="K2">
            <v>11</v>
          </cell>
          <cell r="O2">
            <v>54500</v>
          </cell>
        </row>
        <row r="3">
          <cell r="B3">
            <v>45769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116</v>
          </cell>
          <cell r="O1">
            <v>800</v>
          </cell>
        </row>
        <row r="2">
          <cell r="K2">
            <v>4</v>
          </cell>
          <cell r="O2">
            <v>23200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11900</v>
          </cell>
        </row>
        <row r="3">
          <cell r="B3"/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15</v>
          </cell>
          <cell r="O1">
            <v>700</v>
          </cell>
        </row>
        <row r="2">
          <cell r="K2">
            <v>2</v>
          </cell>
          <cell r="O2">
            <v>5250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16</v>
          </cell>
          <cell r="O1">
            <v>1400</v>
          </cell>
        </row>
        <row r="2">
          <cell r="K2">
            <v>1</v>
          </cell>
          <cell r="O2">
            <v>22400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16</v>
          </cell>
          <cell r="O1">
            <v>1400</v>
          </cell>
        </row>
        <row r="2">
          <cell r="K2">
            <v>1</v>
          </cell>
          <cell r="O2">
            <v>22400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16</v>
          </cell>
          <cell r="O1">
            <v>1400</v>
          </cell>
        </row>
        <row r="2">
          <cell r="K2">
            <v>1</v>
          </cell>
          <cell r="O2">
            <v>22400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115</v>
          </cell>
          <cell r="O1">
            <v>1000</v>
          </cell>
        </row>
        <row r="2">
          <cell r="K2">
            <v>5</v>
          </cell>
          <cell r="O2">
            <v>23000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11900</v>
          </cell>
        </row>
        <row r="3">
          <cell r="B3"/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23800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63"/>
  <sheetViews>
    <sheetView tabSelected="1" zoomScale="70" zoomScaleNormal="70" workbookViewId="0">
      <selection activeCell="O5" sqref="O5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5.5703125" style="1" customWidth="1"/>
    <col min="16" max="17" width="15.85546875" style="1" bestFit="1" customWidth="1"/>
    <col min="18" max="16384" width="9.140625" style="1"/>
  </cols>
  <sheetData>
    <row r="2" spans="2:17" ht="22.5" customHeight="1" x14ac:dyDescent="0.2">
      <c r="B2" s="30" t="s">
        <v>8</v>
      </c>
      <c r="C2" s="31"/>
      <c r="I2" s="32" t="s">
        <v>21</v>
      </c>
      <c r="J2" s="33"/>
      <c r="K2" s="34"/>
      <c r="L2" s="35">
        <f>SUM(L5:L69)</f>
        <v>882200</v>
      </c>
      <c r="M2" s="36"/>
      <c r="N2" s="1">
        <f>SUM(N5:N66)</f>
        <v>51600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O4" s="1">
        <v>890950</v>
      </c>
      <c r="P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O5" s="28">
        <f>O4-L2</f>
        <v>8750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</row>
    <row r="10" spans="2:17" ht="22.5" customHeight="1" x14ac:dyDescent="0.2">
      <c r="B10" s="6">
        <v>68</v>
      </c>
      <c r="C10" s="8" t="s">
        <v>97</v>
      </c>
      <c r="D10" s="14" t="s">
        <v>98</v>
      </c>
      <c r="E10" s="7">
        <f>'[6]MD20000.18-DEC'!$C$1</f>
        <v>100000</v>
      </c>
      <c r="F10" s="8"/>
      <c r="G10" s="8"/>
      <c r="H10" s="8">
        <f>'[6]MD20000.18-DEC'!$K$1</f>
        <v>12</v>
      </c>
      <c r="I10" s="8">
        <f>'[6]MD20000.18-DEC'!$K$2</f>
        <v>28</v>
      </c>
      <c r="J10" s="9" t="s">
        <v>12</v>
      </c>
      <c r="K10" s="10">
        <f>'[6]MD20000.18-DEC'!$B$3</f>
        <v>45590</v>
      </c>
      <c r="L10" s="7">
        <f>'[6]MD20000.18-DEC'!$O$2</f>
        <v>48000</v>
      </c>
      <c r="M10" s="7">
        <f>'[6]MD20000.18-DEC'!$O$1</f>
        <v>112000</v>
      </c>
      <c r="N10" s="1">
        <v>4000</v>
      </c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</row>
    <row r="13" spans="2:17" ht="22.5" customHeight="1" x14ac:dyDescent="0.2">
      <c r="B13" s="6">
        <v>74</v>
      </c>
      <c r="C13" s="8" t="s">
        <v>102</v>
      </c>
      <c r="D13" s="14" t="s">
        <v>68</v>
      </c>
      <c r="E13" s="7">
        <f>'[10]MD20000.18-DEC'!$C$1</f>
        <v>10000</v>
      </c>
      <c r="F13" s="8">
        <f>'[10]MD20000.18-DEC'!$K$1</f>
        <v>10</v>
      </c>
      <c r="G13" s="8">
        <f>'[10]MD20000.18-DEC'!$K$2</f>
        <v>110</v>
      </c>
      <c r="H13" s="8"/>
      <c r="I13" s="8"/>
      <c r="J13" s="9" t="s">
        <v>12</v>
      </c>
      <c r="K13" s="10">
        <f>'[10]MD20000.18-DEC'!$B$3</f>
        <v>45584</v>
      </c>
      <c r="L13" s="7">
        <f>'[10]MD20000.18-DEC'!$O$2</f>
        <v>1000</v>
      </c>
      <c r="M13" s="7">
        <f>'[10]MD20000.18-DEC'!$O$1</f>
        <v>11000</v>
      </c>
      <c r="N13" s="29">
        <v>700</v>
      </c>
    </row>
    <row r="14" spans="2:17" ht="22.5" customHeight="1" x14ac:dyDescent="0.2">
      <c r="B14" s="6">
        <v>75</v>
      </c>
      <c r="C14" s="8" t="s">
        <v>14</v>
      </c>
      <c r="D14" s="14" t="s">
        <v>68</v>
      </c>
      <c r="E14" s="7">
        <f>'[11]MD20000.18-DEC'!$C$1</f>
        <v>10000</v>
      </c>
      <c r="F14" s="8">
        <f>'[11]MD20000.18-DEC'!$K$1</f>
        <v>68</v>
      </c>
      <c r="G14" s="8">
        <f>'[11]MD20000.18-DEC'!$K$2</f>
        <v>52</v>
      </c>
      <c r="H14" s="8"/>
      <c r="I14" s="8"/>
      <c r="J14" s="9" t="s">
        <v>12</v>
      </c>
      <c r="K14" s="10">
        <f>'[11]MD20000.18-DEC'!$B$3</f>
        <v>45584</v>
      </c>
      <c r="L14" s="7">
        <f>'[11]MD20000.18-DEC'!$O$2</f>
        <v>6800</v>
      </c>
      <c r="M14" s="7">
        <f>'[11]MD20000.18-DEC'!$O$1</f>
        <v>5200</v>
      </c>
      <c r="N14" s="29">
        <v>700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</row>
    <row r="17" spans="2:14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206</v>
      </c>
      <c r="G18" s="8">
        <f>'[15]MD50000.15-DEC'!$K$2</f>
        <v>61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123600</v>
      </c>
      <c r="M18" s="7">
        <f>'[15]MD50000.15-DEC'!$O$1</f>
        <v>36600</v>
      </c>
      <c r="N18" s="29">
        <v>4200</v>
      </c>
    </row>
    <row r="19" spans="2:14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</row>
    <row r="20" spans="2:14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</row>
    <row r="21" spans="2:14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223</v>
      </c>
      <c r="G22" s="8">
        <f>'[19]MD50000.15-DEC'!$K$2</f>
        <v>44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267600</v>
      </c>
      <c r="M22" s="7">
        <f>'[19]MD50000.15-DEC'!$O$1</f>
        <v>52800</v>
      </c>
      <c r="N22" s="29">
        <v>8400</v>
      </c>
    </row>
    <row r="23" spans="2:14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</row>
    <row r="24" spans="2:14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</row>
    <row r="25" spans="2:14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</row>
    <row r="26" spans="2:14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</row>
    <row r="27" spans="2:14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62</v>
      </c>
      <c r="G27" s="8">
        <f>'[24]MD20000.18-DEC'!$K$2</f>
        <v>58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31000</v>
      </c>
      <c r="M27" s="7">
        <f>'[24]MD20000.18-DEC'!$O$1</f>
        <v>29000</v>
      </c>
      <c r="N27" s="1">
        <v>3500</v>
      </c>
    </row>
    <row r="28" spans="2:14" ht="22.5" customHeight="1" x14ac:dyDescent="0.2">
      <c r="B28" s="6">
        <v>94</v>
      </c>
      <c r="C28" s="8" t="s">
        <v>70</v>
      </c>
      <c r="D28" s="14" t="s">
        <v>68</v>
      </c>
      <c r="E28" s="7">
        <f>'[25]MD20000.18-DEC'!$C$1</f>
        <v>10000</v>
      </c>
      <c r="F28" s="8">
        <f>'[25]MD20000.18-DEC'!$K$1</f>
        <v>47</v>
      </c>
      <c r="G28" s="8">
        <f>'[25]MD20000.18-DEC'!$K$2</f>
        <v>73</v>
      </c>
      <c r="H28" s="8"/>
      <c r="I28" s="8"/>
      <c r="J28" s="9" t="s">
        <v>12</v>
      </c>
      <c r="K28" s="10">
        <f>'[25]MD20000.18-DEC'!$B$3</f>
        <v>45690</v>
      </c>
      <c r="L28" s="7">
        <f>'[25]MD20000.18-DEC'!$O$2</f>
        <v>4700</v>
      </c>
      <c r="M28" s="7">
        <f>'[25]MD20000.18-DEC'!$O$1</f>
        <v>7300</v>
      </c>
      <c r="N28" s="1">
        <v>700</v>
      </c>
    </row>
    <row r="29" spans="2:14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99</v>
      </c>
      <c r="G29" s="8">
        <f>'[26]MD20000.18-DEC'!$K$2</f>
        <v>21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34650</v>
      </c>
      <c r="M29" s="7">
        <f>'[26]MD20000.18-DEC'!$O$1</f>
        <v>7350</v>
      </c>
      <c r="N29" s="1">
        <v>2450</v>
      </c>
    </row>
    <row r="30" spans="2:14" ht="22.5" customHeight="1" x14ac:dyDescent="0.2">
      <c r="B30" s="6">
        <v>96</v>
      </c>
      <c r="C30" s="8" t="s">
        <v>129</v>
      </c>
      <c r="D30" s="14" t="s">
        <v>90</v>
      </c>
      <c r="E30" s="7">
        <f>'[27]MD20000.18-DEC'!$C$1</f>
        <v>20000</v>
      </c>
      <c r="F30" s="8">
        <f>'[27]MD20000.18-DEC'!$K$1</f>
        <v>44</v>
      </c>
      <c r="G30" s="8">
        <f>'[27]MD20000.18-DEC'!$K$2</f>
        <v>76</v>
      </c>
      <c r="H30" s="8"/>
      <c r="I30" s="8"/>
      <c r="J30" s="9" t="s">
        <v>125</v>
      </c>
      <c r="K30" s="10">
        <f>'[27]MD20000.18-DEC'!$B$3</f>
        <v>45699</v>
      </c>
      <c r="L30" s="7">
        <f>'[27]MD20000.18-DEC'!$O$2</f>
        <v>8800</v>
      </c>
      <c r="M30" s="7">
        <f>'[27]MD20000.18-DEC'!$O$1</f>
        <v>15200</v>
      </c>
      <c r="N30" s="1">
        <v>1400</v>
      </c>
    </row>
    <row r="31" spans="2:14" ht="22.5" customHeight="1" x14ac:dyDescent="0.2">
      <c r="B31" s="6">
        <v>97</v>
      </c>
      <c r="C31" s="8" t="s">
        <v>55</v>
      </c>
      <c r="D31" s="10" t="s">
        <v>130</v>
      </c>
      <c r="E31" s="7">
        <f>'[28]MD50000.15-DEC'!$C$1</f>
        <v>20000</v>
      </c>
      <c r="F31" s="8"/>
      <c r="G31" s="8"/>
      <c r="H31" s="8">
        <f>'[28]MD50000.15-DEC'!$K$1</f>
        <v>17</v>
      </c>
      <c r="I31" s="8">
        <f>'[28]MD50000.15-DEC'!$K$2</f>
        <v>9</v>
      </c>
      <c r="J31" s="9" t="s">
        <v>12</v>
      </c>
      <c r="K31" s="10">
        <f>'[28]MD50000.15-DEC'!$B$3</f>
        <v>45726</v>
      </c>
      <c r="L31" s="7">
        <f>'[28]MD50000.15-DEC'!$O$2</f>
        <v>11200</v>
      </c>
      <c r="M31" s="7">
        <f>'[28]MD50000.15-DEC'!$O$1</f>
        <v>12600</v>
      </c>
      <c r="N31" s="1">
        <v>1400</v>
      </c>
    </row>
    <row r="32" spans="2:14" ht="22.5" customHeight="1" x14ac:dyDescent="0.2">
      <c r="B32" s="6">
        <v>98</v>
      </c>
      <c r="C32" s="8" t="s">
        <v>131</v>
      </c>
      <c r="D32" s="14" t="s">
        <v>90</v>
      </c>
      <c r="E32" s="7">
        <f>'[29]MD20000.18-DEC'!$C$1</f>
        <v>20000</v>
      </c>
      <c r="F32" s="8">
        <f>'[29]MD20000.18-DEC'!$K$1</f>
        <v>50</v>
      </c>
      <c r="G32" s="8">
        <f>'[29]MD20000.18-DEC'!$K$2</f>
        <v>70</v>
      </c>
      <c r="H32" s="8"/>
      <c r="I32" s="8"/>
      <c r="J32" s="9" t="s">
        <v>12</v>
      </c>
      <c r="K32" s="10">
        <f>'[29]MD20000.18-DEC'!$B$3</f>
        <v>45716</v>
      </c>
      <c r="L32" s="7">
        <f>'[29]MD20000.18-DEC'!$O$2</f>
        <v>10000</v>
      </c>
      <c r="M32" s="7">
        <f>'[29]MD20000.18-DEC'!$O$1</f>
        <v>14000</v>
      </c>
      <c r="N32" s="1">
        <v>1400</v>
      </c>
    </row>
    <row r="33" spans="2:14" ht="22.5" customHeight="1" x14ac:dyDescent="0.2">
      <c r="B33" s="6">
        <v>99</v>
      </c>
      <c r="C33" s="8" t="s">
        <v>132</v>
      </c>
      <c r="D33" s="10" t="s">
        <v>122</v>
      </c>
      <c r="E33" s="7">
        <f>'[30]MD50000.15-DEC'!$C$1</f>
        <v>20000</v>
      </c>
      <c r="F33" s="8"/>
      <c r="G33" s="8"/>
      <c r="H33" s="8">
        <f>'[30]MD50000.15-DEC'!$K$1</f>
        <v>17</v>
      </c>
      <c r="I33" s="8">
        <f>'[30]MD50000.15-DEC'!$K$2</f>
        <v>9</v>
      </c>
      <c r="J33" s="9" t="s">
        <v>12</v>
      </c>
      <c r="K33" s="10">
        <f>'[30]MD50000.15-DEC'!$B$3</f>
        <v>45726</v>
      </c>
      <c r="L33" s="7">
        <f>'[30]MD50000.15-DEC'!$O$2</f>
        <v>11200</v>
      </c>
      <c r="M33" s="7">
        <f>'[30]MD50000.15-DEC'!$O$1</f>
        <v>12600</v>
      </c>
      <c r="N33" s="1">
        <v>1400</v>
      </c>
    </row>
    <row r="34" spans="2:14" ht="22.5" customHeight="1" x14ac:dyDescent="0.2">
      <c r="B34" s="6">
        <v>100</v>
      </c>
      <c r="C34" s="8" t="s">
        <v>133</v>
      </c>
      <c r="D34" s="14" t="s">
        <v>90</v>
      </c>
      <c r="E34" s="7">
        <f>'[31]MD10000.1-OCT'!$C$1</f>
        <v>20000</v>
      </c>
      <c r="F34" s="8">
        <f>'[31]MD10000.1-OCT'!$K$1</f>
        <v>81</v>
      </c>
      <c r="G34" s="8">
        <f>'[31]MD10000.1-OCT'!$K$2</f>
        <v>39</v>
      </c>
      <c r="H34" s="8"/>
      <c r="I34" s="8"/>
      <c r="J34" s="9" t="s">
        <v>12</v>
      </c>
      <c r="K34" s="10">
        <f>'[31]MD10000.1-OCT'!$B$3</f>
        <v>45727</v>
      </c>
      <c r="L34" s="7">
        <f>'[31]MD10000.1-OCT'!$O$2</f>
        <v>16200</v>
      </c>
      <c r="M34" s="7">
        <f>'[31]MD10000.1-OCT'!$O$1</f>
        <v>7800</v>
      </c>
      <c r="N34" s="1">
        <v>1400</v>
      </c>
    </row>
    <row r="35" spans="2:14" ht="22.5" customHeight="1" x14ac:dyDescent="0.2">
      <c r="B35" s="6">
        <v>101</v>
      </c>
      <c r="C35" s="8" t="s">
        <v>57</v>
      </c>
      <c r="D35" s="14" t="s">
        <v>134</v>
      </c>
      <c r="E35" s="7">
        <f>'[32]MD10000.1-OCT'!$C$1</f>
        <v>20000</v>
      </c>
      <c r="F35" s="8"/>
      <c r="G35" s="8"/>
      <c r="H35" s="8">
        <f>'[32]MD10000.1-OCT'!$K$1</f>
        <v>11</v>
      </c>
      <c r="I35" s="8">
        <f>'[32]MD10000.1-OCT'!$K$2</f>
        <v>6</v>
      </c>
      <c r="J35" s="9" t="s">
        <v>12</v>
      </c>
      <c r="K35" s="10">
        <f>'[32]MD10000.1-OCT'!$B$3</f>
        <v>45718</v>
      </c>
      <c r="L35" s="7">
        <f>'[32]MD10000.1-OCT'!$O$2</f>
        <v>15400</v>
      </c>
      <c r="M35" s="7">
        <f>'[32]MD10000.1-OCT'!$O$1</f>
        <v>8400</v>
      </c>
      <c r="N35" s="1">
        <v>1400</v>
      </c>
    </row>
    <row r="36" spans="2:14" ht="22.5" customHeight="1" x14ac:dyDescent="0.2">
      <c r="B36" s="6">
        <v>102</v>
      </c>
      <c r="C36" s="8" t="s">
        <v>112</v>
      </c>
      <c r="D36" s="14" t="s">
        <v>135</v>
      </c>
      <c r="E36" s="7">
        <f>'[33]MD20000.18-DEC'!$C$1</f>
        <v>30000</v>
      </c>
      <c r="F36" s="8">
        <f>'[33]MD20000.18-DEC'!$K$1</f>
        <v>94</v>
      </c>
      <c r="G36" s="8">
        <f>'[33]MD20000.18-DEC'!$K$2</f>
        <v>26</v>
      </c>
      <c r="H36" s="8"/>
      <c r="I36" s="8"/>
      <c r="J36" s="9" t="s">
        <v>12</v>
      </c>
      <c r="K36" s="10">
        <f>'[33]MD20000.18-DEC'!$B$3</f>
        <v>45762</v>
      </c>
      <c r="L36" s="7">
        <f>'[33]MD20000.18-DEC'!$O$2</f>
        <v>28200</v>
      </c>
      <c r="M36" s="7">
        <f>'[33]MD20000.18-DEC'!$O$1</f>
        <v>7800</v>
      </c>
      <c r="N36" s="1">
        <v>2100</v>
      </c>
    </row>
    <row r="37" spans="2:14" ht="22.5" customHeight="1" x14ac:dyDescent="0.2">
      <c r="B37" s="6">
        <v>103</v>
      </c>
      <c r="C37" s="8" t="s">
        <v>136</v>
      </c>
      <c r="D37" s="14" t="s">
        <v>68</v>
      </c>
      <c r="E37" s="7">
        <f>'[34]MD20000.18-DEC'!$C$1</f>
        <v>10000</v>
      </c>
      <c r="F37" s="8">
        <f>'[34]MD20000.18-DEC'!$K$1</f>
        <v>104</v>
      </c>
      <c r="G37" s="8">
        <f>'[34]MD20000.18-DEC'!$K$2</f>
        <v>16</v>
      </c>
      <c r="H37" s="8"/>
      <c r="I37" s="8"/>
      <c r="J37" s="9" t="s">
        <v>12</v>
      </c>
      <c r="K37" s="10">
        <f>'[34]MD20000.18-DEC'!$B$3</f>
        <v>45772</v>
      </c>
      <c r="L37" s="7">
        <f>'[34]MD20000.18-DEC'!$O$2</f>
        <v>10400</v>
      </c>
      <c r="M37" s="7">
        <f>'[34]MD20000.18-DEC'!$O$1</f>
        <v>1600</v>
      </c>
      <c r="N37" s="1">
        <v>700</v>
      </c>
    </row>
    <row r="38" spans="2:14" ht="22.5" customHeight="1" x14ac:dyDescent="0.2">
      <c r="B38" s="6">
        <v>104</v>
      </c>
      <c r="C38" s="8" t="s">
        <v>137</v>
      </c>
      <c r="D38" s="14" t="s">
        <v>68</v>
      </c>
      <c r="E38" s="7">
        <f>'[35]MD20000.18-DEC'!$C$1</f>
        <v>10000</v>
      </c>
      <c r="F38" s="8">
        <f>'[35]MD20000.18-DEC'!$K$1</f>
        <v>104</v>
      </c>
      <c r="G38" s="8">
        <f>'[35]MD20000.18-DEC'!$K$2</f>
        <v>16</v>
      </c>
      <c r="H38" s="8"/>
      <c r="I38" s="8"/>
      <c r="J38" s="9" t="s">
        <v>12</v>
      </c>
      <c r="K38" s="10">
        <f>'[35]MD20000.18-DEC'!$B$3</f>
        <v>45772</v>
      </c>
      <c r="L38" s="7">
        <f>'[35]MD20000.18-DEC'!$O$2</f>
        <v>10400</v>
      </c>
      <c r="M38" s="7">
        <f>'[35]MD20000.18-DEC'!$O$1</f>
        <v>1600</v>
      </c>
      <c r="N38" s="1">
        <v>700</v>
      </c>
    </row>
    <row r="39" spans="2:14" ht="22.5" customHeight="1" x14ac:dyDescent="0.2">
      <c r="B39" s="6">
        <v>105</v>
      </c>
      <c r="C39" s="8" t="s">
        <v>138</v>
      </c>
      <c r="D39" s="14" t="s">
        <v>68</v>
      </c>
      <c r="E39" s="7">
        <f>'[36]MD20000.18-DEC'!$C$1</f>
        <v>10000</v>
      </c>
      <c r="F39" s="8">
        <f>'[36]MD20000.18-DEC'!$K$1</f>
        <v>104</v>
      </c>
      <c r="G39" s="8">
        <f>'[36]MD20000.18-DEC'!$K$2</f>
        <v>16</v>
      </c>
      <c r="H39" s="8"/>
      <c r="I39" s="8"/>
      <c r="J39" s="9" t="s">
        <v>12</v>
      </c>
      <c r="K39" s="10">
        <f>'[36]MD20000.18-DEC'!$B$3</f>
        <v>45772</v>
      </c>
      <c r="L39" s="7">
        <f>'[36]MD20000.18-DEC'!$O$2</f>
        <v>10400</v>
      </c>
      <c r="M39" s="7">
        <f>'[36]MD20000.18-DEC'!$O$1</f>
        <v>1600</v>
      </c>
      <c r="N39" s="1">
        <v>700</v>
      </c>
    </row>
    <row r="40" spans="2:14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109</v>
      </c>
      <c r="G40" s="8">
        <f>'[37]MD50000.15-DEC'!$K$2</f>
        <v>11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54500</v>
      </c>
      <c r="M40" s="7">
        <f>'[37]MD50000.15-DEC'!$O$1</f>
        <v>5500</v>
      </c>
      <c r="N40" s="1">
        <v>3500</v>
      </c>
    </row>
    <row r="41" spans="2:14" ht="22.5" customHeight="1" x14ac:dyDescent="0.2">
      <c r="B41" s="6">
        <v>107</v>
      </c>
      <c r="C41" s="8" t="s">
        <v>91</v>
      </c>
      <c r="D41" s="14" t="s">
        <v>90</v>
      </c>
      <c r="E41" s="7">
        <f>'[38]MD10000.1-OCT'!$C$1</f>
        <v>20000</v>
      </c>
      <c r="F41" s="8">
        <f>'[38]MD10000.1-OCT'!$K$1</f>
        <v>116</v>
      </c>
      <c r="G41" s="8">
        <f>'[38]MD10000.1-OCT'!$K$2</f>
        <v>4</v>
      </c>
      <c r="H41" s="8"/>
      <c r="I41" s="8"/>
      <c r="J41" s="9" t="s">
        <v>12</v>
      </c>
      <c r="K41" s="10">
        <f>'[38]MD10000.1-OCT'!$B$3</f>
        <v>45770</v>
      </c>
      <c r="L41" s="7">
        <f>'[38]MD10000.1-OCT'!$O$2</f>
        <v>23200</v>
      </c>
      <c r="M41" s="7">
        <f>'[38]MD10000.1-OCT'!$O$1</f>
        <v>800</v>
      </c>
      <c r="N41" s="1">
        <v>1400</v>
      </c>
    </row>
    <row r="42" spans="2:14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17</v>
      </c>
      <c r="I42" s="8">
        <f>'[39]MD20000.15-DEc'!$K$2</f>
        <v>0</v>
      </c>
      <c r="J42" s="9" t="s">
        <v>12</v>
      </c>
      <c r="K42" s="10">
        <f>'[39]MD20000.15-DEc'!$B$3</f>
        <v>0</v>
      </c>
      <c r="L42" s="7">
        <f>'[39]MD20000.15-DEc'!$O$2</f>
        <v>11900</v>
      </c>
      <c r="M42" s="7">
        <f>'[39]MD20000.15-DEc'!$O$1</f>
        <v>0</v>
      </c>
      <c r="N42" s="1">
        <v>700</v>
      </c>
    </row>
    <row r="43" spans="2:14" ht="22.5" customHeight="1" x14ac:dyDescent="0.2">
      <c r="B43" s="6">
        <v>109</v>
      </c>
      <c r="C43" s="8" t="s">
        <v>107</v>
      </c>
      <c r="D43" s="14" t="s">
        <v>140</v>
      </c>
      <c r="E43" s="7">
        <f>'[40]MD20000.15-DEc'!$C$1</f>
        <v>5000</v>
      </c>
      <c r="F43" s="8"/>
      <c r="G43" s="8"/>
      <c r="H43" s="8">
        <f>'[40]MD20000.15-DEc'!$K$1</f>
        <v>15</v>
      </c>
      <c r="I43" s="8">
        <f>'[40]MD20000.15-DEc'!$K$2</f>
        <v>2</v>
      </c>
      <c r="J43" s="9" t="s">
        <v>12</v>
      </c>
      <c r="K43" s="10">
        <f>'[40]MD20000.15-DEc'!$B$3</f>
        <v>45770</v>
      </c>
      <c r="L43" s="7">
        <f>'[40]MD20000.15-DEc'!$O$2</f>
        <v>5250</v>
      </c>
      <c r="M43" s="7">
        <f>'[40]MD20000.15-DEc'!$O$1</f>
        <v>700</v>
      </c>
      <c r="N43" s="1">
        <v>350</v>
      </c>
    </row>
    <row r="44" spans="2:14" ht="22.5" customHeight="1" x14ac:dyDescent="0.2">
      <c r="B44" s="6">
        <v>110</v>
      </c>
      <c r="C44" s="8" t="s">
        <v>141</v>
      </c>
      <c r="D44" s="14" t="s">
        <v>142</v>
      </c>
      <c r="E44" s="7">
        <f>'[41]MD50000.15-DEC'!$C$1</f>
        <v>20000</v>
      </c>
      <c r="F44" s="8"/>
      <c r="G44" s="8"/>
      <c r="H44" s="8">
        <f>'[41]MD50000.15-DEC'!$K$1</f>
        <v>16</v>
      </c>
      <c r="I44" s="8">
        <f>'[41]MD50000.15-DEC'!$K$2</f>
        <v>1</v>
      </c>
      <c r="J44" s="9" t="s">
        <v>12</v>
      </c>
      <c r="K44" s="10">
        <f>'[41]MD50000.15-DEC'!$B$3</f>
        <v>45779</v>
      </c>
      <c r="L44" s="7">
        <f>'[41]MD50000.15-DEC'!$O$2</f>
        <v>22400</v>
      </c>
      <c r="M44" s="7">
        <f>'[41]MD50000.15-DEC'!$O$1</f>
        <v>1400</v>
      </c>
      <c r="N44" s="1">
        <v>1400</v>
      </c>
    </row>
    <row r="45" spans="2:14" ht="22.5" customHeight="1" x14ac:dyDescent="0.2">
      <c r="B45" s="6">
        <v>111</v>
      </c>
      <c r="C45" s="8" t="s">
        <v>143</v>
      </c>
      <c r="D45" s="14" t="s">
        <v>142</v>
      </c>
      <c r="E45" s="7">
        <f>'[42]MD50000.15-DEC'!$C$1</f>
        <v>20000</v>
      </c>
      <c r="F45" s="8"/>
      <c r="G45" s="8"/>
      <c r="H45" s="8">
        <f>'[42]MD50000.15-DEC'!$K$1</f>
        <v>16</v>
      </c>
      <c r="I45" s="8">
        <f>'[42]MD50000.15-DEC'!$K$2</f>
        <v>1</v>
      </c>
      <c r="J45" s="9" t="s">
        <v>12</v>
      </c>
      <c r="K45" s="10">
        <f>'[42]MD50000.15-DEC'!$B$3</f>
        <v>45777</v>
      </c>
      <c r="L45" s="7">
        <f>'[42]MD50000.15-DEC'!$O$2</f>
        <v>22400</v>
      </c>
      <c r="M45" s="7">
        <f>'[42]MD50000.15-DEC'!$O$1</f>
        <v>1400</v>
      </c>
      <c r="N45" s="1">
        <v>1400</v>
      </c>
    </row>
    <row r="46" spans="2:14" ht="22.5" customHeight="1" x14ac:dyDescent="0.2">
      <c r="B46" s="6">
        <v>112</v>
      </c>
      <c r="C46" s="8" t="s">
        <v>121</v>
      </c>
      <c r="D46" s="14" t="s">
        <v>142</v>
      </c>
      <c r="E46" s="7">
        <f>'[43]MD50000.15-DEC'!$C$1</f>
        <v>20000</v>
      </c>
      <c r="F46" s="8"/>
      <c r="G46" s="8"/>
      <c r="H46" s="8">
        <f>'[43]MD50000.15-DEC'!$K$1</f>
        <v>16</v>
      </c>
      <c r="I46" s="8">
        <f>'[43]MD50000.15-DEC'!$K$2</f>
        <v>1</v>
      </c>
      <c r="J46" s="9" t="s">
        <v>12</v>
      </c>
      <c r="K46" s="10">
        <f>'[43]MD50000.15-DEC'!$B$3</f>
        <v>45777</v>
      </c>
      <c r="L46" s="7">
        <f>'[43]MD50000.15-DEC'!$O$2</f>
        <v>22400</v>
      </c>
      <c r="M46" s="7">
        <f>'[43]MD50000.15-DEC'!$O$1</f>
        <v>1400</v>
      </c>
      <c r="N46" s="1">
        <v>1400</v>
      </c>
    </row>
    <row r="47" spans="2:14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115</v>
      </c>
      <c r="G47" s="8">
        <f>'[44]MD20000.18-DEC'!$K$2</f>
        <v>5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23000</v>
      </c>
      <c r="M47" s="7">
        <f>'[44]MD20000.18-DEC'!$O$1</f>
        <v>1000</v>
      </c>
      <c r="N47" s="1">
        <v>1400</v>
      </c>
    </row>
    <row r="48" spans="2:14" ht="22.5" customHeight="1" x14ac:dyDescent="0.2">
      <c r="B48" s="6">
        <v>114</v>
      </c>
      <c r="C48" s="8" t="s">
        <v>145</v>
      </c>
      <c r="D48" s="14" t="s">
        <v>146</v>
      </c>
      <c r="E48" s="7">
        <f>'[45]MD50000.15-DEC'!$C$1</f>
        <v>10000</v>
      </c>
      <c r="F48" s="8"/>
      <c r="G48" s="8"/>
      <c r="H48" s="8">
        <f>'[45]MD50000.15-DEC'!$K$1</f>
        <v>17</v>
      </c>
      <c r="I48" s="8">
        <f>'[45]MD50000.15-DEC'!$K$2</f>
        <v>0</v>
      </c>
      <c r="J48" s="9" t="s">
        <v>125</v>
      </c>
      <c r="K48" s="10">
        <f>'[45]MD50000.15-DEC'!$B$3</f>
        <v>0</v>
      </c>
      <c r="L48" s="7">
        <f>'[45]MD50000.15-DEC'!$O$2</f>
        <v>11900</v>
      </c>
      <c r="M48" s="7">
        <f>'[45]MD50000.15-DEC'!$O$1</f>
        <v>0</v>
      </c>
      <c r="N48" s="1">
        <v>700</v>
      </c>
    </row>
    <row r="49" spans="2:14" ht="22.5" customHeight="1" x14ac:dyDescent="0.2">
      <c r="B49" s="6">
        <v>115</v>
      </c>
      <c r="C49" s="8" t="s">
        <v>147</v>
      </c>
      <c r="D49" s="14" t="s">
        <v>146</v>
      </c>
      <c r="E49" s="7">
        <f>'[45]MD50000.15-DEC'!$C$1</f>
        <v>10000</v>
      </c>
      <c r="F49" s="8"/>
      <c r="G49" s="8"/>
      <c r="H49" s="8">
        <f>'[45]MD50000.15-DEC'!$K$1</f>
        <v>17</v>
      </c>
      <c r="I49" s="8">
        <f>'[45]MD50000.15-DEC'!$K$2</f>
        <v>0</v>
      </c>
      <c r="J49" s="9" t="s">
        <v>125</v>
      </c>
      <c r="K49" s="10">
        <f>'[45]MD50000.15-DEC'!$B$3</f>
        <v>0</v>
      </c>
      <c r="L49" s="7">
        <f>'[45]MD50000.15-DEC'!$O$2</f>
        <v>11900</v>
      </c>
      <c r="M49" s="7">
        <f>'[45]MD50000.15-DEC'!$O$1</f>
        <v>0</v>
      </c>
      <c r="N49" s="1">
        <v>700</v>
      </c>
    </row>
    <row r="50" spans="2:14" ht="22.5" customHeight="1" x14ac:dyDescent="0.2">
      <c r="B50" s="6">
        <v>116</v>
      </c>
      <c r="C50" s="8" t="s">
        <v>148</v>
      </c>
      <c r="D50" s="14" t="s">
        <v>142</v>
      </c>
      <c r="E50" s="7">
        <f>'[118]MD50000.15-DEC'!$C$1</f>
        <v>20000</v>
      </c>
      <c r="F50" s="8"/>
      <c r="G50" s="8"/>
      <c r="H50" s="8">
        <f>'[118]MD50000.15-DEC'!$K$1</f>
        <v>17</v>
      </c>
      <c r="I50" s="8">
        <f>'[118]MD50000.15-DEC'!$K$2</f>
        <v>0</v>
      </c>
      <c r="J50" s="9" t="s">
        <v>125</v>
      </c>
      <c r="K50" s="10">
        <f>'[118]MD50000.15-DEC'!$B$3</f>
        <v>0</v>
      </c>
      <c r="L50" s="7">
        <f>'[118]MD50000.15-DEC'!$O$2</f>
        <v>23800</v>
      </c>
      <c r="M50" s="7">
        <f>'[118]MD50000.15-DEC'!$O$1</f>
        <v>0</v>
      </c>
      <c r="N50" s="1">
        <v>1400</v>
      </c>
    </row>
    <row r="51" spans="2:14" ht="22.5" customHeight="1" x14ac:dyDescent="0.2">
      <c r="B51" s="6"/>
      <c r="C51" s="8"/>
      <c r="D51" s="14"/>
      <c r="E51" s="7"/>
      <c r="F51" s="8"/>
      <c r="G51" s="8"/>
      <c r="H51" s="8"/>
      <c r="I51" s="8"/>
      <c r="J51" s="9"/>
      <c r="K51" s="10"/>
      <c r="L51" s="7"/>
      <c r="M51" s="7"/>
    </row>
    <row r="52" spans="2:14" ht="22.5" customHeight="1" x14ac:dyDescent="0.2">
      <c r="B52" s="6"/>
      <c r="C52" s="8"/>
      <c r="D52" s="14"/>
      <c r="E52" s="7"/>
      <c r="F52" s="8"/>
      <c r="G52" s="8"/>
      <c r="H52" s="8"/>
      <c r="I52" s="8"/>
      <c r="J52" s="9"/>
      <c r="K52" s="10"/>
      <c r="L52" s="7"/>
      <c r="M52" s="7"/>
    </row>
    <row r="53" spans="2:14" ht="22.5" customHeight="1" x14ac:dyDescent="0.2">
      <c r="B53" s="6"/>
      <c r="C53" s="8"/>
      <c r="D53" s="14"/>
      <c r="E53" s="7"/>
      <c r="F53" s="8"/>
      <c r="G53" s="8"/>
      <c r="H53" s="8"/>
      <c r="I53" s="8"/>
      <c r="J53" s="9"/>
      <c r="K53" s="10"/>
      <c r="L53" s="7"/>
      <c r="M53" s="7"/>
    </row>
    <row r="54" spans="2:14" ht="22.5" customHeight="1" x14ac:dyDescent="0.2">
      <c r="B54" s="6"/>
      <c r="C54" s="8"/>
      <c r="D54" s="14"/>
      <c r="E54" s="7"/>
      <c r="F54" s="8"/>
      <c r="G54" s="8"/>
      <c r="H54" s="8"/>
      <c r="I54" s="8"/>
      <c r="J54" s="9"/>
      <c r="K54" s="10"/>
      <c r="L54" s="7"/>
      <c r="M54" s="7"/>
    </row>
    <row r="55" spans="2:14" ht="22.5" customHeight="1" x14ac:dyDescent="0.2">
      <c r="B55" s="6"/>
      <c r="C55" s="8"/>
      <c r="D55" s="14"/>
      <c r="E55" s="7"/>
      <c r="F55" s="8"/>
      <c r="G55" s="8"/>
      <c r="H55" s="8"/>
      <c r="I55" s="8"/>
      <c r="J55" s="9"/>
      <c r="K55" s="10"/>
      <c r="L55" s="7"/>
      <c r="M55" s="7"/>
    </row>
    <row r="56" spans="2:14" ht="22.5" customHeight="1" x14ac:dyDescent="0.2">
      <c r="B56" s="6"/>
      <c r="C56" s="8"/>
      <c r="D56" s="14"/>
      <c r="E56" s="7"/>
      <c r="F56" s="8"/>
      <c r="G56" s="8"/>
      <c r="H56" s="8"/>
      <c r="I56" s="8"/>
      <c r="J56" s="9"/>
      <c r="K56" s="10"/>
      <c r="L56" s="7"/>
      <c r="M56" s="7"/>
    </row>
    <row r="57" spans="2:14" ht="22.5" customHeight="1" x14ac:dyDescent="0.2">
      <c r="B57" s="6"/>
      <c r="C57" s="8"/>
      <c r="D57" s="14"/>
      <c r="E57" s="7"/>
      <c r="F57" s="8"/>
      <c r="G57" s="8"/>
      <c r="H57" s="8"/>
      <c r="I57" s="8"/>
      <c r="J57" s="9"/>
      <c r="K57" s="10"/>
      <c r="L57" s="7"/>
      <c r="M57" s="7"/>
    </row>
    <row r="58" spans="2:14" ht="22.5" customHeight="1" x14ac:dyDescent="0.2">
      <c r="B58" s="6"/>
      <c r="C58" s="8"/>
      <c r="D58" s="14"/>
      <c r="E58" s="7"/>
      <c r="F58" s="8"/>
      <c r="G58" s="8"/>
      <c r="H58" s="8"/>
      <c r="I58" s="8"/>
      <c r="J58" s="9"/>
      <c r="K58" s="10"/>
      <c r="L58" s="7"/>
      <c r="M58" s="7"/>
    </row>
    <row r="59" spans="2:14" ht="22.5" customHeight="1" x14ac:dyDescent="0.2">
      <c r="B59" s="6"/>
      <c r="C59" s="8"/>
      <c r="D59" s="14"/>
      <c r="E59" s="7"/>
      <c r="F59" s="8"/>
      <c r="G59" s="8"/>
      <c r="H59" s="8"/>
      <c r="I59" s="8"/>
      <c r="J59" s="9"/>
      <c r="K59" s="10"/>
      <c r="L59" s="7"/>
      <c r="M59" s="7"/>
    </row>
    <row r="60" spans="2:14" ht="22.5" customHeight="1" x14ac:dyDescent="0.2">
      <c r="B60" s="6"/>
      <c r="C60" s="8"/>
      <c r="D60" s="14"/>
      <c r="E60" s="7"/>
      <c r="F60" s="8"/>
      <c r="G60" s="8"/>
      <c r="H60" s="8"/>
      <c r="I60" s="8"/>
      <c r="J60" s="9"/>
      <c r="K60" s="10"/>
      <c r="L60" s="7"/>
      <c r="M60" s="7"/>
    </row>
    <row r="61" spans="2:14" ht="22.5" customHeight="1" x14ac:dyDescent="0.2">
      <c r="B61" s="6"/>
      <c r="C61" s="8"/>
      <c r="D61" s="14"/>
      <c r="E61" s="7"/>
      <c r="F61" s="8"/>
      <c r="G61" s="8"/>
      <c r="H61" s="8"/>
      <c r="I61" s="8"/>
      <c r="J61" s="9"/>
      <c r="K61" s="10"/>
      <c r="L61" s="7"/>
      <c r="M61" s="7"/>
    </row>
    <row r="62" spans="2:14" ht="22.5" customHeight="1" x14ac:dyDescent="0.2">
      <c r="B62" s="6"/>
      <c r="C62" s="8"/>
      <c r="D62" s="14"/>
      <c r="E62" s="7"/>
      <c r="F62" s="8"/>
      <c r="G62" s="8"/>
      <c r="H62" s="8"/>
      <c r="I62" s="8"/>
      <c r="J62" s="9"/>
      <c r="K62" s="10"/>
      <c r="L62" s="7"/>
      <c r="M62" s="7"/>
    </row>
    <row r="63" spans="2:14" ht="22.5" customHeight="1" x14ac:dyDescent="0.2">
      <c r="B63" s="6"/>
      <c r="C63" s="8"/>
      <c r="D63" s="14"/>
      <c r="E63" s="7"/>
      <c r="F63" s="8"/>
      <c r="G63" s="8"/>
      <c r="H63" s="8"/>
      <c r="I63" s="8"/>
      <c r="J63" s="9"/>
      <c r="K63" s="10"/>
      <c r="L63" s="7"/>
      <c r="M63" s="7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0" t="s">
        <v>8</v>
      </c>
      <c r="C2" s="31"/>
      <c r="I2" s="32" t="s">
        <v>21</v>
      </c>
      <c r="J2" s="33"/>
      <c r="K2" s="34"/>
      <c r="L2" s="35">
        <f>SUM(L5:L108)</f>
        <v>546400</v>
      </c>
      <c r="M2" s="36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'[46]SM5000.1-SEPT'!$C$1</f>
        <v>5000</v>
      </c>
      <c r="F5" s="20">
        <f>'[46]SM5000.1-SEPT'!$K$1</f>
        <v>0</v>
      </c>
      <c r="G5" s="20">
        <f>'[46]SM5000.1-SEPT'!$K$2</f>
        <v>60</v>
      </c>
      <c r="H5" s="20"/>
      <c r="I5" s="20"/>
      <c r="J5" s="21" t="s">
        <v>22</v>
      </c>
      <c r="K5" s="22">
        <f>'[46]SM5000.1-SEPT'!$B$3</f>
        <v>45180</v>
      </c>
      <c r="L5" s="19">
        <f>'[46]SM5000.1-SEPT'!$O$2</f>
        <v>0</v>
      </c>
      <c r="M5" s="19">
        <f>'[46]SM5000.1-SEPT'!$O$1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'[46]SM5000.1-oct'!$C$1</f>
        <v>5000</v>
      </c>
      <c r="F6" s="20">
        <f>'[46]SM5000.1-oct'!$K$1</f>
        <v>0</v>
      </c>
      <c r="G6" s="20">
        <f>'[46]SM5000.1-oct'!$K$2</f>
        <v>60</v>
      </c>
      <c r="H6" s="20"/>
      <c r="I6" s="20"/>
      <c r="J6" s="21" t="s">
        <v>22</v>
      </c>
      <c r="K6" s="22">
        <f>'[46]SM5000.1-oct'!$B$3</f>
        <v>45201</v>
      </c>
      <c r="L6" s="19">
        <f>'[46]SM5000.1-oct'!$O$2</f>
        <v>0</v>
      </c>
      <c r="M6" s="19">
        <f>'[46]SM5000.1-oct'!$O$1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'[47]MD10000.1-OCT'!$C$1</f>
        <v>10000</v>
      </c>
      <c r="F7" s="20">
        <f>'[47]MD10000.1-OCT'!$K$1</f>
        <v>0</v>
      </c>
      <c r="G7" s="20">
        <f>'[47]MD10000.1-OCT'!$K$2</f>
        <v>120</v>
      </c>
      <c r="H7" s="20"/>
      <c r="I7" s="20"/>
      <c r="J7" s="21" t="s">
        <v>22</v>
      </c>
      <c r="K7" s="22">
        <f>'[47]MD10000.1-OCT'!$B$3</f>
        <v>45212</v>
      </c>
      <c r="L7" s="19">
        <f>'[47]MD10000.1-OCT'!$O$2</f>
        <v>0</v>
      </c>
      <c r="M7" s="19">
        <f>'[47]MD10000.1-OCT'!$O$1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'[48]MD10000.1-OCT'!$C$1</f>
        <v>10000</v>
      </c>
      <c r="F8" s="20">
        <f>'[48]MD10000.1-OCT'!$K$1</f>
        <v>0</v>
      </c>
      <c r="G8" s="20">
        <f>'[48]MD10000.1-OCT'!$K$2</f>
        <v>120</v>
      </c>
      <c r="H8" s="20"/>
      <c r="I8" s="20"/>
      <c r="J8" s="21" t="s">
        <v>22</v>
      </c>
      <c r="K8" s="22">
        <f>'[48]MD10000.1-OCT'!$B$3</f>
        <v>45213</v>
      </c>
      <c r="L8" s="19">
        <f>'[48]MD10000.1-OCT'!$O$2</f>
        <v>0</v>
      </c>
      <c r="M8" s="19">
        <f>'[48]MD10000.1-OCT'!$O$1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'[49]MD10000.20-OCT'!$C$1</f>
        <v>10000</v>
      </c>
      <c r="F9" s="20"/>
      <c r="G9" s="20"/>
      <c r="H9" s="20">
        <f>'[49]MD10000.20-OCT'!$K$1</f>
        <v>0</v>
      </c>
      <c r="I9" s="20">
        <f>'[49]MD10000.20-OCT'!$K$2</f>
        <v>17</v>
      </c>
      <c r="J9" s="21" t="s">
        <v>51</v>
      </c>
      <c r="K9" s="22">
        <f>'[49]MD10000.20-OCT'!$B$3</f>
        <v>45226</v>
      </c>
      <c r="L9" s="19">
        <f>'[49]MD10000.20-OCT'!$O$2</f>
        <v>0</v>
      </c>
      <c r="M9" s="19">
        <f>'[49]MD10000.20-OCT'!$O$1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'[50]SM5000.1-SEPT (2)'!$C$1</f>
        <v>5000</v>
      </c>
      <c r="F10" s="20">
        <f>'[50]SM5000.1-SEPT (2)'!$K$1</f>
        <v>0</v>
      </c>
      <c r="G10" s="20">
        <f>'[50]SM5000.1-SEPT (2)'!$K$2</f>
        <v>60</v>
      </c>
      <c r="H10" s="20"/>
      <c r="I10" s="20"/>
      <c r="J10" s="21" t="s">
        <v>41</v>
      </c>
      <c r="K10" s="22">
        <f>'[50]SM5000.1-SEPT (2)'!$B$3</f>
        <v>45243</v>
      </c>
      <c r="L10" s="19">
        <f>'[50]SM5000.1-SEPT (2)'!$O$2</f>
        <v>0</v>
      </c>
      <c r="M10" s="19">
        <f>'[50]SM5000.1-SEPT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'[51]MD10000.20-OCT'!$C$1</f>
        <v>10000</v>
      </c>
      <c r="F11" s="20"/>
      <c r="G11" s="20"/>
      <c r="H11" s="20">
        <f>'[51]MD10000.20-OCT'!$K$1</f>
        <v>0</v>
      </c>
      <c r="I11" s="20">
        <f>'[51]MD10000.20-OCT'!$K$2</f>
        <v>17</v>
      </c>
      <c r="J11" s="21" t="s">
        <v>51</v>
      </c>
      <c r="K11" s="22">
        <f>'[51]MD10000.20-OCT'!$B$3</f>
        <v>45245</v>
      </c>
      <c r="L11" s="19">
        <f>'[51]MD10000.20-OCT'!$O$2</f>
        <v>0</v>
      </c>
      <c r="M11" s="19">
        <f>'[51]MD10000.20-OCT'!$O$1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'[52]MD15000.27-NOV'!$C$1</f>
        <v>15000</v>
      </c>
      <c r="F12" s="20"/>
      <c r="G12" s="20"/>
      <c r="H12" s="20">
        <f>'[52]MD15000.27-NOV'!$K$1</f>
        <v>0</v>
      </c>
      <c r="I12" s="20">
        <f>'[52]MD15000.27-NOV'!$K$2</f>
        <v>17</v>
      </c>
      <c r="J12" s="21" t="s">
        <v>51</v>
      </c>
      <c r="K12" s="22">
        <f>'[52]MD15000.27-NOV'!$B$3</f>
        <v>45266</v>
      </c>
      <c r="L12" s="19">
        <f>'[52]MD15000.27-NOV'!$O$2</f>
        <v>0</v>
      </c>
      <c r="M12" s="19">
        <f>'[52]MD15000.27-NOV'!$O$1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'[53]MD20000.15-DEC'!$C$1</f>
        <v>20000</v>
      </c>
      <c r="F13" s="20"/>
      <c r="G13" s="20"/>
      <c r="H13" s="20">
        <f>'[53]MD20000.15-DEC'!$K$1</f>
        <v>0</v>
      </c>
      <c r="I13" s="20">
        <f>'[53]MD20000.15-DEC'!$K$2</f>
        <v>17</v>
      </c>
      <c r="J13" s="21" t="s">
        <v>51</v>
      </c>
      <c r="K13" s="22">
        <f>'[53]MD20000.15-DEC'!$B$3</f>
        <v>45649</v>
      </c>
      <c r="L13" s="19">
        <f>'[53]MD20000.15-DEC'!$O$2</f>
        <v>0</v>
      </c>
      <c r="M13" s="19">
        <f>'[53]MD20000.15-DEC'!$O$1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'[54]MD20000.15-DEc'!$C$1</f>
        <v>20000</v>
      </c>
      <c r="F14" s="20"/>
      <c r="G14" s="20"/>
      <c r="H14" s="20">
        <f>'[54]MD20000.15-DEc'!$K$1</f>
        <v>0</v>
      </c>
      <c r="I14" s="20">
        <f>'[54]MD20000.15-DEc'!$K$2</f>
        <v>17</v>
      </c>
      <c r="J14" s="21" t="s">
        <v>51</v>
      </c>
      <c r="K14" s="22">
        <f>'[54]MD20000.15-DEc'!$B$3</f>
        <v>45646</v>
      </c>
      <c r="L14" s="19">
        <f>'[54]MD20000.15-DEc'!$O$2</f>
        <v>0</v>
      </c>
      <c r="M14" s="19">
        <f>'[54]MD20000.15-DEc'!$O$1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'[55]MD50000.15-DEC'!$C$1</f>
        <v>50000</v>
      </c>
      <c r="F15" s="20"/>
      <c r="G15" s="20"/>
      <c r="H15" s="20">
        <f>'[55]MD50000.15-DEC'!$K$1</f>
        <v>0</v>
      </c>
      <c r="I15" s="20">
        <f>'[55]MD50000.15-DEC'!$K$2</f>
        <v>48</v>
      </c>
      <c r="J15" s="21" t="s">
        <v>51</v>
      </c>
      <c r="K15" s="22">
        <f>'[55]MD50000.15-DEC'!$B$3</f>
        <v>45648</v>
      </c>
      <c r="L15" s="19">
        <f>'[55]MD50000.15-DEC'!$O$2</f>
        <v>0</v>
      </c>
      <c r="M15" s="19">
        <f>'[55]MD50000.15-DEC'!$O$1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'[56]MD20000.18-DEC'!$C$1</f>
        <v>20000</v>
      </c>
      <c r="F16" s="20">
        <f>'[56]MD20000.18-DEC'!$K$1</f>
        <v>0</v>
      </c>
      <c r="G16" s="20">
        <f>'[56]MD20000.18-DEC'!$K$2</f>
        <v>120</v>
      </c>
      <c r="H16" s="20"/>
      <c r="I16" s="20"/>
      <c r="J16" s="21" t="s">
        <v>53</v>
      </c>
      <c r="K16" s="22">
        <f>'[56]MD20000.18-DEC'!$B$3</f>
        <v>45279</v>
      </c>
      <c r="L16" s="19">
        <f>'[56]MD20000.18-DEC'!$O$2</f>
        <v>0</v>
      </c>
      <c r="M16" s="19">
        <f>'[56]MD20000.18-DEC'!$O$1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'[57]MD20000.22-DEC'!$C$1</f>
        <v>20000</v>
      </c>
      <c r="F17" s="20">
        <f>'[57]MD20000.22-DEC'!$K$1</f>
        <v>120</v>
      </c>
      <c r="G17" s="20">
        <f>'[57]MD20000.22-DEC'!$K$2</f>
        <v>0</v>
      </c>
      <c r="H17" s="20"/>
      <c r="I17" s="20"/>
      <c r="J17" s="21" t="s">
        <v>51</v>
      </c>
      <c r="K17" s="22">
        <f>'[57]MD20000.22-DEC'!$B$3</f>
        <v>0</v>
      </c>
      <c r="L17" s="19"/>
      <c r="M17" s="19">
        <f>'[57]MD20000.22-DEC'!$O$1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'[58]MD50000.15-DEC'!$C$1</f>
        <v>10000</v>
      </c>
      <c r="F18" s="20"/>
      <c r="G18" s="20"/>
      <c r="H18" s="20">
        <f>'[58]MD50000.15-DEC'!$K$1</f>
        <v>0</v>
      </c>
      <c r="I18" s="20">
        <f>'[58]MD50000.15-DEC'!$K$2</f>
        <v>48</v>
      </c>
      <c r="J18" s="21" t="s">
        <v>51</v>
      </c>
      <c r="K18" s="22">
        <f>'[58]MD50000.15-DEC'!$B$3</f>
        <v>45310</v>
      </c>
      <c r="L18" s="19">
        <f>'[58]MD50000.15-DEC'!$O$2</f>
        <v>0</v>
      </c>
      <c r="M18" s="19">
        <f>'[58]MD50000.15-DEC'!$O$1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'[59]MD5000-Jan24'!$C$1</f>
        <v>5000</v>
      </c>
      <c r="F19" s="20">
        <f>'[59]MD5000-Jan24'!$K$1</f>
        <v>0</v>
      </c>
      <c r="G19" s="20">
        <f>'[59]MD5000-Jan24'!$K$2</f>
        <v>60</v>
      </c>
      <c r="H19" s="20"/>
      <c r="I19" s="20"/>
      <c r="J19" s="21" t="s">
        <v>51</v>
      </c>
      <c r="K19" s="22">
        <f>'[59]MD5000-Jan24'!$B$3</f>
        <v>45302</v>
      </c>
      <c r="L19" s="19">
        <f>'[59]MD5000-Jan24'!$O$2</f>
        <v>0</v>
      </c>
      <c r="M19" s="19">
        <f>'[59]MD5000-Jan24'!$O$1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'[60]MD10000.10-JAN'!$C$1</f>
        <v>10000</v>
      </c>
      <c r="F20" s="20"/>
      <c r="G20" s="20"/>
      <c r="H20" s="20">
        <f>'[60]MD10000.10-JAN'!$K$1</f>
        <v>0</v>
      </c>
      <c r="I20" s="20">
        <f>'[60]MD10000.10-JAN'!$K$2</f>
        <v>48</v>
      </c>
      <c r="J20" s="21" t="s">
        <v>12</v>
      </c>
      <c r="K20" s="22">
        <f>'[60]MD10000.10-JAN'!$B$3</f>
        <v>45308</v>
      </c>
      <c r="L20" s="19">
        <f>'[60]MD10000.10-JAN'!$O$2</f>
        <v>0</v>
      </c>
      <c r="M20" s="19">
        <f>'[60]MD10000.10-JAN'!$O$1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'[61]MD10000.10-JAN'!$C$1</f>
        <v>10000</v>
      </c>
      <c r="F21" s="20"/>
      <c r="G21" s="20"/>
      <c r="H21" s="20">
        <f>'[61]MD10000.10-JAN'!$K$1</f>
        <v>0</v>
      </c>
      <c r="I21" s="20">
        <f>'[61]MD10000.10-JAN'!$K$2</f>
        <v>48</v>
      </c>
      <c r="J21" s="21" t="s">
        <v>51</v>
      </c>
      <c r="K21" s="22">
        <f>'[61]MD10000.10-JAN'!$B$3</f>
        <v>45308</v>
      </c>
      <c r="L21" s="19">
        <f>'[61]MD10000.10-JAN'!$O$2</f>
        <v>0</v>
      </c>
      <c r="M21" s="19">
        <f>'[61]MD10000.10-JAN'!$O$1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'[62]MD10000.20-OCT'!$C$1</f>
        <v>5000</v>
      </c>
      <c r="F22" s="20"/>
      <c r="G22" s="20"/>
      <c r="H22" s="20">
        <f>'[62]MD10000.20-OCT'!$K$1</f>
        <v>0</v>
      </c>
      <c r="I22" s="20">
        <f>'[62]MD10000.20-OCT'!$K$2</f>
        <v>17</v>
      </c>
      <c r="J22" s="21" t="s">
        <v>51</v>
      </c>
      <c r="K22" s="22">
        <f>'[62]MD10000.20-OCT'!$B$3</f>
        <v>45316</v>
      </c>
      <c r="L22" s="19">
        <f>'[62]MD10000.20-OCT'!$O$2</f>
        <v>0</v>
      </c>
      <c r="M22" s="19">
        <f>'[62]MD10000.20-OCT'!$O$1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'[63]MD10000.20-OCT'!$C$1</f>
        <v>10000</v>
      </c>
      <c r="F23" s="20"/>
      <c r="G23" s="20"/>
      <c r="H23" s="20">
        <f>'[63]MD10000.20-OCT'!$K$1</f>
        <v>0</v>
      </c>
      <c r="I23" s="20">
        <f>'[63]MD10000.20-OCT'!$K$2</f>
        <v>48</v>
      </c>
      <c r="J23" s="21" t="s">
        <v>51</v>
      </c>
      <c r="K23" s="22">
        <f>'[63]MD10000.20-OCT'!$B$3</f>
        <v>45324</v>
      </c>
      <c r="L23" s="19">
        <f>'[63]MD10000.20-OCT'!$O$2</f>
        <v>0</v>
      </c>
      <c r="M23" s="19">
        <f>'[63]MD10000.20-OCT'!$O$1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'[64]MD10000.20-OCT'!$C$1</f>
        <v>10000</v>
      </c>
      <c r="F24" s="20"/>
      <c r="G24" s="20"/>
      <c r="H24" s="20">
        <f>'[64]MD10000.20-OCT'!$K$1</f>
        <v>0</v>
      </c>
      <c r="I24" s="20">
        <f>'[64]MD10000.20-OCT'!$K$2</f>
        <v>48</v>
      </c>
      <c r="J24" s="21" t="s">
        <v>51</v>
      </c>
      <c r="K24" s="22">
        <f>'[64]MD10000.20-OCT'!$B$3</f>
        <v>45327</v>
      </c>
      <c r="L24" s="19">
        <f>'[64]MD10000.20-OCT'!$O$2</f>
        <v>0</v>
      </c>
      <c r="M24" s="19">
        <f>'[64]MD10000.20-OCT'!$O$1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'[65]SM5000.1-oct'!$C$1</f>
        <v>5000</v>
      </c>
      <c r="F25" s="20">
        <f>'[65]SM5000.1-oct'!$K$1</f>
        <v>0</v>
      </c>
      <c r="G25" s="20">
        <f>'[65]SM5000.1-oct'!$K$2</f>
        <v>60</v>
      </c>
      <c r="H25" s="20"/>
      <c r="I25" s="20"/>
      <c r="J25" s="21" t="s">
        <v>12</v>
      </c>
      <c r="K25" s="22">
        <f>'[65]SM5000.1-oct'!$B$3</f>
        <v>45323</v>
      </c>
      <c r="L25" s="19">
        <f>'[65]SM5000.1-oct'!$O$2</f>
        <v>0</v>
      </c>
      <c r="M25" s="19">
        <f>'[65]SM5000.1-oct'!$O$1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'[66]MD10000.20-OCT'!$C$1</f>
        <v>5000</v>
      </c>
      <c r="F26" s="20"/>
      <c r="G26" s="20"/>
      <c r="H26" s="20">
        <f>'[66]MD10000.20-OCT'!$K$1</f>
        <v>0</v>
      </c>
      <c r="I26" s="20">
        <f>'[66]MD10000.20-OCT'!$K$2</f>
        <v>17</v>
      </c>
      <c r="J26" s="21" t="s">
        <v>51</v>
      </c>
      <c r="K26" s="22">
        <f>'[66]MD10000.20-OCT'!$B$3</f>
        <v>45332</v>
      </c>
      <c r="L26" s="19">
        <f>'[66]MD10000.20-OCT'!$O$2</f>
        <v>0</v>
      </c>
      <c r="M26" s="19">
        <f>'[66]MD10000.20-OCT'!$O$1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'[67]MD10000.1-OCT'!$C$1</f>
        <v>10000</v>
      </c>
      <c r="F27" s="20">
        <f>'[67]MD10000.1-OCT'!$K$1</f>
        <v>0</v>
      </c>
      <c r="G27" s="20">
        <f>'[67]MD10000.1-OCT'!$K$2</f>
        <v>120</v>
      </c>
      <c r="H27" s="20"/>
      <c r="I27" s="20"/>
      <c r="J27" s="21" t="s">
        <v>12</v>
      </c>
      <c r="K27" s="22">
        <f>'[67]MD10000.1-OCT'!$B$3</f>
        <v>45339</v>
      </c>
      <c r="L27" s="19">
        <f>'[67]MD10000.1-OCT'!$O$2</f>
        <v>0</v>
      </c>
      <c r="M27" s="19">
        <f>'[67]MD10000.1-OCT'!$O$1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'[68]MD10000.1-OCT'!$C$1</f>
        <v>10000</v>
      </c>
      <c r="F28" s="20">
        <f>'[68]MD10000.1-OCT'!$K$1</f>
        <v>0</v>
      </c>
      <c r="G28" s="20">
        <f>'[68]MD10000.1-OCT'!$K$2</f>
        <v>120</v>
      </c>
      <c r="H28" s="20"/>
      <c r="I28" s="20"/>
      <c r="J28" s="21" t="s">
        <v>51</v>
      </c>
      <c r="K28" s="22">
        <f>'[68]MD10000.1-OCT'!$B$3</f>
        <v>45334</v>
      </c>
      <c r="L28" s="19">
        <f>'[68]MD10000.1-OCT'!$O$2</f>
        <v>0</v>
      </c>
      <c r="M28" s="19">
        <f>'[68]MD10000.1-OCT'!$O$1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'[69]MD20000.15-DEC'!$C$1</f>
        <v>20000</v>
      </c>
      <c r="F29" s="20"/>
      <c r="G29" s="20"/>
      <c r="H29" s="20">
        <f>'[69]MD20000.15-DEC'!$K$1</f>
        <v>5</v>
      </c>
      <c r="I29" s="20">
        <f>'[69]MD20000.15-DEC'!$K$2</f>
        <v>12</v>
      </c>
      <c r="J29" s="21" t="s">
        <v>51</v>
      </c>
      <c r="K29" s="22">
        <f>'[69]MD20000.15-DEC'!$B$3</f>
        <v>45337</v>
      </c>
      <c r="L29" s="19">
        <f>'[70]MD20000.15-DEC'!$O$2</f>
        <v>0</v>
      </c>
      <c r="M29" s="19">
        <f>'[70]MD20000.15-DEC'!$O$1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'[71]MD20000.15-DEC'!$C$1</f>
        <v>20000</v>
      </c>
      <c r="F30" s="20"/>
      <c r="G30" s="20"/>
      <c r="H30" s="20">
        <f>'[71]MD20000.15-DEC'!$K$1</f>
        <v>0</v>
      </c>
      <c r="I30" s="20">
        <f>'[71]MD20000.15-DEC'!$K$2</f>
        <v>17</v>
      </c>
      <c r="J30" s="21" t="s">
        <v>51</v>
      </c>
      <c r="K30" s="22">
        <f>'[71]MD20000.15-DEC'!$B$3</f>
        <v>45345</v>
      </c>
      <c r="L30" s="19">
        <f>'[71]MD20000.15-DEC'!$O$2</f>
        <v>0</v>
      </c>
      <c r="M30" s="19">
        <f>'[71]MD20000.15-DEC'!$O$1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'[72]MD20000.18-DEC'!$C$1</f>
        <v>30000</v>
      </c>
      <c r="F31" s="20">
        <f>'[72]MD20000.18-DEC'!$K$1</f>
        <v>0</v>
      </c>
      <c r="G31" s="20">
        <f>'[72]MD20000.18-DEC'!$K$2</f>
        <v>120</v>
      </c>
      <c r="H31" s="20"/>
      <c r="I31" s="20"/>
      <c r="J31" s="21" t="s">
        <v>51</v>
      </c>
      <c r="K31" s="22">
        <f>'[72]MD20000.18-DEC'!$B$3</f>
        <v>45354</v>
      </c>
      <c r="L31" s="19">
        <f>'[72]MD20000.18-DEC'!$O$2</f>
        <v>0</v>
      </c>
      <c r="M31" s="19">
        <f>'[72]MD20000.18-DEC'!$O$1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'[73]MD10000.10-JAN'!$C$1</f>
        <v>10000</v>
      </c>
      <c r="F32" s="20"/>
      <c r="G32" s="20"/>
      <c r="H32" s="20">
        <f>'[73]MD10000.10-JAN'!$K$1</f>
        <v>0</v>
      </c>
      <c r="I32" s="20">
        <f>'[73]MD10000.10-JAN'!$K$2</f>
        <v>48</v>
      </c>
      <c r="J32" s="21" t="s">
        <v>12</v>
      </c>
      <c r="K32" s="22">
        <f>'[73]MD10000.10-JAN'!$B$3</f>
        <v>45366</v>
      </c>
      <c r="L32" s="19">
        <f>'[73]MD10000.10-JAN'!$O$2</f>
        <v>0</v>
      </c>
      <c r="M32" s="19">
        <f>'[73]MD10000.10-JAN'!$O$1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'[74]MD20000.15-DEc'!$C$1</f>
        <v>20000</v>
      </c>
      <c r="F33" s="20"/>
      <c r="G33" s="20"/>
      <c r="H33" s="20">
        <f>'[74]MD20000.15-DEc'!$K$1</f>
        <v>0</v>
      </c>
      <c r="I33" s="20">
        <f>'[74]MD20000.15-DEc'!$K$2</f>
        <v>17</v>
      </c>
      <c r="J33" s="21" t="s">
        <v>51</v>
      </c>
      <c r="K33" s="22">
        <f>'[74]MD20000.15-DEc'!$B$3</f>
        <v>45380</v>
      </c>
      <c r="L33" s="19">
        <f>'[74]MD20000.15-DEc'!$O$2</f>
        <v>0</v>
      </c>
      <c r="M33" s="19">
        <f>'[74]MD20000.15-DEc'!$O$1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'[75]MD10000.10-JAN'!$C$1</f>
        <v>10000</v>
      </c>
      <c r="F34" s="20"/>
      <c r="G34" s="20"/>
      <c r="H34" s="20">
        <f>'[75]MD10000.10-JAN'!$K$1</f>
        <v>0</v>
      </c>
      <c r="I34" s="20">
        <f>'[75]MD10000.10-JAN'!$K$2</f>
        <v>48</v>
      </c>
      <c r="J34" s="21" t="s">
        <v>12</v>
      </c>
      <c r="K34" s="22">
        <f>'[75]MD10000.10-JAN'!$B$3</f>
        <v>45389</v>
      </c>
      <c r="L34" s="19">
        <f>'[75]MD10000.10-JAN'!$O$2</f>
        <v>0</v>
      </c>
      <c r="M34" s="19">
        <f>'[75]MD10000.10-JAN'!$O$1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'[76]MD20000.15-DEc'!$C$1</f>
        <v>20000</v>
      </c>
      <c r="F35" s="20"/>
      <c r="G35" s="20"/>
      <c r="H35" s="20">
        <f>'[76]MD20000.15-DEc'!$G$1</f>
        <v>17</v>
      </c>
      <c r="I35" s="20">
        <f>'[76]MD20000.15-DEc'!$K$2</f>
        <v>17</v>
      </c>
      <c r="J35" s="21" t="s">
        <v>77</v>
      </c>
      <c r="K35" s="22">
        <f>'[76]MD20000.15-DEc'!$B$3</f>
        <v>45394</v>
      </c>
      <c r="L35" s="19">
        <f>'[76]MD20000.15-DEc'!$O$2</f>
        <v>0</v>
      </c>
      <c r="M35" s="19">
        <f>'[76]MD20000.15-DEc'!$O$1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'[77]MD20000.15-DEc'!$C$1</f>
        <v>20000</v>
      </c>
      <c r="F37" s="20"/>
      <c r="G37" s="20"/>
      <c r="H37" s="20">
        <f>'[77]MD20000.15-DEc'!$G$1</f>
        <v>17</v>
      </c>
      <c r="I37" s="20">
        <f>'[77]MD20000.15-DEc'!$K$2</f>
        <v>17</v>
      </c>
      <c r="J37" s="21" t="s">
        <v>12</v>
      </c>
      <c r="K37" s="22">
        <f>'[77]MD20000.15-DEc'!$B$3</f>
        <v>45406</v>
      </c>
      <c r="L37" s="19">
        <f>'[77]MD20000.15-DEc'!$O$2</f>
        <v>0</v>
      </c>
      <c r="M37" s="19">
        <f>'[77]MD20000.15-DEc'!$O$1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'[78]MD10000.20-OCT'!$C$1</f>
        <v>5000</v>
      </c>
      <c r="F38" s="20"/>
      <c r="G38" s="20"/>
      <c r="H38" s="20">
        <f>'[78]MD10000.20-OCT'!$G$1</f>
        <v>17</v>
      </c>
      <c r="I38" s="20">
        <f>'[78]MD10000.20-OCT'!$K$2</f>
        <v>17</v>
      </c>
      <c r="J38" s="21" t="s">
        <v>77</v>
      </c>
      <c r="K38" s="22">
        <f>'[78]MD10000.20-OCT'!$B$3</f>
        <v>45406</v>
      </c>
      <c r="L38" s="19">
        <f>'[78]MD10000.20-OCT'!$O$2</f>
        <v>0</v>
      </c>
      <c r="M38" s="19">
        <f>'[78]MD10000.20-OCT'!$O$1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'[79]MD50000.15-DEC'!$C$1</f>
        <v>40000</v>
      </c>
      <c r="F39" s="20"/>
      <c r="G39" s="20"/>
      <c r="H39" s="20">
        <f>'[79]MD50000.15-DEC'!$K$1</f>
        <v>47</v>
      </c>
      <c r="I39" s="20">
        <f>'[79]MD50000.15-DEC'!$K$2</f>
        <v>1</v>
      </c>
      <c r="J39" s="21" t="s">
        <v>12</v>
      </c>
      <c r="K39" s="22">
        <f>'[79]MD50000.15-DEC'!$B$3</f>
        <v>45416</v>
      </c>
      <c r="L39" s="19">
        <f>'[80]MD50000.15-DEC'!$O$2</f>
        <v>0</v>
      </c>
      <c r="M39" s="19">
        <f>'[79]MD50000.15-DEC'!$O$1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'[81]MD10000.20-OCT'!$C$1</f>
        <v>5000</v>
      </c>
      <c r="F40" s="20"/>
      <c r="G40" s="20"/>
      <c r="H40" s="20">
        <f>'[81]MD10000.20-OCT'!$K$1</f>
        <v>0</v>
      </c>
      <c r="I40" s="20">
        <f>'[81]MD10000.20-OCT'!$K$2</f>
        <v>17</v>
      </c>
      <c r="J40" s="21" t="s">
        <v>51</v>
      </c>
      <c r="K40" s="22">
        <f>'[81]MD10000.20-OCT'!$B$3</f>
        <v>45427</v>
      </c>
      <c r="L40" s="19">
        <f>'[81]MD10000.20-OCT'!$O$2</f>
        <v>0</v>
      </c>
      <c r="M40" s="19">
        <f>'[81]MD10000.20-OCT'!$O$1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'[82]MD20000.18-DEC'!$C$1</f>
        <v>20000</v>
      </c>
      <c r="F41" s="20">
        <f>'[82]MD20000.18-DEC'!$K$1</f>
        <v>0</v>
      </c>
      <c r="G41" s="20">
        <f>'[82]MD20000.18-DEC'!$K$2</f>
        <v>120</v>
      </c>
      <c r="H41" s="20"/>
      <c r="I41" s="20"/>
      <c r="J41" s="21" t="s">
        <v>77</v>
      </c>
      <c r="K41" s="22">
        <f>'[82]MD20000.18-DEC'!$B$3</f>
        <v>45425</v>
      </c>
      <c r="L41" s="19">
        <f>'[82]MD20000.18-DEC'!$O$2</f>
        <v>0</v>
      </c>
      <c r="M41" s="19">
        <f>'[82]MD20000.18-DEC'!$O$1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'[83]MD10000.20-OCT'!$C$1</f>
        <v>5000</v>
      </c>
      <c r="F42" s="20"/>
      <c r="G42" s="20"/>
      <c r="H42" s="20">
        <f>'[83]MD10000.20-OCT'!$K$1</f>
        <v>0</v>
      </c>
      <c r="I42" s="20">
        <f>'[83]MD10000.20-OCT'!$K$2</f>
        <v>17</v>
      </c>
      <c r="J42" s="21" t="s">
        <v>51</v>
      </c>
      <c r="K42" s="22">
        <f>'[83]MD10000.20-OCT'!$B$3</f>
        <v>45436</v>
      </c>
      <c r="L42" s="19">
        <f>'[83]MD10000.20-OCT'!$O$2</f>
        <v>0</v>
      </c>
      <c r="M42" s="19">
        <f>'[83]MD10000.20-OCT'!$O$1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'[84]MD20000.22-DEC'!$C$1</f>
        <v>20000</v>
      </c>
      <c r="F43" s="20">
        <f>'[84]MD20000.22-DEC'!$K$1</f>
        <v>0</v>
      </c>
      <c r="G43" s="20">
        <f>'[84]MD20000.22-DEC'!$K$2</f>
        <v>120</v>
      </c>
      <c r="H43" s="20"/>
      <c r="I43" s="20"/>
      <c r="J43" s="21" t="s">
        <v>12</v>
      </c>
      <c r="K43" s="22">
        <f>'[84]MD20000.22-DEC'!$B$3</f>
        <v>45432</v>
      </c>
      <c r="L43" s="19">
        <f>'[84]MD20000.22-DEC'!$O$2</f>
        <v>0</v>
      </c>
      <c r="M43" s="19">
        <f>'[84]MD20000.22-DEC'!$O$1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'[85]MD10000.1-OCT'!$C$1</f>
        <v>10000</v>
      </c>
      <c r="F44" s="20">
        <f>'[85]MD10000.1-OCT'!$G$1</f>
        <v>120</v>
      </c>
      <c r="G44" s="20">
        <f>'[85]MD10000.1-OCT'!$K$1</f>
        <v>0</v>
      </c>
      <c r="H44" s="20"/>
      <c r="I44" s="20"/>
      <c r="J44" s="21" t="s">
        <v>77</v>
      </c>
      <c r="K44" s="22">
        <f>'[85]MD10000.1-OCT'!$B$3</f>
        <v>45437</v>
      </c>
      <c r="L44" s="19">
        <f>'[85]MD10000.1-OCT'!$O$2</f>
        <v>0</v>
      </c>
      <c r="M44" s="19">
        <f>'[85]MD10000.1-OCT'!$O$1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'[86]MD10000.20-OCT'!$C$1</f>
        <v>5000</v>
      </c>
      <c r="F45" s="20"/>
      <c r="G45" s="20"/>
      <c r="H45" s="20">
        <f>'[86]MD10000.20-OCT'!$K$1</f>
        <v>0</v>
      </c>
      <c r="I45" s="20">
        <f>'[86]MD10000.20-OCT'!$K$2</f>
        <v>17</v>
      </c>
      <c r="J45" s="21" t="s">
        <v>51</v>
      </c>
      <c r="K45" s="22">
        <f>'[86]MD10000.20-OCT'!$B$3</f>
        <v>45444</v>
      </c>
      <c r="L45" s="19"/>
      <c r="M45" s="19">
        <f>'[86]MD10000.20-OCT'!$O$1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'[87]MD10000.1-OCT'!$C$1</f>
        <v>10000</v>
      </c>
      <c r="F46" s="20"/>
      <c r="G46" s="20"/>
      <c r="H46" s="20">
        <f>'[88]MD10000.1-OCT'!$K$1</f>
        <v>0</v>
      </c>
      <c r="I46" s="20">
        <f>'[88]MD10000.1-OCT'!$K$2</f>
        <v>17</v>
      </c>
      <c r="J46" s="21" t="s">
        <v>77</v>
      </c>
      <c r="K46" s="22">
        <f>'[87]MD10000.1-OCT'!$B$3</f>
        <v>45450</v>
      </c>
      <c r="L46" s="19">
        <f>'[88]MD10000.1-OCT'!$O$2</f>
        <v>0</v>
      </c>
      <c r="M46" s="19">
        <f>'[88]MD10000.1-OCT'!$O$1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'[89]MD20000.22-DEC'!$C$1</f>
        <v>20000</v>
      </c>
      <c r="F47" s="20">
        <f>'[89]MD20000.22-DEC'!$K$1</f>
        <v>0</v>
      </c>
      <c r="G47" s="20">
        <f>'[89]MD20000.22-DEC'!$K$2</f>
        <v>120</v>
      </c>
      <c r="H47" s="20"/>
      <c r="I47" s="20"/>
      <c r="J47" s="21" t="s">
        <v>77</v>
      </c>
      <c r="K47" s="22">
        <f>'[89]MD20000.22-DEC'!$B$3</f>
        <v>45446</v>
      </c>
      <c r="L47" s="19">
        <f>'[89]MD20000.22-DEC'!$O$2</f>
        <v>0</v>
      </c>
      <c r="M47" s="19">
        <f>'[89]MD20000.22-DEC'!$O$1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'[90]MD20000.22-DEC'!$C$1</f>
        <v>10000</v>
      </c>
      <c r="F48" s="20">
        <f>'[90]MD20000.22-DEC'!$K$1</f>
        <v>0</v>
      </c>
      <c r="G48" s="20">
        <f>'[90]MD20000.22-DEC'!$K$2</f>
        <v>120</v>
      </c>
      <c r="H48" s="20"/>
      <c r="I48" s="20"/>
      <c r="J48" s="21" t="s">
        <v>77</v>
      </c>
      <c r="K48" s="22">
        <f>'[90]MD20000.22-DEC'!$B$3</f>
        <v>45473</v>
      </c>
      <c r="L48" s="19">
        <f>'[90]MD20000.22-DEC'!$O$2</f>
        <v>0</v>
      </c>
      <c r="M48" s="19">
        <f>'[90]MD20000.22-DEC'!$O$1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'[91]MD20000.15-DEc'!$C$1</f>
        <v>20000</v>
      </c>
      <c r="F49" s="20"/>
      <c r="G49" s="20"/>
      <c r="H49" s="20">
        <f>'[91]MD20000.15-DEc'!$K$1</f>
        <v>0</v>
      </c>
      <c r="I49" s="20">
        <f>'[91]MD20000.15-DEc'!$K$2</f>
        <v>17</v>
      </c>
      <c r="J49" s="21" t="s">
        <v>12</v>
      </c>
      <c r="K49" s="22">
        <f>'[91]MD20000.15-DEc'!$B$3</f>
        <v>45495</v>
      </c>
      <c r="L49" s="19">
        <f>'[91]MD20000.15-DEc'!$O$2</f>
        <v>0</v>
      </c>
      <c r="M49" s="19">
        <f>'[91]MD20000.15-DEc'!$O$1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'[92]MD20000.15-DEc'!$C$1</f>
        <v>10000</v>
      </c>
      <c r="F50" s="20"/>
      <c r="G50" s="20"/>
      <c r="H50" s="20">
        <f>'[92]MD20000.15-DEc'!$K$1</f>
        <v>0</v>
      </c>
      <c r="I50" s="20">
        <f>'[92]MD20000.15-DEc'!$K$2</f>
        <v>17</v>
      </c>
      <c r="J50" s="21" t="s">
        <v>12</v>
      </c>
      <c r="K50" s="22">
        <f>'[92]MD20000.15-DEc'!$B$3</f>
        <v>45496</v>
      </c>
      <c r="L50" s="19">
        <f>'[92]MD20000.15-DEc'!$O$2</f>
        <v>0</v>
      </c>
      <c r="M50" s="19">
        <f>'[92]MD20000.15-DEc'!$O$1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'[93]MD20000.18-DEC'!$C$1</f>
        <v>20000</v>
      </c>
      <c r="F51" s="20">
        <f>'[93]MD20000.18-DEC'!$K$1</f>
        <v>0</v>
      </c>
      <c r="G51" s="20">
        <f>'[93]MD20000.18-DEC'!$K$2</f>
        <v>120</v>
      </c>
      <c r="H51" s="20"/>
      <c r="I51" s="20"/>
      <c r="J51" s="21" t="s">
        <v>12</v>
      </c>
      <c r="K51" s="22">
        <f>'[93]MD20000.18-DEC'!$B$3</f>
        <v>45493</v>
      </c>
      <c r="L51" s="19">
        <f>'[93]MD20000.18-DEC'!$O$2</f>
        <v>0</v>
      </c>
      <c r="M51" s="19">
        <f>'[93]MD20000.18-DEC'!$O$1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'[94]MD20000.15-DEc'!$C$1</f>
        <v>10000</v>
      </c>
      <c r="F52" s="20"/>
      <c r="G52" s="20"/>
      <c r="H52" s="20">
        <f>'[94]MD20000.15-DEc'!$K$1</f>
        <v>0</v>
      </c>
      <c r="I52" s="20">
        <f>'[94]MD20000.15-DEc'!$K$2</f>
        <v>17</v>
      </c>
      <c r="J52" s="21" t="s">
        <v>12</v>
      </c>
      <c r="K52" s="22">
        <f>'[94]MD20000.15-DEc'!$B$3</f>
        <v>45502</v>
      </c>
      <c r="L52" s="19">
        <f>'[94]MD20000.15-DEc'!$O$2</f>
        <v>0</v>
      </c>
      <c r="M52" s="19">
        <f>'[94]MD20000.15-DEc'!$O$1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'[95]MD50000.15-DEC'!$C$1</f>
        <v>20000</v>
      </c>
      <c r="F53" s="20"/>
      <c r="G53" s="20"/>
      <c r="H53" s="20">
        <f>'[95]MD50000.15-DEC'!$K$1</f>
        <v>0</v>
      </c>
      <c r="I53" s="20">
        <f>'[95]MD50000.15-DEC'!$K$2</f>
        <v>17</v>
      </c>
      <c r="J53" s="21" t="s">
        <v>12</v>
      </c>
      <c r="K53" s="22">
        <f>'[95]MD50000.15-DEC'!$B$3</f>
        <v>45504</v>
      </c>
      <c r="L53" s="19">
        <f>'[95]MD50000.15-DEC'!$O$2</f>
        <v>0</v>
      </c>
      <c r="M53" s="19">
        <f>'[95]MD50000.15-DEC'!$O$1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'[96]MD10000.20-OCT'!$C$1</f>
        <v>5000</v>
      </c>
      <c r="F54" s="20"/>
      <c r="G54" s="20"/>
      <c r="H54" s="20">
        <f>'[96]MD10000.20-OCT'!$K$1</f>
        <v>0</v>
      </c>
      <c r="I54" s="20">
        <f>'[96]MD10000.20-OCT'!$K$2</f>
        <v>17</v>
      </c>
      <c r="J54" s="21" t="s">
        <v>51</v>
      </c>
      <c r="K54" s="22">
        <f>'[96]MD10000.20-OCT'!$B$3</f>
        <v>45511</v>
      </c>
      <c r="L54" s="19">
        <f>'[96]MD10000.20-OCT'!$O$2</f>
        <v>0</v>
      </c>
      <c r="M54" s="19">
        <f>'[96]MD10000.20-OCT'!$O$1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'[97]MD20000.18-DEC'!$C$1</f>
        <v>30000</v>
      </c>
      <c r="F55" s="20">
        <f>'[97]MD20000.18-DEC'!$K$1</f>
        <v>0</v>
      </c>
      <c r="G55" s="20">
        <f>'[97]MD20000.18-DEC'!$K$2</f>
        <v>120</v>
      </c>
      <c r="H55" s="20"/>
      <c r="I55" s="20"/>
      <c r="J55" s="21" t="s">
        <v>51</v>
      </c>
      <c r="K55" s="22">
        <f>'[97]MD20000.18-DEC'!$B$3</f>
        <v>45508</v>
      </c>
      <c r="L55" s="19">
        <f>'[97]MD20000.18-DEC'!$O$2</f>
        <v>0</v>
      </c>
      <c r="M55" s="19">
        <f>'[97]MD20000.18-DEC'!$O$1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'[98]MD20000.18-DEC'!$C$1</f>
        <v>10000</v>
      </c>
      <c r="F56" s="20">
        <f>'[98]MD20000.18-DEC'!$K$1</f>
        <v>0</v>
      </c>
      <c r="G56" s="20">
        <f>'[98]MD20000.18-DEC'!$K$2</f>
        <v>120</v>
      </c>
      <c r="H56" s="20"/>
      <c r="I56" s="20"/>
      <c r="J56" s="21" t="s">
        <v>12</v>
      </c>
      <c r="K56" s="22">
        <f>'[98]MD20000.18-DEC'!$B$3</f>
        <v>45514</v>
      </c>
      <c r="L56" s="19">
        <f>'[98]MD20000.18-DEC'!$O$2</f>
        <v>0</v>
      </c>
      <c r="M56" s="19">
        <f>'[98]MD20000.18-DEC'!$O$1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'[99]MD20000.15-DEc'!$C$1</f>
        <v>20000</v>
      </c>
      <c r="F57" s="20"/>
      <c r="G57" s="20"/>
      <c r="H57" s="20">
        <f>'[99]MD20000.15-DEc'!$K$1</f>
        <v>0</v>
      </c>
      <c r="I57" s="20">
        <f>'[99]MD20000.15-DEc'!$K$2</f>
        <v>17</v>
      </c>
      <c r="J57" s="21" t="s">
        <v>12</v>
      </c>
      <c r="K57" s="22">
        <f>'[99]MD20000.15-DEc'!$B$3</f>
        <v>45527</v>
      </c>
      <c r="L57" s="19">
        <f>'[99]MD20000.15-DEc'!$O$2</f>
        <v>0</v>
      </c>
      <c r="M57" s="19">
        <f>'[99]MD20000.15-DEc'!$O$1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'[100]MD20000.15-DEc'!$C$1</f>
        <v>10000</v>
      </c>
      <c r="F58" s="20"/>
      <c r="G58" s="20"/>
      <c r="H58" s="20">
        <f>'[100]MD20000.15-DEc'!$K$1</f>
        <v>0</v>
      </c>
      <c r="I58" s="20">
        <f>'[100]MD20000.15-DEc'!$K$2</f>
        <v>17</v>
      </c>
      <c r="J58" s="21" t="s">
        <v>12</v>
      </c>
      <c r="K58" s="22">
        <f>'[100]MD20000.15-DEc'!$B$3</f>
        <v>45531</v>
      </c>
      <c r="L58" s="19">
        <f>'[100]MD20000.15-DEc'!$O$2</f>
        <v>0</v>
      </c>
      <c r="M58" s="19">
        <f>'[100]MD20000.15-DEc'!$O$1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'[101]MD10000.20-OCT'!$C$1</f>
        <v>5000</v>
      </c>
      <c r="F59" s="20"/>
      <c r="G59" s="20"/>
      <c r="H59" s="20">
        <f>'[101]MD10000.20-OCT'!$K$1</f>
        <v>0</v>
      </c>
      <c r="I59" s="20">
        <f>'[101]MD10000.20-OCT'!$K$2</f>
        <v>17</v>
      </c>
      <c r="J59" s="21" t="s">
        <v>51</v>
      </c>
      <c r="K59" s="22">
        <f>'[101]MD10000.20-OCT'!$B$3</f>
        <v>45532</v>
      </c>
      <c r="L59" s="19">
        <f>'[101]MD10000.20-OCT'!$O$2</f>
        <v>0</v>
      </c>
      <c r="M59" s="19">
        <f>'[101]MD10000.20-OCT'!$O$1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'[102]MD20000.15-DEc'!$C$1</f>
        <v>10000</v>
      </c>
      <c r="F60" s="20"/>
      <c r="G60" s="20"/>
      <c r="H60" s="20">
        <f>'[102]MD20000.15-DEc'!$K$1</f>
        <v>0</v>
      </c>
      <c r="I60" s="20">
        <f>'[102]MD20000.15-DEc'!$K$2</f>
        <v>17</v>
      </c>
      <c r="J60" s="21" t="s">
        <v>12</v>
      </c>
      <c r="K60" s="22">
        <f>'[102]MD20000.15-DEc'!$B$3</f>
        <v>45534</v>
      </c>
      <c r="L60" s="19">
        <f>'[102]MD20000.15-DEc'!$O$2</f>
        <v>0</v>
      </c>
      <c r="M60" s="19">
        <f>'[102]MD20000.15-DEc'!$O$1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'[103]MD10000.20-OCT'!$C$1</f>
        <v>5000</v>
      </c>
      <c r="F61" s="20"/>
      <c r="G61" s="20"/>
      <c r="H61" s="20">
        <f>'[103]MD10000.20-OCT'!$K$1</f>
        <v>0</v>
      </c>
      <c r="I61" s="20">
        <f>'[103]MD10000.20-OCT'!$K$2</f>
        <v>17</v>
      </c>
      <c r="J61" s="21" t="s">
        <v>51</v>
      </c>
      <c r="K61" s="22">
        <f>'[103]MD10000.20-OCT'!$B$3</f>
        <v>45536</v>
      </c>
      <c r="L61" s="19">
        <f>'[103]MD10000.20-OCT'!$O$2</f>
        <v>0</v>
      </c>
      <c r="M61" s="19">
        <f>'[103]MD10000.20-OCT'!$O$1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'[104]MD20000.22-DEC'!$C$1</f>
        <v>20000</v>
      </c>
      <c r="F62" s="20">
        <f>'[104]MD20000.22-DEC'!$K$1</f>
        <v>0</v>
      </c>
      <c r="G62" s="20">
        <f>'[104]MD20000.22-DEC'!$K$2</f>
        <v>120</v>
      </c>
      <c r="H62" s="20"/>
      <c r="I62" s="20"/>
      <c r="J62" s="21" t="s">
        <v>51</v>
      </c>
      <c r="K62" s="22">
        <f>'[104]MD20000.22-DEC'!$B$3</f>
        <v>45535</v>
      </c>
      <c r="L62" s="19">
        <f>'[104]MD20000.22-DEC'!$O$2</f>
        <v>0</v>
      </c>
      <c r="M62" s="19">
        <f>'[104]MD20000.22-DEC'!$O$1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'[105]MD10000.20-OCT'!$C$1</f>
        <v>5000</v>
      </c>
      <c r="F63" s="20"/>
      <c r="G63" s="20"/>
      <c r="H63" s="20">
        <f>'[105]MD10000.20-OCT'!$K$1</f>
        <v>0</v>
      </c>
      <c r="I63" s="20">
        <f>'[105]MD10000.20-OCT'!$K$2</f>
        <v>17</v>
      </c>
      <c r="J63" s="21" t="s">
        <v>51</v>
      </c>
      <c r="K63" s="22">
        <f>'[105]MD10000.20-OCT'!$B$3</f>
        <v>45549</v>
      </c>
      <c r="L63" s="19">
        <f>'[105]MD10000.20-OCT'!$O$2</f>
        <v>0</v>
      </c>
      <c r="M63" s="19">
        <f>'[105]MD10000.20-OCT'!$O$1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'[106]MD20000.22-DEC'!$C$1</f>
        <v>20000</v>
      </c>
      <c r="F64" s="20">
        <f>'[106]MD20000.22-DEC'!$K$1</f>
        <v>0</v>
      </c>
      <c r="G64" s="20">
        <f>'[106]MD20000.22-DEC'!$K$2</f>
        <v>120</v>
      </c>
      <c r="H64" s="20"/>
      <c r="I64" s="20"/>
      <c r="J64" s="21" t="s">
        <v>12</v>
      </c>
      <c r="K64" s="22">
        <f>'[106]MD20000.22-DEC'!$B$13</f>
        <v>45562</v>
      </c>
      <c r="L64" s="19">
        <f>'[106]MD20000.22-DEC'!$O$2</f>
        <v>0</v>
      </c>
      <c r="M64" s="19">
        <f>'[106]MD20000.22-DEC'!$O$1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'[107]MD10000.1-OCT'!$C$1</f>
        <v>10000</v>
      </c>
      <c r="F65" s="20">
        <f>'[107]MD10000.1-OCT'!$K$1</f>
        <v>0</v>
      </c>
      <c r="G65" s="20">
        <f>'[107]MD10000.1-OCT'!$K$2</f>
        <v>120</v>
      </c>
      <c r="H65" s="20"/>
      <c r="I65" s="20"/>
      <c r="J65" s="21" t="s">
        <v>12</v>
      </c>
      <c r="K65" s="22">
        <f>'[107]MD10000.1-OCT'!$B$3</f>
        <v>45557</v>
      </c>
      <c r="L65" s="19">
        <f>'[107]MD10000.1-OCT'!$O$2</f>
        <v>0</v>
      </c>
      <c r="M65" s="19">
        <f>'[107]MD10000.1-OCT'!$O$1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'[108]MD20000.18-DEC'!$C$1</f>
        <v>20000</v>
      </c>
      <c r="F68" s="20">
        <f>'[108]MD20000.18-DEC'!$K$1</f>
        <v>0</v>
      </c>
      <c r="G68" s="20">
        <f>'[108]MD20000.18-DEC'!$K$2</f>
        <v>120</v>
      </c>
      <c r="H68" s="20"/>
      <c r="I68" s="20"/>
      <c r="J68" s="21" t="s">
        <v>12</v>
      </c>
      <c r="K68" s="22">
        <f>'[108]MD20000.18-DEC'!$B$3</f>
        <v>45562</v>
      </c>
      <c r="L68" s="19">
        <f>'[108]MD20000.18-DEC'!$O$2</f>
        <v>0</v>
      </c>
      <c r="M68" s="19">
        <f>'[108]MD20000.18-DEC'!$O$1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'[109]MD20000.18-DEC'!$C$1</f>
        <v>50000</v>
      </c>
      <c r="F71" s="24">
        <f>'[109]MD20000.18-DEC'!$K$1</f>
        <v>66</v>
      </c>
      <c r="G71" s="24">
        <f>'[109]MD20000.18-DEC'!$K$2</f>
        <v>54</v>
      </c>
      <c r="H71" s="24"/>
      <c r="I71" s="24"/>
      <c r="J71" s="27" t="s">
        <v>12</v>
      </c>
      <c r="K71" s="25">
        <f>'[109]MD20000.18-DEC'!$B$3</f>
        <v>45579</v>
      </c>
      <c r="L71" s="26">
        <f>'[109]MD20000.18-DEC'!$O$2</f>
        <v>33000</v>
      </c>
      <c r="M71" s="26">
        <f>'[109]MD20000.18-DEC'!$O$1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12</v>
      </c>
      <c r="I72" s="8">
        <f>'[6]MD20000.18-DEC'!$K$2</f>
        <v>28</v>
      </c>
      <c r="J72" s="9" t="s">
        <v>12</v>
      </c>
      <c r="K72" s="10">
        <f>'[6]MD20000.18-DEC'!$B$3</f>
        <v>45590</v>
      </c>
      <c r="L72" s="7">
        <f>'[6]MD20000.18-DEC'!$O$2</f>
        <v>48000</v>
      </c>
      <c r="M72" s="7">
        <f>'[6]MD20000.18-DEC'!$O$1</f>
        <v>112000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'[110]MD20000.18-DEC'!$C$1</f>
        <v>50000</v>
      </c>
      <c r="F73" s="20">
        <f>'[110]MD20000.18-DEC'!$K$1</f>
        <v>0</v>
      </c>
      <c r="G73" s="20">
        <f>'[110]MD20000.18-DEC'!$K$2</f>
        <v>120</v>
      </c>
      <c r="H73" s="20"/>
      <c r="I73" s="20"/>
      <c r="J73" s="21" t="s">
        <v>12</v>
      </c>
      <c r="K73" s="22">
        <f>'[110]MD20000.18-DEC'!$B$3</f>
        <v>45584</v>
      </c>
      <c r="L73" s="19">
        <f>'[110]MD20000.18-DEC'!$O$2</f>
        <v>0</v>
      </c>
      <c r="M73" s="19">
        <f>'[110]MD20000.18-DEC'!$O$1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'[111]MD20000.18-DEC'!$C$1</f>
        <v>20000</v>
      </c>
      <c r="F74" s="20">
        <f>'[111]MD20000.18-DEC'!$K$1</f>
        <v>0</v>
      </c>
      <c r="G74" s="20">
        <f>'[111]MD20000.18-DEC'!$K$2</f>
        <v>120</v>
      </c>
      <c r="H74" s="20"/>
      <c r="I74" s="20"/>
      <c r="J74" s="21" t="s">
        <v>12</v>
      </c>
      <c r="K74" s="22">
        <f>'[111]MD20000.18-DEC'!$B$3</f>
        <v>45584</v>
      </c>
      <c r="L74" s="19">
        <f>'[111]MD20000.18-DEC'!$O$2</f>
        <v>0</v>
      </c>
      <c r="M74" s="19">
        <f>'[111]MD20000.18-DEC'!$O$1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'[112]MD20000.18-DEC'!$C$1</f>
        <v>20000</v>
      </c>
      <c r="F76" s="20">
        <f>'[112]MD20000.18-DEC'!$K$1</f>
        <v>0</v>
      </c>
      <c r="G76" s="20">
        <f>'[112]MD20000.18-DEC'!$K$2</f>
        <v>120</v>
      </c>
      <c r="H76" s="20"/>
      <c r="I76" s="20"/>
      <c r="J76" s="21" t="s">
        <v>12</v>
      </c>
      <c r="K76" s="22">
        <f>'[112]MD20000.18-DEC'!$B$3</f>
        <v>45584</v>
      </c>
      <c r="L76" s="19">
        <f>'[112]MD20000.18-DEC'!$O$2</f>
        <v>0</v>
      </c>
      <c r="M76" s="19">
        <f>'[112]MD20000.18-DEC'!$O$1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10</v>
      </c>
      <c r="G78" s="8">
        <f>'[10]MD20000.18-DEC'!$K$2</f>
        <v>110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1000</v>
      </c>
      <c r="M78" s="7">
        <f>'[10]MD20000.18-DEC'!$O$1</f>
        <v>11000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68</v>
      </c>
      <c r="G79" s="8">
        <f>'[11]MD20000.18-DEC'!$K$2</f>
        <v>52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6800</v>
      </c>
      <c r="M79" s="7">
        <f>'[11]MD20000.18-DEC'!$O$1</f>
        <v>5200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'[113]MD20000.18-DEC'!$C$1</f>
        <v>10000</v>
      </c>
      <c r="F80" s="20">
        <f>'[113]MD20000.18-DEC'!$K$1</f>
        <v>0</v>
      </c>
      <c r="G80" s="20">
        <f>'[113]MD20000.18-DEC'!$K$2</f>
        <v>120</v>
      </c>
      <c r="H80" s="20"/>
      <c r="I80" s="20"/>
      <c r="J80" s="21" t="s">
        <v>12</v>
      </c>
      <c r="K80" s="22">
        <f>'[113]MD20000.18-DEC'!$B$3</f>
        <v>45587</v>
      </c>
      <c r="L80" s="19">
        <f>'[113]MD20000.18-DEC'!$O$2</f>
        <v>0</v>
      </c>
      <c r="M80" s="19">
        <f>'[113]MD20000.18-DEC'!$O$1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'[114]MD20000.22-DEC'!$C$1</f>
        <v>20000</v>
      </c>
      <c r="F83" s="20">
        <f>'[114]MD20000.22-DEC'!$K$1</f>
        <v>0</v>
      </c>
      <c r="G83" s="20">
        <f>'[114]MD20000.22-DEC'!$K$2</f>
        <v>120</v>
      </c>
      <c r="H83" s="20"/>
      <c r="I83" s="20"/>
      <c r="J83" s="21" t="s">
        <v>12</v>
      </c>
      <c r="K83" s="22">
        <f>'[114]MD20000.22-DEC'!$B$3</f>
        <v>45597</v>
      </c>
      <c r="L83" s="19">
        <f>'[114]MD20000.22-DEC'!$O$2</f>
        <v>0</v>
      </c>
      <c r="M83" s="19">
        <f>'[114]MD20000.22-DEC'!$O$1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'[115]MD20000.18-DEC'!$C$1</f>
        <v>30000</v>
      </c>
      <c r="F84" s="20">
        <f>'[115]MD20000.18-DEC'!$K$1</f>
        <v>0</v>
      </c>
      <c r="G84" s="20">
        <f>'[115]MD20000.18-DEC'!$K$2</f>
        <v>120</v>
      </c>
      <c r="H84" s="20"/>
      <c r="I84" s="20"/>
      <c r="J84" s="21" t="s">
        <v>12</v>
      </c>
      <c r="K84" s="22">
        <f>'[115]MD20000.18-DEC'!$B$3</f>
        <v>45602</v>
      </c>
      <c r="L84" s="19">
        <f>'[115]MD20000.18-DEC'!$O$2</f>
        <v>0</v>
      </c>
      <c r="M84" s="19">
        <f>'[115]MD20000.18-DEC'!$O$1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'[116]MD20000.18-DEC'!$C$1</f>
        <v>50000</v>
      </c>
      <c r="F85" s="24">
        <f>'[116]MD20000.18-DEC'!$K$1</f>
        <v>100</v>
      </c>
      <c r="G85" s="24">
        <f>'[116]MD20000.18-DEC'!$K$2</f>
        <v>20</v>
      </c>
      <c r="H85" s="24"/>
      <c r="I85" s="24"/>
      <c r="J85" s="27" t="s">
        <v>12</v>
      </c>
      <c r="K85" s="25">
        <f>'[116]MD20000.18-DEC'!$B$3</f>
        <v>45612</v>
      </c>
      <c r="L85" s="26">
        <f>'[116]MD20000.18-DEC'!$O$2</f>
        <v>50000</v>
      </c>
      <c r="M85" s="26">
        <f>'[116]MD20000.18-DEC'!$O$1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206</v>
      </c>
      <c r="G87" s="8">
        <f>'[15]MD50000.15-DEC'!$K$2</f>
        <v>61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123600</v>
      </c>
      <c r="M87" s="7">
        <f>'[15]MD50000.15-DEC'!$O$1</f>
        <v>36600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'[117]MD20000.18-DEC'!$C$1</f>
        <v>30000</v>
      </c>
      <c r="F89" s="20">
        <f>'[117]MD20000.18-DEC'!$K$1</f>
        <v>0</v>
      </c>
      <c r="G89" s="20">
        <f>'[117]MD20000.18-DEC'!$K$2</f>
        <v>120</v>
      </c>
      <c r="H89" s="20"/>
      <c r="I89" s="20"/>
      <c r="J89" s="21" t="s">
        <v>12</v>
      </c>
      <c r="K89" s="22">
        <f>'[117]MD20000.18-DEC'!$B$3</f>
        <v>45647</v>
      </c>
      <c r="L89" s="19">
        <f>'[117]MD20000.18-DEC'!$O$2</f>
        <v>0</v>
      </c>
      <c r="M89" s="19">
        <f>'[117]MD20000.18-DEC'!$O$1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2025-05-16T04:57:48Z</dcterms:modified>
</cp:coreProperties>
</file>