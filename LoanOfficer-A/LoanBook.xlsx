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520" windowHeight="4425"/>
  </bookViews>
  <sheets>
    <sheet name="2023" sheetId="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</externalReferences>
  <calcPr calcId="145621" iterateDelta="1E-4"/>
</workbook>
</file>

<file path=xl/calcChain.xml><?xml version="1.0" encoding="utf-8"?>
<calcChain xmlns="http://schemas.openxmlformats.org/spreadsheetml/2006/main"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</calcChain>
</file>

<file path=xl/sharedStrings.xml><?xml version="1.0" encoding="utf-8"?>
<sst xmlns="http://schemas.openxmlformats.org/spreadsheetml/2006/main" count="263" uniqueCount="112">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</sst>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6666"/>
      <color rgb="FF0033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76" Type="http://schemas.openxmlformats.org/officeDocument/2006/relationships/externalLink" Target="externalLinks/externalLink75.xml"/><Relationship Id="rId84" Type="http://schemas.openxmlformats.org/officeDocument/2006/relationships/externalLink" Target="externalLinks/externalLink83.xml"/><Relationship Id="rId89" Type="http://schemas.openxmlformats.org/officeDocument/2006/relationships/sharedStrings" Target="sharedStrings.xml"/><Relationship Id="rId7" Type="http://schemas.openxmlformats.org/officeDocument/2006/relationships/externalLink" Target="externalLinks/externalLink6.xml"/><Relationship Id="rId71" Type="http://schemas.openxmlformats.org/officeDocument/2006/relationships/externalLink" Target="externalLinks/externalLink70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66" Type="http://schemas.openxmlformats.org/officeDocument/2006/relationships/externalLink" Target="externalLinks/externalLink65.xml"/><Relationship Id="rId74" Type="http://schemas.openxmlformats.org/officeDocument/2006/relationships/externalLink" Target="externalLinks/externalLink73.xml"/><Relationship Id="rId79" Type="http://schemas.openxmlformats.org/officeDocument/2006/relationships/externalLink" Target="externalLinks/externalLink78.xml"/><Relationship Id="rId87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61" Type="http://schemas.openxmlformats.org/officeDocument/2006/relationships/externalLink" Target="externalLinks/externalLink60.xml"/><Relationship Id="rId82" Type="http://schemas.openxmlformats.org/officeDocument/2006/relationships/externalLink" Target="externalLinks/externalLink81.xml"/><Relationship Id="rId90" Type="http://schemas.openxmlformats.org/officeDocument/2006/relationships/calcChain" Target="calcChain.xml"/><Relationship Id="rId19" Type="http://schemas.openxmlformats.org/officeDocument/2006/relationships/externalLink" Target="externalLinks/externalLink18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77" Type="http://schemas.openxmlformats.org/officeDocument/2006/relationships/externalLink" Target="externalLinks/externalLink76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externalLink" Target="externalLinks/externalLink71.xml"/><Relationship Id="rId80" Type="http://schemas.openxmlformats.org/officeDocument/2006/relationships/externalLink" Target="externalLinks/externalLink79.xml"/><Relationship Id="rId85" Type="http://schemas.openxmlformats.org/officeDocument/2006/relationships/externalLink" Target="externalLinks/externalLink84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75" Type="http://schemas.openxmlformats.org/officeDocument/2006/relationships/externalLink" Target="externalLinks/externalLink74.xml"/><Relationship Id="rId83" Type="http://schemas.openxmlformats.org/officeDocument/2006/relationships/externalLink" Target="externalLinks/externalLink82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externalLink" Target="externalLinks/externalLink72.xml"/><Relationship Id="rId78" Type="http://schemas.openxmlformats.org/officeDocument/2006/relationships/externalLink" Target="externalLinks/externalLink77.xml"/><Relationship Id="rId81" Type="http://schemas.openxmlformats.org/officeDocument/2006/relationships/externalLink" Target="externalLinks/externalLink80.xml"/><Relationship Id="rId86" Type="http://schemas.openxmlformats.org/officeDocument/2006/relationships/externalLink" Target="externalLinks/externalLink8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6%20huirem%20sunamani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7%20bijent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8%20Yaithengbam%20Bidyabati%20-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9%20thasana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0%20haobijam%20joyshree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1%20asiqi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2%20kiran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3%20suna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3</v>
          </cell>
          <cell r="O1">
            <v>15750</v>
          </cell>
        </row>
        <row r="2">
          <cell r="K2">
            <v>45</v>
          </cell>
          <cell r="O2">
            <v>1050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11200</v>
          </cell>
        </row>
        <row r="2">
          <cell r="K2">
            <v>32</v>
          </cell>
          <cell r="O2">
            <v>5600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3</v>
          </cell>
          <cell r="O1">
            <v>19800</v>
          </cell>
        </row>
        <row r="2">
          <cell r="K2">
            <v>14</v>
          </cell>
          <cell r="O2">
            <v>4200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5</v>
          </cell>
          <cell r="O1">
            <v>8500</v>
          </cell>
        </row>
        <row r="2">
          <cell r="K2">
            <v>12</v>
          </cell>
          <cell r="O2">
            <v>3500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4</v>
          </cell>
          <cell r="O1">
            <v>9200</v>
          </cell>
        </row>
        <row r="2">
          <cell r="K2">
            <v>13</v>
          </cell>
          <cell r="O2">
            <v>2800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59</v>
          </cell>
          <cell r="O1">
            <v>12200</v>
          </cell>
        </row>
        <row r="2">
          <cell r="K2">
            <v>61</v>
          </cell>
          <cell r="O2">
            <v>11800</v>
          </cell>
        </row>
        <row r="13">
          <cell r="B13">
            <v>45562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65</v>
          </cell>
          <cell r="O1">
            <v>5500</v>
          </cell>
        </row>
        <row r="2">
          <cell r="K2">
            <v>55</v>
          </cell>
          <cell r="O2">
            <v>6500</v>
          </cell>
        </row>
        <row r="3">
          <cell r="B3">
            <v>45557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65</v>
          </cell>
          <cell r="O1">
            <v>5500</v>
          </cell>
        </row>
        <row r="2">
          <cell r="K2">
            <v>55</v>
          </cell>
          <cell r="O2">
            <v>6500</v>
          </cell>
        </row>
        <row r="3">
          <cell r="B3">
            <v>45557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54</v>
          </cell>
          <cell r="O1">
            <v>6600</v>
          </cell>
        </row>
        <row r="2">
          <cell r="K2">
            <v>66</v>
          </cell>
          <cell r="O2">
            <v>5400</v>
          </cell>
        </row>
        <row r="3">
          <cell r="B3">
            <v>45561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70</v>
          </cell>
          <cell r="O1">
            <v>10000</v>
          </cell>
        </row>
        <row r="2">
          <cell r="K2">
            <v>50</v>
          </cell>
          <cell r="O2">
            <v>14000</v>
          </cell>
        </row>
        <row r="3">
          <cell r="B3">
            <v>45562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69</v>
          </cell>
          <cell r="O1">
            <v>5100</v>
          </cell>
        </row>
        <row r="2">
          <cell r="K2">
            <v>51</v>
          </cell>
          <cell r="O2">
            <v>6900</v>
          </cell>
        </row>
        <row r="3">
          <cell r="B3">
            <v>45563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90</v>
          </cell>
          <cell r="O1">
            <v>4500</v>
          </cell>
        </row>
        <row r="2">
          <cell r="K2">
            <v>30</v>
          </cell>
          <cell r="O2">
            <v>13500</v>
          </cell>
        </row>
        <row r="3">
          <cell r="B3">
            <v>45570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81</v>
          </cell>
          <cell r="O1">
            <v>19500</v>
          </cell>
        </row>
        <row r="2">
          <cell r="K2">
            <v>39</v>
          </cell>
          <cell r="O2">
            <v>40500</v>
          </cell>
        </row>
        <row r="3">
          <cell r="B3">
            <v>45579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35</v>
          </cell>
          <cell r="O1">
            <v>20000</v>
          </cell>
        </row>
        <row r="2">
          <cell r="K2">
            <v>5</v>
          </cell>
          <cell r="O2">
            <v>140000</v>
          </cell>
        </row>
        <row r="3">
          <cell r="B3">
            <v>45590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86</v>
          </cell>
          <cell r="O1">
            <v>17000</v>
          </cell>
        </row>
        <row r="2">
          <cell r="K2">
            <v>34</v>
          </cell>
          <cell r="O2">
            <v>43000</v>
          </cell>
        </row>
        <row r="3">
          <cell r="B3">
            <v>45584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91</v>
          </cell>
          <cell r="O1">
            <v>5800</v>
          </cell>
        </row>
        <row r="2">
          <cell r="K2">
            <v>29</v>
          </cell>
          <cell r="O2">
            <v>18200</v>
          </cell>
        </row>
        <row r="3">
          <cell r="B3">
            <v>45584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93</v>
          </cell>
          <cell r="O1">
            <v>5400</v>
          </cell>
        </row>
        <row r="2">
          <cell r="K2">
            <v>27</v>
          </cell>
          <cell r="O2">
            <v>18600</v>
          </cell>
        </row>
        <row r="3">
          <cell r="B3">
            <v>45584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91</v>
          </cell>
          <cell r="O1">
            <v>5800</v>
          </cell>
        </row>
        <row r="2">
          <cell r="K2">
            <v>29</v>
          </cell>
          <cell r="O2">
            <v>18200</v>
          </cell>
        </row>
        <row r="3">
          <cell r="B3">
            <v>45584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86</v>
          </cell>
          <cell r="O1">
            <v>6800</v>
          </cell>
        </row>
        <row r="2">
          <cell r="K2">
            <v>34</v>
          </cell>
          <cell r="O2">
            <v>17200</v>
          </cell>
        </row>
        <row r="7">
          <cell r="B7">
            <v>45587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109</v>
          </cell>
          <cell r="O1">
            <v>1100</v>
          </cell>
        </row>
        <row r="2">
          <cell r="K2">
            <v>11</v>
          </cell>
          <cell r="O2">
            <v>10900</v>
          </cell>
        </row>
        <row r="3">
          <cell r="B3">
            <v>45584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95</v>
          </cell>
          <cell r="O1">
            <v>2500</v>
          </cell>
        </row>
        <row r="2">
          <cell r="K2">
            <v>25</v>
          </cell>
          <cell r="O2">
            <v>9500</v>
          </cell>
        </row>
        <row r="3">
          <cell r="B3">
            <v>45584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94</v>
          </cell>
          <cell r="O1">
            <v>2600</v>
          </cell>
        </row>
        <row r="2">
          <cell r="K2">
            <v>26</v>
          </cell>
          <cell r="O2">
            <v>9400</v>
          </cell>
        </row>
        <row r="3">
          <cell r="B3">
            <v>45587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13</v>
          </cell>
          <cell r="O1">
            <v>5800</v>
          </cell>
        </row>
        <row r="2">
          <cell r="K2">
            <v>4</v>
          </cell>
          <cell r="O2">
            <v>18200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14</v>
          </cell>
          <cell r="O1">
            <v>4400</v>
          </cell>
        </row>
        <row r="2">
          <cell r="K2">
            <v>3</v>
          </cell>
          <cell r="O2">
            <v>19600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104</v>
          </cell>
          <cell r="O1">
            <v>3200</v>
          </cell>
        </row>
        <row r="2">
          <cell r="K2">
            <v>16</v>
          </cell>
          <cell r="O2">
            <v>20800</v>
          </cell>
        </row>
        <row r="3">
          <cell r="B3">
            <v>45597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107</v>
          </cell>
          <cell r="O1">
            <v>3900</v>
          </cell>
        </row>
        <row r="2">
          <cell r="K2">
            <v>13</v>
          </cell>
          <cell r="O2">
            <v>32100</v>
          </cell>
        </row>
        <row r="3">
          <cell r="B3">
            <v>45602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108</v>
          </cell>
          <cell r="O1">
            <v>6000</v>
          </cell>
        </row>
        <row r="2">
          <cell r="K2">
            <v>12</v>
          </cell>
          <cell r="O2">
            <v>54000</v>
          </cell>
        </row>
        <row r="3">
          <cell r="B3">
            <v>45612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113</v>
          </cell>
          <cell r="O1">
            <v>700</v>
          </cell>
        </row>
        <row r="2">
          <cell r="K2">
            <v>7</v>
          </cell>
          <cell r="O2">
            <v>11300</v>
          </cell>
        </row>
        <row r="3">
          <cell r="B3">
            <v>45612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100000</v>
          </cell>
          <cell r="K1">
            <v>264</v>
          </cell>
          <cell r="O1">
            <v>1800</v>
          </cell>
        </row>
        <row r="2">
          <cell r="K2">
            <v>3</v>
          </cell>
          <cell r="O2">
            <v>158400</v>
          </cell>
        </row>
        <row r="3">
          <cell r="B3">
            <v>45619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89"/>
  <sheetViews>
    <sheetView tabSelected="1" zoomScale="70" zoomScaleNormal="70" workbookViewId="0">
      <selection activeCell="P13" sqref="P13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8" t="s">
        <v>8</v>
      </c>
      <c r="C2" s="29"/>
      <c r="I2" s="25" t="s">
        <v>21</v>
      </c>
      <c r="J2" s="26"/>
      <c r="K2" s="27"/>
      <c r="L2" s="23">
        <f>SUM(L5:L97)</f>
        <v>721650</v>
      </c>
      <c r="M2" s="24"/>
      <c r="N2" s="1">
        <f>SUM(N5:N106)</f>
        <v>43550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'[1]SM5000.1-SEPT'!$C$1</f>
        <v>5000</v>
      </c>
      <c r="F5" s="20">
        <f>'[1]SM5000.1-SEPT'!$K$1</f>
        <v>0</v>
      </c>
      <c r="G5" s="20">
        <f>'[1]SM5000.1-SEPT'!$K$2</f>
        <v>60</v>
      </c>
      <c r="H5" s="20"/>
      <c r="I5" s="20"/>
      <c r="J5" s="21" t="s">
        <v>22</v>
      </c>
      <c r="K5" s="22">
        <f>'[1]SM5000.1-SEPT'!$B$3</f>
        <v>45180</v>
      </c>
      <c r="L5" s="19">
        <f>'[1]SM5000.1-SEPT'!$O$2</f>
        <v>0</v>
      </c>
      <c r="M5" s="19">
        <f>'[1]SM5000.1-SEPT'!$O$1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'[1]SM5000.1-oct'!$C$1</f>
        <v>5000</v>
      </c>
      <c r="F6" s="20">
        <f>'[1]SM5000.1-oct'!$K$1</f>
        <v>0</v>
      </c>
      <c r="G6" s="20">
        <f>'[1]SM5000.1-oct'!$K$2</f>
        <v>60</v>
      </c>
      <c r="H6" s="20"/>
      <c r="I6" s="20"/>
      <c r="J6" s="21" t="s">
        <v>22</v>
      </c>
      <c r="K6" s="22">
        <f>'[1]SM5000.1-oct'!$B$3</f>
        <v>45201</v>
      </c>
      <c r="L6" s="19">
        <f>'[1]SM5000.1-oct'!$O$2</f>
        <v>0</v>
      </c>
      <c r="M6" s="19">
        <f>'[1]SM5000.1-oct'!$O$1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'[2]MD10000.1-OCT'!$C$1</f>
        <v>10000</v>
      </c>
      <c r="F7" s="20">
        <f>'[2]MD10000.1-OCT'!$K$1</f>
        <v>0</v>
      </c>
      <c r="G7" s="20">
        <f>'[2]MD10000.1-OCT'!$K$2</f>
        <v>120</v>
      </c>
      <c r="H7" s="20"/>
      <c r="I7" s="20"/>
      <c r="J7" s="21" t="s">
        <v>22</v>
      </c>
      <c r="K7" s="22">
        <f>'[2]MD10000.1-OCT'!$B$3</f>
        <v>45212</v>
      </c>
      <c r="L7" s="19">
        <f>'[2]MD10000.1-OCT'!$O$2</f>
        <v>0</v>
      </c>
      <c r="M7" s="19">
        <f>'[2]MD10000.1-OCT'!$O$1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'[3]MD10000.1-OCT'!$C$1</f>
        <v>10000</v>
      </c>
      <c r="F8" s="20">
        <f>'[3]MD10000.1-OCT'!$K$1</f>
        <v>0</v>
      </c>
      <c r="G8" s="20">
        <f>'[3]MD10000.1-OCT'!$K$2</f>
        <v>120</v>
      </c>
      <c r="H8" s="20"/>
      <c r="I8" s="20"/>
      <c r="J8" s="21" t="s">
        <v>22</v>
      </c>
      <c r="K8" s="22">
        <f>'[3]MD10000.1-OCT'!$B$3</f>
        <v>45213</v>
      </c>
      <c r="L8" s="19">
        <f>'[3]MD10000.1-OCT'!$O$2</f>
        <v>0</v>
      </c>
      <c r="M8" s="19">
        <f>'[3]MD10000.1-OCT'!$O$1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'[4]MD10000.20-OCT'!$C$1</f>
        <v>10000</v>
      </c>
      <c r="F9" s="20"/>
      <c r="G9" s="20"/>
      <c r="H9" s="20">
        <f>'[4]MD10000.20-OCT'!$K$1</f>
        <v>0</v>
      </c>
      <c r="I9" s="20">
        <f>'[4]MD10000.20-OCT'!$K$2</f>
        <v>17</v>
      </c>
      <c r="J9" s="21" t="s">
        <v>51</v>
      </c>
      <c r="K9" s="22">
        <f>'[4]MD10000.20-OCT'!$B$3</f>
        <v>45226</v>
      </c>
      <c r="L9" s="19">
        <f>'[4]MD10000.20-OCT'!$O$2</f>
        <v>0</v>
      </c>
      <c r="M9" s="19">
        <f>'[4]MD10000.20-OCT'!$O$1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'[5]SM5000.1-SEPT (2)'!$C$1</f>
        <v>5000</v>
      </c>
      <c r="F10" s="20">
        <f>'[5]SM5000.1-SEPT (2)'!$K$1</f>
        <v>0</v>
      </c>
      <c r="G10" s="20">
        <f>'[5]SM5000.1-SEPT (2)'!$K$2</f>
        <v>60</v>
      </c>
      <c r="H10" s="20"/>
      <c r="I10" s="20"/>
      <c r="J10" s="21" t="s">
        <v>41</v>
      </c>
      <c r="K10" s="22">
        <f>'[5]SM5000.1-SEPT (2)'!$B$3</f>
        <v>45243</v>
      </c>
      <c r="L10" s="19">
        <f>'[5]SM5000.1-SEPT (2)'!$O$2</f>
        <v>0</v>
      </c>
      <c r="M10" s="19">
        <f>'[5]SM5000.1-SEPT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'[6]MD10000.20-OCT'!$C$1</f>
        <v>10000</v>
      </c>
      <c r="F11" s="20"/>
      <c r="G11" s="20"/>
      <c r="H11" s="20">
        <f>'[6]MD10000.20-OCT'!$K$1</f>
        <v>0</v>
      </c>
      <c r="I11" s="20">
        <f>'[6]MD10000.20-OCT'!$K$2</f>
        <v>17</v>
      </c>
      <c r="J11" s="21" t="s">
        <v>51</v>
      </c>
      <c r="K11" s="22">
        <f>'[6]MD10000.20-OCT'!$B$3</f>
        <v>45245</v>
      </c>
      <c r="L11" s="19">
        <f>'[6]MD10000.20-OCT'!$O$2</f>
        <v>0</v>
      </c>
      <c r="M11" s="19">
        <f>'[6]MD10000.20-OCT'!$O$1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'[7]MD15000.27-NOV'!$C$1</f>
        <v>15000</v>
      </c>
      <c r="F12" s="20"/>
      <c r="G12" s="20"/>
      <c r="H12" s="20">
        <f>'[7]MD15000.27-NOV'!$K$1</f>
        <v>0</v>
      </c>
      <c r="I12" s="20">
        <f>'[7]MD15000.27-NOV'!$K$2</f>
        <v>17</v>
      </c>
      <c r="J12" s="21" t="s">
        <v>51</v>
      </c>
      <c r="K12" s="22">
        <f>'[7]MD15000.27-NOV'!$B$3</f>
        <v>45266</v>
      </c>
      <c r="L12" s="19">
        <f>'[7]MD15000.27-NOV'!$O$2</f>
        <v>0</v>
      </c>
      <c r="M12" s="19">
        <f>'[7]MD15000.27-NOV'!$O$1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'[8]MD20000.15-DEC'!$C$1</f>
        <v>20000</v>
      </c>
      <c r="F13" s="20"/>
      <c r="G13" s="20"/>
      <c r="H13" s="20">
        <f>'[8]MD20000.15-DEC'!$K$1</f>
        <v>0</v>
      </c>
      <c r="I13" s="20">
        <f>'[8]MD20000.15-DEC'!$K$2</f>
        <v>17</v>
      </c>
      <c r="J13" s="21" t="s">
        <v>51</v>
      </c>
      <c r="K13" s="22">
        <f>'[8]MD20000.15-DEC'!$B$3</f>
        <v>45649</v>
      </c>
      <c r="L13" s="19">
        <f>'[8]MD20000.15-DEC'!$O$2</f>
        <v>0</v>
      </c>
      <c r="M13" s="19">
        <f>'[8]MD20000.15-DEC'!$O$1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'[9]MD20000.15-DEc'!$C$1</f>
        <v>20000</v>
      </c>
      <c r="F14" s="20"/>
      <c r="G14" s="20"/>
      <c r="H14" s="20">
        <f>'[9]MD20000.15-DEc'!$K$1</f>
        <v>0</v>
      </c>
      <c r="I14" s="20">
        <f>'[9]MD20000.15-DEc'!$K$2</f>
        <v>17</v>
      </c>
      <c r="J14" s="21" t="s">
        <v>51</v>
      </c>
      <c r="K14" s="22">
        <f>'[9]MD20000.15-DEc'!$B$3</f>
        <v>45646</v>
      </c>
      <c r="L14" s="19">
        <f>'[9]MD20000.15-DEc'!$O$2</f>
        <v>0</v>
      </c>
      <c r="M14" s="19">
        <f>'[9]MD20000.15-DEc'!$O$1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'[10]MD50000.15-DEC'!$C$1</f>
        <v>50000</v>
      </c>
      <c r="F15" s="20"/>
      <c r="G15" s="20"/>
      <c r="H15" s="20">
        <f>'[10]MD50000.15-DEC'!$K$1</f>
        <v>0</v>
      </c>
      <c r="I15" s="20">
        <f>'[10]MD50000.15-DEC'!$K$2</f>
        <v>48</v>
      </c>
      <c r="J15" s="21" t="s">
        <v>51</v>
      </c>
      <c r="K15" s="22">
        <f>'[10]MD50000.15-DEC'!$B$3</f>
        <v>45648</v>
      </c>
      <c r="L15" s="19">
        <f>'[10]MD50000.15-DEC'!$O$2</f>
        <v>0</v>
      </c>
      <c r="M15" s="19">
        <f>'[10]MD50000.15-DEC'!$O$1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'[11]MD20000.18-DEC'!$C$1</f>
        <v>20000</v>
      </c>
      <c r="F16" s="20">
        <f>'[11]MD20000.18-DEC'!$K$1</f>
        <v>0</v>
      </c>
      <c r="G16" s="20">
        <f>'[11]MD20000.18-DEC'!$K$2</f>
        <v>120</v>
      </c>
      <c r="H16" s="20"/>
      <c r="I16" s="20"/>
      <c r="J16" s="21" t="s">
        <v>53</v>
      </c>
      <c r="K16" s="22">
        <f>'[11]MD20000.18-DEC'!$B$3</f>
        <v>45279</v>
      </c>
      <c r="L16" s="19">
        <f>'[11]MD20000.18-DEC'!$O$2</f>
        <v>0</v>
      </c>
      <c r="M16" s="19">
        <f>'[11]MD20000.18-DEC'!$O$1</f>
        <v>24000</v>
      </c>
    </row>
    <row r="17" spans="2:14" ht="22.5" customHeight="1" x14ac:dyDescent="0.2">
      <c r="B17" s="17">
        <v>13</v>
      </c>
      <c r="C17" s="18" t="s">
        <v>34</v>
      </c>
      <c r="D17" s="18" t="s">
        <v>33</v>
      </c>
      <c r="E17" s="19">
        <f>'[12]MD20000.22-DEC'!$C$1</f>
        <v>20000</v>
      </c>
      <c r="F17" s="20">
        <f>'[12]MD20000.22-DEC'!$K$1</f>
        <v>120</v>
      </c>
      <c r="G17" s="20">
        <f>'[12]MD20000.22-DEC'!$K$2</f>
        <v>0</v>
      </c>
      <c r="H17" s="20"/>
      <c r="I17" s="20"/>
      <c r="J17" s="21" t="s">
        <v>51</v>
      </c>
      <c r="K17" s="22">
        <f>'[12]MD20000.22-DEC'!$B$3</f>
        <v>0</v>
      </c>
      <c r="L17" s="19"/>
      <c r="M17" s="19">
        <f>'[12]MD20000.22-DEC'!$O$1</f>
        <v>0</v>
      </c>
    </row>
    <row r="18" spans="2:14" ht="22.5" customHeight="1" x14ac:dyDescent="0.2">
      <c r="B18" s="17">
        <v>14</v>
      </c>
      <c r="C18" s="18" t="s">
        <v>35</v>
      </c>
      <c r="D18" s="18" t="s">
        <v>36</v>
      </c>
      <c r="E18" s="19">
        <f>'[13]MD50000.15-DEC'!$C$1</f>
        <v>10000</v>
      </c>
      <c r="F18" s="20"/>
      <c r="G18" s="20"/>
      <c r="H18" s="20">
        <f>'[13]MD50000.15-DEC'!$K$1</f>
        <v>0</v>
      </c>
      <c r="I18" s="20">
        <f>'[13]MD50000.15-DEC'!$K$2</f>
        <v>48</v>
      </c>
      <c r="J18" s="21" t="s">
        <v>51</v>
      </c>
      <c r="K18" s="22">
        <f>'[13]MD50000.15-DEC'!$B$3</f>
        <v>45310</v>
      </c>
      <c r="L18" s="19">
        <f>'[13]MD50000.15-DEC'!$O$2</f>
        <v>0</v>
      </c>
      <c r="M18" s="19">
        <f>'[13]MD50000.15-DEC'!$O$1</f>
        <v>16800</v>
      </c>
    </row>
    <row r="19" spans="2:14" ht="22.5" customHeight="1" x14ac:dyDescent="0.2">
      <c r="B19" s="17">
        <v>15</v>
      </c>
      <c r="C19" s="18" t="s">
        <v>37</v>
      </c>
      <c r="D19" s="18" t="s">
        <v>18</v>
      </c>
      <c r="E19" s="19">
        <f>'[14]MD5000-Jan24'!$C$1</f>
        <v>5000</v>
      </c>
      <c r="F19" s="20">
        <f>'[14]MD5000-Jan24'!$K$1</f>
        <v>0</v>
      </c>
      <c r="G19" s="20">
        <f>'[14]MD5000-Jan24'!$K$2</f>
        <v>60</v>
      </c>
      <c r="H19" s="20"/>
      <c r="I19" s="20"/>
      <c r="J19" s="21" t="s">
        <v>51</v>
      </c>
      <c r="K19" s="22">
        <f>'[14]MD5000-Jan24'!$B$3</f>
        <v>45302</v>
      </c>
      <c r="L19" s="19">
        <f>'[14]MD5000-Jan24'!$O$2</f>
        <v>0</v>
      </c>
      <c r="M19" s="19">
        <f>'[14]MD5000-Jan24'!$O$1</f>
        <v>6000</v>
      </c>
    </row>
    <row r="20" spans="2:14" ht="22.5" customHeight="1" x14ac:dyDescent="0.2">
      <c r="B20" s="12">
        <v>16</v>
      </c>
      <c r="C20" s="13" t="s">
        <v>38</v>
      </c>
      <c r="D20" s="14" t="s">
        <v>39</v>
      </c>
      <c r="E20" s="15">
        <f>'[15]MD10000.10-JAN'!$C$1</f>
        <v>10000</v>
      </c>
      <c r="F20" s="13"/>
      <c r="G20" s="13"/>
      <c r="H20" s="13">
        <f>'[15]MD10000.10-JAN'!$K$1</f>
        <v>3</v>
      </c>
      <c r="I20" s="13">
        <f>'[15]MD10000.10-JAN'!$K$2</f>
        <v>45</v>
      </c>
      <c r="J20" s="16" t="s">
        <v>12</v>
      </c>
      <c r="K20" s="14">
        <f>'[15]MD10000.10-JAN'!$B$3</f>
        <v>45308</v>
      </c>
      <c r="L20" s="15">
        <f>'[15]MD10000.10-JAN'!$O$2</f>
        <v>1050</v>
      </c>
      <c r="M20" s="15">
        <f>'[15]MD10000.10-JAN'!$O$1</f>
        <v>15750</v>
      </c>
      <c r="N20" s="1">
        <v>350</v>
      </c>
    </row>
    <row r="21" spans="2:14" ht="22.5" customHeight="1" x14ac:dyDescent="0.2">
      <c r="B21" s="17">
        <v>17</v>
      </c>
      <c r="C21" s="18" t="s">
        <v>40</v>
      </c>
      <c r="D21" s="18" t="s">
        <v>39</v>
      </c>
      <c r="E21" s="19">
        <f>'[16]MD10000.10-JAN'!$C$1</f>
        <v>10000</v>
      </c>
      <c r="F21" s="20"/>
      <c r="G21" s="20"/>
      <c r="H21" s="20">
        <f>'[16]MD10000.10-JAN'!$K$1</f>
        <v>0</v>
      </c>
      <c r="I21" s="20">
        <f>'[16]MD10000.10-JAN'!$K$2</f>
        <v>48</v>
      </c>
      <c r="J21" s="21" t="s">
        <v>51</v>
      </c>
      <c r="K21" s="22">
        <f>'[16]MD10000.10-JAN'!$B$3</f>
        <v>45308</v>
      </c>
      <c r="L21" s="19">
        <f>'[16]MD10000.10-JAN'!$O$2</f>
        <v>0</v>
      </c>
      <c r="M21" s="19">
        <f>'[16]MD10000.10-JAN'!$O$1</f>
        <v>16800</v>
      </c>
    </row>
    <row r="22" spans="2:14" ht="22.5" customHeight="1" x14ac:dyDescent="0.2">
      <c r="B22" s="17">
        <v>18</v>
      </c>
      <c r="C22" s="18" t="s">
        <v>42</v>
      </c>
      <c r="D22" s="18" t="s">
        <v>43</v>
      </c>
      <c r="E22" s="19">
        <f>'[17]MD10000.20-OCT'!$C$1</f>
        <v>5000</v>
      </c>
      <c r="F22" s="20"/>
      <c r="G22" s="20"/>
      <c r="H22" s="20">
        <f>'[17]MD10000.20-OCT'!$K$1</f>
        <v>0</v>
      </c>
      <c r="I22" s="20">
        <f>'[17]MD10000.20-OCT'!$K$2</f>
        <v>17</v>
      </c>
      <c r="J22" s="21" t="s">
        <v>51</v>
      </c>
      <c r="K22" s="22">
        <f>'[17]MD10000.20-OCT'!$B$3</f>
        <v>45316</v>
      </c>
      <c r="L22" s="19">
        <f>'[17]MD10000.20-OCT'!$O$2</f>
        <v>0</v>
      </c>
      <c r="M22" s="19">
        <f>'[17]MD10000.20-OCT'!$O$1</f>
        <v>6000</v>
      </c>
    </row>
    <row r="23" spans="2:14" ht="22.5" customHeight="1" x14ac:dyDescent="0.2">
      <c r="B23" s="17">
        <v>19</v>
      </c>
      <c r="C23" s="18" t="s">
        <v>44</v>
      </c>
      <c r="D23" s="18" t="s">
        <v>36</v>
      </c>
      <c r="E23" s="19">
        <f>'[18]MD10000.20-OCT'!$C$1</f>
        <v>10000</v>
      </c>
      <c r="F23" s="20"/>
      <c r="G23" s="20"/>
      <c r="H23" s="20">
        <f>'[18]MD10000.20-OCT'!$K$1</f>
        <v>0</v>
      </c>
      <c r="I23" s="20">
        <f>'[18]MD10000.20-OCT'!$K$2</f>
        <v>48</v>
      </c>
      <c r="J23" s="21" t="s">
        <v>51</v>
      </c>
      <c r="K23" s="22">
        <f>'[18]MD10000.20-OCT'!$B$3</f>
        <v>45324</v>
      </c>
      <c r="L23" s="19">
        <f>'[18]MD10000.20-OCT'!$O$2</f>
        <v>0</v>
      </c>
      <c r="M23" s="19">
        <f>'[18]MD10000.20-OCT'!$O$1</f>
        <v>16800</v>
      </c>
    </row>
    <row r="24" spans="2:14" ht="22.5" customHeight="1" x14ac:dyDescent="0.2">
      <c r="B24" s="17">
        <v>20</v>
      </c>
      <c r="C24" s="18" t="s">
        <v>45</v>
      </c>
      <c r="D24" s="18" t="s">
        <v>46</v>
      </c>
      <c r="E24" s="19">
        <f>'[19]MD10000.20-OCT'!$C$1</f>
        <v>10000</v>
      </c>
      <c r="F24" s="20"/>
      <c r="G24" s="20"/>
      <c r="H24" s="20">
        <f>'[19]MD10000.20-OCT'!$K$1</f>
        <v>0</v>
      </c>
      <c r="I24" s="20">
        <f>'[19]MD10000.20-OCT'!$K$2</f>
        <v>48</v>
      </c>
      <c r="J24" s="21" t="s">
        <v>51</v>
      </c>
      <c r="K24" s="22">
        <f>'[19]MD10000.20-OCT'!$B$3</f>
        <v>45327</v>
      </c>
      <c r="L24" s="19">
        <f>'[19]MD10000.20-OCT'!$O$2</f>
        <v>0</v>
      </c>
      <c r="M24" s="19">
        <f>'[19]MD10000.20-OCT'!$O$1</f>
        <v>16800</v>
      </c>
    </row>
    <row r="25" spans="2:14" ht="22.5" customHeight="1" x14ac:dyDescent="0.2">
      <c r="B25" s="17">
        <v>21</v>
      </c>
      <c r="C25" s="18" t="s">
        <v>47</v>
      </c>
      <c r="D25" s="18" t="s">
        <v>18</v>
      </c>
      <c r="E25" s="19">
        <f>'[20]SM5000.1-oct'!$C$1</f>
        <v>5000</v>
      </c>
      <c r="F25" s="20">
        <f>'[20]SM5000.1-oct'!$K$1</f>
        <v>0</v>
      </c>
      <c r="G25" s="20">
        <f>'[20]SM5000.1-oct'!$K$2</f>
        <v>60</v>
      </c>
      <c r="H25" s="20"/>
      <c r="I25" s="20"/>
      <c r="J25" s="21" t="s">
        <v>12</v>
      </c>
      <c r="K25" s="22">
        <f>'[20]SM5000.1-oct'!$B$3</f>
        <v>45323</v>
      </c>
      <c r="L25" s="19">
        <f>'[20]SM5000.1-oct'!$O$2</f>
        <v>0</v>
      </c>
      <c r="M25" s="19">
        <f>'[20]SM5000.1-oct'!$O$1</f>
        <v>6000</v>
      </c>
    </row>
    <row r="26" spans="2:14" ht="22.5" customHeight="1" x14ac:dyDescent="0.2">
      <c r="B26" s="17">
        <v>22</v>
      </c>
      <c r="C26" s="18" t="s">
        <v>49</v>
      </c>
      <c r="D26" s="18" t="s">
        <v>48</v>
      </c>
      <c r="E26" s="19">
        <f>'[21]MD10000.20-OCT'!$C$1</f>
        <v>5000</v>
      </c>
      <c r="F26" s="20"/>
      <c r="G26" s="20"/>
      <c r="H26" s="20">
        <f>'[21]MD10000.20-OCT'!$K$1</f>
        <v>0</v>
      </c>
      <c r="I26" s="20">
        <f>'[21]MD10000.20-OCT'!$K$2</f>
        <v>17</v>
      </c>
      <c r="J26" s="21" t="s">
        <v>51</v>
      </c>
      <c r="K26" s="22">
        <f>'[21]MD10000.20-OCT'!$B$3</f>
        <v>45332</v>
      </c>
      <c r="L26" s="19">
        <f>'[21]MD10000.20-OCT'!$O$2</f>
        <v>0</v>
      </c>
      <c r="M26" s="19">
        <f>'[21]MD10000.20-OCT'!$O$1</f>
        <v>6000</v>
      </c>
    </row>
    <row r="27" spans="2:14" ht="22.5" customHeight="1" x14ac:dyDescent="0.2">
      <c r="B27" s="17">
        <v>23</v>
      </c>
      <c r="C27" s="18" t="s">
        <v>14</v>
      </c>
      <c r="D27" s="18" t="s">
        <v>19</v>
      </c>
      <c r="E27" s="19">
        <f>'[22]MD10000.1-OCT'!$C$1</f>
        <v>10000</v>
      </c>
      <c r="F27" s="20">
        <f>'[22]MD10000.1-OCT'!$K$1</f>
        <v>0</v>
      </c>
      <c r="G27" s="20">
        <f>'[22]MD10000.1-OCT'!$K$2</f>
        <v>120</v>
      </c>
      <c r="H27" s="20"/>
      <c r="I27" s="20"/>
      <c r="J27" s="21" t="s">
        <v>12</v>
      </c>
      <c r="K27" s="22">
        <f>'[22]MD10000.1-OCT'!$B$3</f>
        <v>45339</v>
      </c>
      <c r="L27" s="19">
        <f>'[22]MD10000.1-OCT'!$O$2</f>
        <v>0</v>
      </c>
      <c r="M27" s="19">
        <f>'[22]MD10000.1-OCT'!$O$1</f>
        <v>12000</v>
      </c>
    </row>
    <row r="28" spans="2:14" ht="22.5" customHeight="1" x14ac:dyDescent="0.2">
      <c r="B28" s="17">
        <v>24</v>
      </c>
      <c r="C28" s="18" t="s">
        <v>13</v>
      </c>
      <c r="D28" s="18" t="s">
        <v>19</v>
      </c>
      <c r="E28" s="19">
        <f>'[23]MD10000.1-OCT'!$C$1</f>
        <v>10000</v>
      </c>
      <c r="F28" s="20">
        <f>'[23]MD10000.1-OCT'!$K$1</f>
        <v>0</v>
      </c>
      <c r="G28" s="20">
        <f>'[23]MD10000.1-OCT'!$K$2</f>
        <v>120</v>
      </c>
      <c r="H28" s="20"/>
      <c r="I28" s="20"/>
      <c r="J28" s="21" t="s">
        <v>51</v>
      </c>
      <c r="K28" s="22">
        <f>'[23]MD10000.1-OCT'!$B$3</f>
        <v>45334</v>
      </c>
      <c r="L28" s="19">
        <f>'[23]MD10000.1-OCT'!$O$2</f>
        <v>0</v>
      </c>
      <c r="M28" s="19">
        <f>'[23]MD10000.1-OCT'!$O$1</f>
        <v>12000</v>
      </c>
    </row>
    <row r="29" spans="2:14" ht="22.5" customHeight="1" x14ac:dyDescent="0.2">
      <c r="B29" s="17">
        <v>25</v>
      </c>
      <c r="C29" s="18" t="s">
        <v>23</v>
      </c>
      <c r="D29" s="18" t="s">
        <v>50</v>
      </c>
      <c r="E29" s="19">
        <f>'[24]MD20000.15-DEC'!$C$1</f>
        <v>20000</v>
      </c>
      <c r="F29" s="20"/>
      <c r="G29" s="20"/>
      <c r="H29" s="20">
        <f>'[24]MD20000.15-DEC'!$K$1</f>
        <v>5</v>
      </c>
      <c r="I29" s="20">
        <f>'[24]MD20000.15-DEC'!$K$2</f>
        <v>12</v>
      </c>
      <c r="J29" s="21" t="s">
        <v>51</v>
      </c>
      <c r="K29" s="22">
        <f>'[24]MD20000.15-DEC'!$B$3</f>
        <v>45337</v>
      </c>
      <c r="L29" s="19">
        <f>'[25]MD20000.15-DEC'!$O$2</f>
        <v>0</v>
      </c>
      <c r="M29" s="19">
        <f>'[25]MD20000.15-DEC'!$O$1</f>
        <v>24000</v>
      </c>
    </row>
    <row r="30" spans="2:14" ht="22.5" customHeight="1" x14ac:dyDescent="0.2">
      <c r="B30" s="17">
        <v>26</v>
      </c>
      <c r="C30" s="18" t="s">
        <v>15</v>
      </c>
      <c r="D30" s="18" t="s">
        <v>52</v>
      </c>
      <c r="E30" s="19">
        <f>'[26]MD20000.15-DEC'!$C$1</f>
        <v>20000</v>
      </c>
      <c r="F30" s="20"/>
      <c r="G30" s="20"/>
      <c r="H30" s="20">
        <f>'[26]MD20000.15-DEC'!$K$1</f>
        <v>0</v>
      </c>
      <c r="I30" s="20">
        <f>'[26]MD20000.15-DEC'!$K$2</f>
        <v>17</v>
      </c>
      <c r="J30" s="21" t="s">
        <v>51</v>
      </c>
      <c r="K30" s="22">
        <f>'[26]MD20000.15-DEC'!$B$3</f>
        <v>45345</v>
      </c>
      <c r="L30" s="19">
        <f>'[26]MD20000.15-DEC'!$O$2</f>
        <v>0</v>
      </c>
      <c r="M30" s="19">
        <f>'[26]MD20000.15-DEC'!$O$1</f>
        <v>24000</v>
      </c>
    </row>
    <row r="31" spans="2:14" ht="22.5" customHeight="1" x14ac:dyDescent="0.2">
      <c r="B31" s="17">
        <v>27</v>
      </c>
      <c r="C31" s="18" t="s">
        <v>32</v>
      </c>
      <c r="D31" s="18" t="s">
        <v>33</v>
      </c>
      <c r="E31" s="19">
        <f>'[27]MD20000.18-DEC'!$C$1</f>
        <v>30000</v>
      </c>
      <c r="F31" s="20">
        <f>'[27]MD20000.18-DEC'!$K$1</f>
        <v>0</v>
      </c>
      <c r="G31" s="20">
        <f>'[27]MD20000.18-DEC'!$K$2</f>
        <v>120</v>
      </c>
      <c r="H31" s="20"/>
      <c r="I31" s="20"/>
      <c r="J31" s="21" t="s">
        <v>51</v>
      </c>
      <c r="K31" s="22">
        <f>'[27]MD20000.18-DEC'!$B$3</f>
        <v>45354</v>
      </c>
      <c r="L31" s="19">
        <f>'[27]MD20000.18-DEC'!$O$2</f>
        <v>0</v>
      </c>
      <c r="M31" s="19">
        <f>'[27]MD20000.18-DEC'!$O$1</f>
        <v>36000</v>
      </c>
    </row>
    <row r="32" spans="2:14" ht="22.5" customHeight="1" x14ac:dyDescent="0.2">
      <c r="B32" s="17">
        <v>28</v>
      </c>
      <c r="C32" s="18" t="s">
        <v>54</v>
      </c>
      <c r="D32" s="18" t="s">
        <v>36</v>
      </c>
      <c r="E32" s="19">
        <f>'[28]MD10000.10-JAN'!$C$1</f>
        <v>10000</v>
      </c>
      <c r="F32" s="20"/>
      <c r="G32" s="20"/>
      <c r="H32" s="20">
        <f>'[28]MD10000.10-JAN'!$K$1</f>
        <v>0</v>
      </c>
      <c r="I32" s="20">
        <f>'[28]MD10000.10-JAN'!$K$2</f>
        <v>48</v>
      </c>
      <c r="J32" s="21" t="s">
        <v>12</v>
      </c>
      <c r="K32" s="22">
        <f>'[28]MD10000.10-JAN'!$B$3</f>
        <v>45366</v>
      </c>
      <c r="L32" s="19">
        <f>'[28]MD10000.10-JAN'!$O$2</f>
        <v>0</v>
      </c>
      <c r="M32" s="19">
        <f>'[28]MD10000.10-JAN'!$O$1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'[29]MD20000.15-DEc'!$C$1</f>
        <v>20000</v>
      </c>
      <c r="F33" s="20"/>
      <c r="G33" s="20"/>
      <c r="H33" s="20">
        <f>'[29]MD20000.15-DEc'!$K$1</f>
        <v>0</v>
      </c>
      <c r="I33" s="20">
        <f>'[29]MD20000.15-DEc'!$K$2</f>
        <v>17</v>
      </c>
      <c r="J33" s="21" t="s">
        <v>51</v>
      </c>
      <c r="K33" s="22">
        <f>'[29]MD20000.15-DEc'!$B$3</f>
        <v>45380</v>
      </c>
      <c r="L33" s="19">
        <f>'[29]MD20000.15-DEc'!$O$2</f>
        <v>0</v>
      </c>
      <c r="M33" s="19">
        <f>'[29]MD20000.15-DEc'!$O$1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'[30]MD10000.10-JAN'!$C$1</f>
        <v>10000</v>
      </c>
      <c r="F34" s="20"/>
      <c r="G34" s="20"/>
      <c r="H34" s="20">
        <f>'[30]MD10000.10-JAN'!$K$1</f>
        <v>0</v>
      </c>
      <c r="I34" s="20">
        <f>'[30]MD10000.10-JAN'!$K$2</f>
        <v>48</v>
      </c>
      <c r="J34" s="21" t="s">
        <v>12</v>
      </c>
      <c r="K34" s="22">
        <f>'[30]MD10000.10-JAN'!$B$3</f>
        <v>45389</v>
      </c>
      <c r="L34" s="19">
        <f>'[30]MD10000.10-JAN'!$O$2</f>
        <v>0</v>
      </c>
      <c r="M34" s="19">
        <f>'[30]MD10000.10-JAN'!$O$1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'[31]MD20000.15-DEc'!$C$1</f>
        <v>20000</v>
      </c>
      <c r="F35" s="20"/>
      <c r="G35" s="20"/>
      <c r="H35" s="20">
        <f>'[31]MD20000.15-DEc'!$G$1</f>
        <v>17</v>
      </c>
      <c r="I35" s="20">
        <f>'[31]MD20000.15-DEc'!$K$2</f>
        <v>17</v>
      </c>
      <c r="J35" s="21" t="s">
        <v>77</v>
      </c>
      <c r="K35" s="22">
        <f>'[31]MD20000.15-DEc'!$B$3</f>
        <v>45394</v>
      </c>
      <c r="L35" s="19">
        <f>'[31]MD20000.15-DEc'!$O$2</f>
        <v>0</v>
      </c>
      <c r="M35" s="19">
        <f>'[31]MD20000.15-DEc'!$O$1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'[32]MD10000.10-JAN'!$C$1</f>
        <v>10000</v>
      </c>
      <c r="F36" s="13"/>
      <c r="G36" s="13"/>
      <c r="H36" s="13">
        <f>'[32]MD10000.10-JAN'!$G$1</f>
        <v>48</v>
      </c>
      <c r="I36" s="13">
        <f>'[32]MD10000.10-JAN'!$K$2</f>
        <v>32</v>
      </c>
      <c r="J36" s="16" t="s">
        <v>12</v>
      </c>
      <c r="K36" s="14">
        <f>'[32]MD10000.10-JAN'!$B$3</f>
        <v>45399</v>
      </c>
      <c r="L36" s="15">
        <f>'[32]MD10000.10-JAN'!$O$2</f>
        <v>5600</v>
      </c>
      <c r="M36" s="15">
        <f>'[32]MD10000.10-JAN'!$O$1</f>
        <v>11200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'[33]MD20000.15-DEc'!$C$1</f>
        <v>20000</v>
      </c>
      <c r="F37" s="20"/>
      <c r="G37" s="20"/>
      <c r="H37" s="20">
        <f>'[33]MD20000.15-DEc'!$G$1</f>
        <v>17</v>
      </c>
      <c r="I37" s="20">
        <f>'[33]MD20000.15-DEc'!$K$2</f>
        <v>17</v>
      </c>
      <c r="J37" s="21" t="s">
        <v>12</v>
      </c>
      <c r="K37" s="22">
        <f>'[33]MD20000.15-DEc'!$B$3</f>
        <v>45406</v>
      </c>
      <c r="L37" s="19">
        <f>'[33]MD20000.15-DEc'!$O$2</f>
        <v>0</v>
      </c>
      <c r="M37" s="19">
        <f>'[33]MD20000.15-DEc'!$O$1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'[34]MD10000.20-OCT'!$C$1</f>
        <v>5000</v>
      </c>
      <c r="F38" s="20"/>
      <c r="G38" s="20"/>
      <c r="H38" s="20">
        <f>'[34]MD10000.20-OCT'!$G$1</f>
        <v>17</v>
      </c>
      <c r="I38" s="20">
        <f>'[34]MD10000.20-OCT'!$K$2</f>
        <v>17</v>
      </c>
      <c r="J38" s="21" t="s">
        <v>77</v>
      </c>
      <c r="K38" s="22">
        <f>'[34]MD10000.20-OCT'!$B$3</f>
        <v>45406</v>
      </c>
      <c r="L38" s="19">
        <f>'[34]MD10000.20-OCT'!$O$2</f>
        <v>0</v>
      </c>
      <c r="M38" s="19">
        <f>'[34]MD10000.20-OCT'!$O$1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'[35]MD50000.15-DEC'!$C$1</f>
        <v>40000</v>
      </c>
      <c r="F39" s="20"/>
      <c r="G39" s="20"/>
      <c r="H39" s="20">
        <f>'[35]MD50000.15-DEC'!$K$1</f>
        <v>47</v>
      </c>
      <c r="I39" s="20">
        <f>'[35]MD50000.15-DEC'!$K$2</f>
        <v>1</v>
      </c>
      <c r="J39" s="21" t="s">
        <v>12</v>
      </c>
      <c r="K39" s="22">
        <f>'[35]MD50000.15-DEC'!$B$3</f>
        <v>45416</v>
      </c>
      <c r="L39" s="19">
        <f>'[36]MD50000.15-DEC'!$O$2</f>
        <v>0</v>
      </c>
      <c r="M39" s="19">
        <f>'[35]MD50000.15-DEC'!$O$1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'[37]MD10000.20-OCT'!$C$1</f>
        <v>5000</v>
      </c>
      <c r="F40" s="20"/>
      <c r="G40" s="20"/>
      <c r="H40" s="20">
        <f>'[37]MD10000.20-OCT'!$K$1</f>
        <v>0</v>
      </c>
      <c r="I40" s="20">
        <f>'[37]MD10000.20-OCT'!$K$2</f>
        <v>17</v>
      </c>
      <c r="J40" s="21" t="s">
        <v>51</v>
      </c>
      <c r="K40" s="22">
        <f>'[37]MD10000.20-OCT'!$B$3</f>
        <v>45427</v>
      </c>
      <c r="L40" s="19">
        <f>'[37]MD10000.20-OCT'!$O$2</f>
        <v>0</v>
      </c>
      <c r="M40" s="19">
        <f>'[37]MD10000.20-OCT'!$O$1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'[38]MD20000.18-DEC'!$C$1</f>
        <v>20000</v>
      </c>
      <c r="F41" s="20">
        <f>'[38]MD20000.18-DEC'!$K$1</f>
        <v>0</v>
      </c>
      <c r="G41" s="20">
        <f>'[38]MD20000.18-DEC'!$K$2</f>
        <v>120</v>
      </c>
      <c r="H41" s="20"/>
      <c r="I41" s="20"/>
      <c r="J41" s="21" t="s">
        <v>77</v>
      </c>
      <c r="K41" s="22">
        <f>'[38]MD20000.18-DEC'!$B$3</f>
        <v>45425</v>
      </c>
      <c r="L41" s="19">
        <f>'[38]MD20000.18-DEC'!$O$2</f>
        <v>0</v>
      </c>
      <c r="M41" s="19">
        <f>'[38]MD20000.18-DEC'!$O$1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'[39]MD10000.20-OCT'!$C$1</f>
        <v>5000</v>
      </c>
      <c r="F42" s="20"/>
      <c r="G42" s="20"/>
      <c r="H42" s="20">
        <f>'[39]MD10000.20-OCT'!$K$1</f>
        <v>0</v>
      </c>
      <c r="I42" s="20">
        <f>'[39]MD10000.20-OCT'!$K$2</f>
        <v>17</v>
      </c>
      <c r="J42" s="21" t="s">
        <v>51</v>
      </c>
      <c r="K42" s="22">
        <f>'[39]MD10000.20-OCT'!$B$3</f>
        <v>45436</v>
      </c>
      <c r="L42" s="19">
        <f>'[39]MD10000.20-OCT'!$O$2</f>
        <v>0</v>
      </c>
      <c r="M42" s="19">
        <f>'[39]MD10000.20-OCT'!$O$1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'[40]MD20000.22-DEC'!$C$1</f>
        <v>20000</v>
      </c>
      <c r="F43" s="20">
        <f>'[40]MD20000.22-DEC'!$K$1</f>
        <v>0</v>
      </c>
      <c r="G43" s="20">
        <f>'[40]MD20000.22-DEC'!$K$2</f>
        <v>120</v>
      </c>
      <c r="H43" s="20"/>
      <c r="I43" s="20"/>
      <c r="J43" s="21" t="s">
        <v>12</v>
      </c>
      <c r="K43" s="22">
        <f>'[40]MD20000.22-DEC'!$B$3</f>
        <v>45432</v>
      </c>
      <c r="L43" s="19">
        <f>'[40]MD20000.22-DEC'!$O$2</f>
        <v>0</v>
      </c>
      <c r="M43" s="19">
        <f>'[40]MD20000.22-DEC'!$O$1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'[41]MD10000.1-OCT'!$C$1</f>
        <v>10000</v>
      </c>
      <c r="F44" s="20">
        <f>'[41]MD10000.1-OCT'!$G$1</f>
        <v>120</v>
      </c>
      <c r="G44" s="20">
        <f>'[41]MD10000.1-OCT'!$K$1</f>
        <v>0</v>
      </c>
      <c r="H44" s="20"/>
      <c r="I44" s="20"/>
      <c r="J44" s="21" t="s">
        <v>77</v>
      </c>
      <c r="K44" s="22">
        <f>'[41]MD10000.1-OCT'!$B$3</f>
        <v>45437</v>
      </c>
      <c r="L44" s="19">
        <f>'[41]MD10000.1-OCT'!$O$2</f>
        <v>0</v>
      </c>
      <c r="M44" s="19">
        <f>'[41]MD10000.1-OCT'!$O$1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'[42]MD10000.20-OCT'!$C$1</f>
        <v>5000</v>
      </c>
      <c r="F45" s="20"/>
      <c r="G45" s="20"/>
      <c r="H45" s="20">
        <f>'[42]MD10000.20-OCT'!$K$1</f>
        <v>0</v>
      </c>
      <c r="I45" s="20">
        <f>'[42]MD10000.20-OCT'!$K$2</f>
        <v>17</v>
      </c>
      <c r="J45" s="21" t="s">
        <v>51</v>
      </c>
      <c r="K45" s="22">
        <f>'[42]MD10000.20-OCT'!$B$3</f>
        <v>45444</v>
      </c>
      <c r="L45" s="19"/>
      <c r="M45" s="19">
        <f>'[42]MD10000.20-OCT'!$O$1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'[43]MD10000.1-OCT'!$C$1</f>
        <v>10000</v>
      </c>
      <c r="F46" s="20"/>
      <c r="G46" s="20"/>
      <c r="H46" s="20">
        <f>'[44]MD10000.1-OCT'!$K$1</f>
        <v>0</v>
      </c>
      <c r="I46" s="20">
        <f>'[44]MD10000.1-OCT'!$K$2</f>
        <v>17</v>
      </c>
      <c r="J46" s="21" t="s">
        <v>77</v>
      </c>
      <c r="K46" s="22">
        <f>'[43]MD10000.1-OCT'!$B$3</f>
        <v>45450</v>
      </c>
      <c r="L46" s="19">
        <f>'[44]MD10000.1-OCT'!$O$2</f>
        <v>0</v>
      </c>
      <c r="M46" s="19">
        <f>'[44]MD10000.1-OCT'!$O$1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'[45]MD20000.22-DEC'!$C$1</f>
        <v>20000</v>
      </c>
      <c r="F47" s="20">
        <f>'[45]MD20000.22-DEC'!$K$1</f>
        <v>0</v>
      </c>
      <c r="G47" s="20">
        <f>'[45]MD20000.22-DEC'!$K$2</f>
        <v>120</v>
      </c>
      <c r="H47" s="20"/>
      <c r="I47" s="20"/>
      <c r="J47" s="21" t="s">
        <v>77</v>
      </c>
      <c r="K47" s="22">
        <f>'[45]MD20000.22-DEC'!$B$3</f>
        <v>45446</v>
      </c>
      <c r="L47" s="19">
        <f>'[45]MD20000.22-DEC'!$O$2</f>
        <v>0</v>
      </c>
      <c r="M47" s="19">
        <f>'[45]MD20000.22-DEC'!$O$1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'[46]MD20000.22-DEC'!$C$1</f>
        <v>10000</v>
      </c>
      <c r="F48" s="20">
        <f>'[46]MD20000.22-DEC'!$K$1</f>
        <v>0</v>
      </c>
      <c r="G48" s="20">
        <f>'[46]MD20000.22-DEC'!$K$2</f>
        <v>120</v>
      </c>
      <c r="H48" s="20"/>
      <c r="I48" s="20"/>
      <c r="J48" s="21" t="s">
        <v>77</v>
      </c>
      <c r="K48" s="22">
        <f>'[46]MD20000.22-DEC'!$B$3</f>
        <v>45473</v>
      </c>
      <c r="L48" s="19">
        <f>'[46]MD20000.22-DEC'!$O$2</f>
        <v>0</v>
      </c>
      <c r="M48" s="19">
        <f>'[46]MD20000.22-DEC'!$O$1</f>
        <v>12000</v>
      </c>
    </row>
    <row r="49" spans="2:14" ht="22.5" customHeight="1" x14ac:dyDescent="0.2">
      <c r="B49" s="17">
        <v>45</v>
      </c>
      <c r="C49" s="18" t="s">
        <v>15</v>
      </c>
      <c r="D49" s="18" t="s">
        <v>50</v>
      </c>
      <c r="E49" s="19">
        <f>'[47]MD20000.15-DEc'!$C$1</f>
        <v>20000</v>
      </c>
      <c r="F49" s="20"/>
      <c r="G49" s="20"/>
      <c r="H49" s="20">
        <f>'[47]MD20000.15-DEc'!$K$1</f>
        <v>0</v>
      </c>
      <c r="I49" s="20">
        <f>'[47]MD20000.15-DEc'!$K$2</f>
        <v>17</v>
      </c>
      <c r="J49" s="21" t="s">
        <v>12</v>
      </c>
      <c r="K49" s="22">
        <f>'[47]MD20000.15-DEc'!$B$3</f>
        <v>45495</v>
      </c>
      <c r="L49" s="19">
        <f>'[47]MD20000.15-DEc'!$O$2</f>
        <v>0</v>
      </c>
      <c r="M49" s="19">
        <f>'[47]MD20000.15-DEc'!$O$1</f>
        <v>24000</v>
      </c>
    </row>
    <row r="50" spans="2:14" ht="22.5" customHeight="1" x14ac:dyDescent="0.2">
      <c r="B50" s="17">
        <v>46</v>
      </c>
      <c r="C50" s="18" t="s">
        <v>74</v>
      </c>
      <c r="D50" s="18" t="s">
        <v>75</v>
      </c>
      <c r="E50" s="19">
        <f>'[48]MD20000.15-DEc'!$C$1</f>
        <v>10000</v>
      </c>
      <c r="F50" s="20"/>
      <c r="G50" s="20"/>
      <c r="H50" s="20">
        <f>'[48]MD20000.15-DEc'!$K$1</f>
        <v>0</v>
      </c>
      <c r="I50" s="20">
        <f>'[48]MD20000.15-DEc'!$K$2</f>
        <v>17</v>
      </c>
      <c r="J50" s="21" t="s">
        <v>12</v>
      </c>
      <c r="K50" s="22">
        <f>'[48]MD20000.15-DEc'!$B$3</f>
        <v>45496</v>
      </c>
      <c r="L50" s="19">
        <f>'[48]MD20000.15-DEc'!$O$2</f>
        <v>0</v>
      </c>
      <c r="M50" s="19">
        <f>'[48]MD20000.15-DEc'!$O$1</f>
        <v>12000</v>
      </c>
    </row>
    <row r="51" spans="2:14" ht="22.5" customHeight="1" x14ac:dyDescent="0.2">
      <c r="B51" s="17">
        <v>47</v>
      </c>
      <c r="C51" s="18" t="s">
        <v>32</v>
      </c>
      <c r="D51" s="18" t="s">
        <v>33</v>
      </c>
      <c r="E51" s="19">
        <f>'[49]MD20000.18-DEC'!$C$1</f>
        <v>20000</v>
      </c>
      <c r="F51" s="20">
        <f>'[49]MD20000.18-DEC'!$K$1</f>
        <v>0</v>
      </c>
      <c r="G51" s="20">
        <f>'[49]MD20000.18-DEC'!$K$2</f>
        <v>120</v>
      </c>
      <c r="H51" s="20"/>
      <c r="I51" s="20"/>
      <c r="J51" s="21" t="s">
        <v>12</v>
      </c>
      <c r="K51" s="22">
        <f>'[49]MD20000.18-DEC'!$B$3</f>
        <v>45493</v>
      </c>
      <c r="L51" s="19">
        <f>'[49]MD20000.18-DEC'!$O$2</f>
        <v>0</v>
      </c>
      <c r="M51" s="19">
        <f>'[49]MD20000.18-DEC'!$O$1</f>
        <v>24000</v>
      </c>
    </row>
    <row r="52" spans="2:14" ht="22.5" customHeight="1" x14ac:dyDescent="0.2">
      <c r="B52" s="17">
        <v>48</v>
      </c>
      <c r="C52" s="18" t="s">
        <v>13</v>
      </c>
      <c r="D52" s="18" t="s">
        <v>76</v>
      </c>
      <c r="E52" s="19">
        <f>'[50]MD20000.15-DEc'!$C$1</f>
        <v>10000</v>
      </c>
      <c r="F52" s="20"/>
      <c r="G52" s="20"/>
      <c r="H52" s="20">
        <f>'[50]MD20000.15-DEc'!$K$1</f>
        <v>0</v>
      </c>
      <c r="I52" s="20">
        <f>'[50]MD20000.15-DEc'!$K$2</f>
        <v>17</v>
      </c>
      <c r="J52" s="21" t="s">
        <v>12</v>
      </c>
      <c r="K52" s="22">
        <f>'[50]MD20000.15-DEc'!$B$3</f>
        <v>45502</v>
      </c>
      <c r="L52" s="19">
        <f>'[50]MD20000.15-DEc'!$O$2</f>
        <v>0</v>
      </c>
      <c r="M52" s="19">
        <f>'[50]MD20000.15-DEc'!$O$1</f>
        <v>12000</v>
      </c>
    </row>
    <row r="53" spans="2:14" ht="22.5" customHeight="1" x14ac:dyDescent="0.2">
      <c r="B53" s="17">
        <v>49</v>
      </c>
      <c r="C53" s="18" t="s">
        <v>23</v>
      </c>
      <c r="D53" s="18" t="s">
        <v>50</v>
      </c>
      <c r="E53" s="19">
        <f>'[51]MD50000.15-DEC'!$C$1</f>
        <v>20000</v>
      </c>
      <c r="F53" s="20"/>
      <c r="G53" s="20"/>
      <c r="H53" s="20">
        <f>'[51]MD50000.15-DEC'!$K$1</f>
        <v>0</v>
      </c>
      <c r="I53" s="20">
        <f>'[51]MD50000.15-DEC'!$K$2</f>
        <v>17</v>
      </c>
      <c r="J53" s="21" t="s">
        <v>12</v>
      </c>
      <c r="K53" s="22">
        <f>'[51]MD50000.15-DEC'!$B$3</f>
        <v>45504</v>
      </c>
      <c r="L53" s="19">
        <f>'[51]MD50000.15-DEC'!$O$2</f>
        <v>0</v>
      </c>
      <c r="M53" s="19">
        <f>'[51]MD50000.15-DEC'!$O$1</f>
        <v>24000</v>
      </c>
    </row>
    <row r="54" spans="2:14" ht="22.5" customHeight="1" x14ac:dyDescent="0.2">
      <c r="B54" s="17">
        <v>50</v>
      </c>
      <c r="C54" s="18" t="s">
        <v>78</v>
      </c>
      <c r="D54" s="18" t="s">
        <v>79</v>
      </c>
      <c r="E54" s="19">
        <f>'[52]MD10000.20-OCT'!$C$1</f>
        <v>5000</v>
      </c>
      <c r="F54" s="20"/>
      <c r="G54" s="20"/>
      <c r="H54" s="20">
        <f>'[52]MD10000.20-OCT'!$K$1</f>
        <v>0</v>
      </c>
      <c r="I54" s="20">
        <f>'[52]MD10000.20-OCT'!$K$2</f>
        <v>17</v>
      </c>
      <c r="J54" s="21" t="s">
        <v>51</v>
      </c>
      <c r="K54" s="22">
        <f>'[52]MD10000.20-OCT'!$B$3</f>
        <v>45511</v>
      </c>
      <c r="L54" s="19">
        <f>'[52]MD10000.20-OCT'!$O$2</f>
        <v>0</v>
      </c>
      <c r="M54" s="19">
        <f>'[52]MD10000.20-OCT'!$O$1</f>
        <v>5950</v>
      </c>
    </row>
    <row r="55" spans="2:14" ht="22.5" customHeight="1" x14ac:dyDescent="0.2">
      <c r="B55" s="17">
        <v>51</v>
      </c>
      <c r="C55" s="18" t="s">
        <v>64</v>
      </c>
      <c r="D55" s="18" t="s">
        <v>80</v>
      </c>
      <c r="E55" s="19">
        <f>'[53]MD20000.18-DEC'!$C$1</f>
        <v>30000</v>
      </c>
      <c r="F55" s="20">
        <f>'[53]MD20000.18-DEC'!$K$1</f>
        <v>0</v>
      </c>
      <c r="G55" s="20">
        <f>'[53]MD20000.18-DEC'!$K$2</f>
        <v>120</v>
      </c>
      <c r="H55" s="20"/>
      <c r="I55" s="20"/>
      <c r="J55" s="21" t="s">
        <v>51</v>
      </c>
      <c r="K55" s="22">
        <f>'[53]MD20000.18-DEC'!$B$3</f>
        <v>45508</v>
      </c>
      <c r="L55" s="19">
        <f>'[53]MD20000.18-DEC'!$O$2</f>
        <v>0</v>
      </c>
      <c r="M55" s="19">
        <f>'[53]MD20000.18-DEC'!$O$1</f>
        <v>36000</v>
      </c>
    </row>
    <row r="56" spans="2:14" ht="22.5" customHeight="1" x14ac:dyDescent="0.2">
      <c r="B56" s="17">
        <v>52</v>
      </c>
      <c r="C56" s="18" t="s">
        <v>81</v>
      </c>
      <c r="D56" s="18" t="s">
        <v>82</v>
      </c>
      <c r="E56" s="19">
        <f>'[54]MD20000.18-DEC'!$C$1</f>
        <v>10000</v>
      </c>
      <c r="F56" s="20">
        <f>'[54]MD20000.18-DEC'!$K$1</f>
        <v>0</v>
      </c>
      <c r="G56" s="20">
        <f>'[54]MD20000.18-DEC'!$K$2</f>
        <v>120</v>
      </c>
      <c r="H56" s="20"/>
      <c r="I56" s="20"/>
      <c r="J56" s="21" t="s">
        <v>12</v>
      </c>
      <c r="K56" s="22">
        <f>'[54]MD20000.18-DEC'!$B$3</f>
        <v>45514</v>
      </c>
      <c r="L56" s="19">
        <f>'[54]MD20000.18-DEC'!$O$2</f>
        <v>0</v>
      </c>
      <c r="M56" s="19">
        <f>'[54]MD20000.18-DEC'!$O$1</f>
        <v>12000</v>
      </c>
    </row>
    <row r="57" spans="2:14" ht="22.5" customHeight="1" x14ac:dyDescent="0.2">
      <c r="B57" s="6">
        <v>53</v>
      </c>
      <c r="C57" s="8" t="s">
        <v>58</v>
      </c>
      <c r="D57" s="10" t="s">
        <v>52</v>
      </c>
      <c r="E57" s="7">
        <f>'[55]MD20000.15-DEc'!$C$1</f>
        <v>20000</v>
      </c>
      <c r="F57" s="8"/>
      <c r="G57" s="8"/>
      <c r="H57" s="8">
        <f>'[55]MD20000.15-DEc'!$K$1</f>
        <v>3</v>
      </c>
      <c r="I57" s="8">
        <f>'[55]MD20000.15-DEc'!$K$2</f>
        <v>14</v>
      </c>
      <c r="J57" s="9" t="s">
        <v>12</v>
      </c>
      <c r="K57" s="10">
        <f>'[55]MD20000.15-DEc'!$B$3</f>
        <v>45527</v>
      </c>
      <c r="L57" s="7">
        <f>'[55]MD20000.15-DEc'!$O$2</f>
        <v>4200</v>
      </c>
      <c r="M57" s="7">
        <f>'[55]MD20000.15-DEc'!$O$1</f>
        <v>19800</v>
      </c>
      <c r="N57" s="1">
        <v>1400</v>
      </c>
    </row>
    <row r="58" spans="2:14" ht="22.5" customHeight="1" x14ac:dyDescent="0.2">
      <c r="B58" s="6">
        <v>54</v>
      </c>
      <c r="C58" s="8" t="s">
        <v>83</v>
      </c>
      <c r="D58" s="10" t="s">
        <v>76</v>
      </c>
      <c r="E58" s="7">
        <f>'[56]MD20000.15-DEc'!$C$1</f>
        <v>10000</v>
      </c>
      <c r="F58" s="8"/>
      <c r="G58" s="8"/>
      <c r="H58" s="8">
        <f>'[56]MD20000.15-DEc'!$K$1</f>
        <v>5</v>
      </c>
      <c r="I58" s="8">
        <f>'[56]MD20000.15-DEc'!$K$2</f>
        <v>12</v>
      </c>
      <c r="J58" s="9" t="s">
        <v>12</v>
      </c>
      <c r="K58" s="10">
        <f>'[56]MD20000.15-DEc'!$B$3</f>
        <v>45531</v>
      </c>
      <c r="L58" s="7">
        <f>'[56]MD20000.15-DEc'!$O$2</f>
        <v>3500</v>
      </c>
      <c r="M58" s="7">
        <f>'[56]MD20000.15-DEc'!$O$1</f>
        <v>8500</v>
      </c>
      <c r="N58" s="1">
        <v>700</v>
      </c>
    </row>
    <row r="59" spans="2:14" ht="22.5" customHeight="1" x14ac:dyDescent="0.2">
      <c r="B59" s="17">
        <v>55</v>
      </c>
      <c r="C59" s="18" t="s">
        <v>84</v>
      </c>
      <c r="D59" s="18" t="s">
        <v>85</v>
      </c>
      <c r="E59" s="19">
        <f>'[57]MD10000.20-OCT'!$C$1</f>
        <v>5000</v>
      </c>
      <c r="F59" s="20"/>
      <c r="G59" s="20"/>
      <c r="H59" s="20">
        <f>'[57]MD10000.20-OCT'!$K$1</f>
        <v>0</v>
      </c>
      <c r="I59" s="20">
        <f>'[57]MD10000.20-OCT'!$K$2</f>
        <v>17</v>
      </c>
      <c r="J59" s="21" t="s">
        <v>51</v>
      </c>
      <c r="K59" s="22">
        <f>'[57]MD10000.20-OCT'!$B$3</f>
        <v>45532</v>
      </c>
      <c r="L59" s="19">
        <f>'[57]MD10000.20-OCT'!$O$2</f>
        <v>0</v>
      </c>
      <c r="M59" s="19">
        <f>'[57]MD10000.20-OCT'!$O$1</f>
        <v>6000</v>
      </c>
    </row>
    <row r="60" spans="2:14" ht="22.5" customHeight="1" x14ac:dyDescent="0.2">
      <c r="B60" s="6">
        <v>56</v>
      </c>
      <c r="C60" s="8" t="s">
        <v>86</v>
      </c>
      <c r="D60" s="10" t="s">
        <v>76</v>
      </c>
      <c r="E60" s="7">
        <f>'[58]MD20000.15-DEc'!$C$1</f>
        <v>10000</v>
      </c>
      <c r="F60" s="8"/>
      <c r="G60" s="8"/>
      <c r="H60" s="8">
        <f>'[58]MD20000.15-DEc'!$K$1</f>
        <v>4</v>
      </c>
      <c r="I60" s="8">
        <f>'[58]MD20000.15-DEc'!$K$2</f>
        <v>13</v>
      </c>
      <c r="J60" s="9" t="s">
        <v>12</v>
      </c>
      <c r="K60" s="10">
        <f>'[58]MD20000.15-DEc'!$B$3</f>
        <v>45534</v>
      </c>
      <c r="L60" s="7">
        <f>'[58]MD20000.15-DEc'!$O$2</f>
        <v>2800</v>
      </c>
      <c r="M60" s="7">
        <f>'[58]MD20000.15-DEc'!$O$1</f>
        <v>9200</v>
      </c>
      <c r="N60" s="1">
        <v>700</v>
      </c>
    </row>
    <row r="61" spans="2:14" ht="22.5" customHeight="1" x14ac:dyDescent="0.2">
      <c r="B61" s="17">
        <v>57</v>
      </c>
      <c r="C61" s="18" t="s">
        <v>65</v>
      </c>
      <c r="D61" s="18" t="s">
        <v>87</v>
      </c>
      <c r="E61" s="19">
        <f>'[59]MD10000.20-OCT'!$C$1</f>
        <v>5000</v>
      </c>
      <c r="F61" s="20"/>
      <c r="G61" s="20"/>
      <c r="H61" s="20">
        <f>'[59]MD10000.20-OCT'!$K$1</f>
        <v>0</v>
      </c>
      <c r="I61" s="20">
        <f>'[59]MD10000.20-OCT'!$K$2</f>
        <v>17</v>
      </c>
      <c r="J61" s="21" t="s">
        <v>51</v>
      </c>
      <c r="K61" s="22">
        <f>'[59]MD10000.20-OCT'!$B$3</f>
        <v>45536</v>
      </c>
      <c r="L61" s="19">
        <f>'[59]MD10000.20-OCT'!$O$2</f>
        <v>0</v>
      </c>
      <c r="M61" s="19">
        <f>'[59]MD10000.20-OCT'!$O$1</f>
        <v>6000</v>
      </c>
    </row>
    <row r="62" spans="2:14" ht="22.5" customHeight="1" x14ac:dyDescent="0.2">
      <c r="B62" s="17">
        <v>58</v>
      </c>
      <c r="C62" s="18" t="s">
        <v>34</v>
      </c>
      <c r="D62" s="18" t="s">
        <v>33</v>
      </c>
      <c r="E62" s="19">
        <f>'[60]MD20000.22-DEC'!$C$1</f>
        <v>20000</v>
      </c>
      <c r="F62" s="20">
        <f>'[60]MD20000.22-DEC'!$K$1</f>
        <v>0</v>
      </c>
      <c r="G62" s="20">
        <f>'[60]MD20000.22-DEC'!$K$2</f>
        <v>120</v>
      </c>
      <c r="H62" s="20"/>
      <c r="I62" s="20"/>
      <c r="J62" s="21" t="s">
        <v>51</v>
      </c>
      <c r="K62" s="22">
        <f>'[60]MD20000.22-DEC'!$B$3</f>
        <v>45535</v>
      </c>
      <c r="L62" s="19">
        <f>'[60]MD20000.22-DEC'!$O$2</f>
        <v>0</v>
      </c>
      <c r="M62" s="19">
        <f>'[60]MD20000.22-DEC'!$O$1</f>
        <v>24000</v>
      </c>
    </row>
    <row r="63" spans="2:14" ht="22.5" customHeight="1" x14ac:dyDescent="0.2">
      <c r="B63" s="17">
        <v>59</v>
      </c>
      <c r="C63" s="18" t="s">
        <v>88</v>
      </c>
      <c r="D63" s="18" t="s">
        <v>48</v>
      </c>
      <c r="E63" s="19">
        <f>'[61]MD10000.20-OCT'!$C$1</f>
        <v>5000</v>
      </c>
      <c r="F63" s="20"/>
      <c r="G63" s="20"/>
      <c r="H63" s="20">
        <f>'[61]MD10000.20-OCT'!$K$1</f>
        <v>0</v>
      </c>
      <c r="I63" s="20">
        <f>'[61]MD10000.20-OCT'!$K$2</f>
        <v>17</v>
      </c>
      <c r="J63" s="21" t="s">
        <v>51</v>
      </c>
      <c r="K63" s="22">
        <f>'[61]MD10000.20-OCT'!$B$3</f>
        <v>45549</v>
      </c>
      <c r="L63" s="19">
        <f>'[61]MD10000.20-OCT'!$O$2</f>
        <v>0</v>
      </c>
      <c r="M63" s="19">
        <f>'[61]MD10000.20-OCT'!$O$1</f>
        <v>6000</v>
      </c>
    </row>
    <row r="64" spans="2:14" ht="22.5" customHeight="1" x14ac:dyDescent="0.2">
      <c r="B64" s="6">
        <v>60</v>
      </c>
      <c r="C64" s="8" t="s">
        <v>89</v>
      </c>
      <c r="D64" s="14" t="s">
        <v>90</v>
      </c>
      <c r="E64" s="7">
        <f>'[62]MD20000.22-DEC'!$C$1</f>
        <v>20000</v>
      </c>
      <c r="F64" s="8">
        <f>'[62]MD20000.22-DEC'!$K$1</f>
        <v>59</v>
      </c>
      <c r="G64" s="8">
        <f>'[62]MD20000.22-DEC'!$K$2</f>
        <v>61</v>
      </c>
      <c r="H64" s="8"/>
      <c r="I64" s="8"/>
      <c r="J64" s="9" t="s">
        <v>12</v>
      </c>
      <c r="K64" s="10">
        <f>'[62]MD20000.22-DEC'!$B$13</f>
        <v>45562</v>
      </c>
      <c r="L64" s="7">
        <f>'[62]MD20000.22-DEC'!$O$2</f>
        <v>11800</v>
      </c>
      <c r="M64" s="7">
        <f>'[62]MD20000.22-DEC'!$O$1</f>
        <v>12200</v>
      </c>
      <c r="N64" s="1">
        <v>1400</v>
      </c>
    </row>
    <row r="65" spans="2:14" ht="22.5" customHeight="1" x14ac:dyDescent="0.2">
      <c r="B65" s="6">
        <v>61</v>
      </c>
      <c r="C65" s="8" t="s">
        <v>78</v>
      </c>
      <c r="D65" s="14" t="s">
        <v>68</v>
      </c>
      <c r="E65" s="7">
        <f>'[63]MD10000.1-OCT'!$C$1</f>
        <v>10000</v>
      </c>
      <c r="F65" s="8">
        <f>'[63]MD10000.1-OCT'!$K$1</f>
        <v>65</v>
      </c>
      <c r="G65" s="8">
        <f>'[63]MD10000.1-OCT'!$K$2</f>
        <v>55</v>
      </c>
      <c r="H65" s="8"/>
      <c r="I65" s="8"/>
      <c r="J65" s="9" t="s">
        <v>12</v>
      </c>
      <c r="K65" s="10">
        <f>'[63]MD10000.1-OCT'!$B$3</f>
        <v>45557</v>
      </c>
      <c r="L65" s="7">
        <f>'[63]MD10000.1-OCT'!$O$2</f>
        <v>6500</v>
      </c>
      <c r="M65" s="7">
        <f>'[63]MD10000.1-OCT'!$O$1</f>
        <v>5500</v>
      </c>
      <c r="N65" s="1">
        <v>700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'[64]MD10000.1-OCT'!$C$1</f>
        <v>10000</v>
      </c>
      <c r="F66" s="8">
        <f>'[64]MD10000.1-OCT'!$K$1</f>
        <v>65</v>
      </c>
      <c r="G66" s="8">
        <f>'[64]MD10000.1-OCT'!$K$2</f>
        <v>55</v>
      </c>
      <c r="H66" s="8"/>
      <c r="I66" s="8"/>
      <c r="J66" s="9" t="s">
        <v>12</v>
      </c>
      <c r="K66" s="10">
        <f>'[64]MD10000.1-OCT'!$B$3</f>
        <v>45557</v>
      </c>
      <c r="L66" s="7">
        <f>'[64]MD10000.1-OCT'!$O$2</f>
        <v>6500</v>
      </c>
      <c r="M66" s="7">
        <f>'[64]MD10000.1-OCT'!$O$1</f>
        <v>5500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'[65]MD10000.1-OCT'!$C$1</f>
        <v>10000</v>
      </c>
      <c r="F67" s="8">
        <f>'[65]MD10000.1-OCT'!$K$1</f>
        <v>54</v>
      </c>
      <c r="G67" s="8">
        <f>'[65]MD10000.1-OCT'!$K$2</f>
        <v>66</v>
      </c>
      <c r="H67" s="8"/>
      <c r="I67" s="8"/>
      <c r="J67" s="9" t="s">
        <v>12</v>
      </c>
      <c r="K67" s="10">
        <f>'[65]MD10000.1-OCT'!$B$3</f>
        <v>45561</v>
      </c>
      <c r="L67" s="7">
        <f>'[65]MD10000.1-OCT'!$O$2</f>
        <v>5400</v>
      </c>
      <c r="M67" s="7">
        <f>'[65]MD10000.1-OCT'!$O$1</f>
        <v>6600</v>
      </c>
      <c r="N67" s="1">
        <v>700</v>
      </c>
    </row>
    <row r="68" spans="2:14" ht="22.5" customHeight="1" x14ac:dyDescent="0.2">
      <c r="B68" s="6">
        <v>64</v>
      </c>
      <c r="C68" s="13" t="s">
        <v>32</v>
      </c>
      <c r="D68" s="14" t="s">
        <v>33</v>
      </c>
      <c r="E68" s="7">
        <f>'[66]MD20000.18-DEC'!$C$1</f>
        <v>20000</v>
      </c>
      <c r="F68" s="8">
        <f>'[66]MD20000.18-DEC'!$K$1</f>
        <v>70</v>
      </c>
      <c r="G68" s="8">
        <f>'[66]MD20000.18-DEC'!$K$2</f>
        <v>50</v>
      </c>
      <c r="H68" s="8"/>
      <c r="I68" s="8"/>
      <c r="J68" s="9" t="s">
        <v>12</v>
      </c>
      <c r="K68" s="10">
        <f>'[66]MD20000.18-DEC'!$B$3</f>
        <v>45562</v>
      </c>
      <c r="L68" s="7">
        <f>'[66]MD20000.18-DEC'!$O$2</f>
        <v>14000</v>
      </c>
      <c r="M68" s="7">
        <f>'[66]MD20000.18-DEC'!$O$1</f>
        <v>10000</v>
      </c>
      <c r="N68" s="1">
        <v>1400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'[67]MD10000.1-OCT'!$C$1</f>
        <v>10000</v>
      </c>
      <c r="F69" s="8">
        <f>'[67]MD10000.1-OCT'!$K$1</f>
        <v>69</v>
      </c>
      <c r="G69" s="8">
        <f>'[67]MD10000.1-OCT'!$K$2</f>
        <v>51</v>
      </c>
      <c r="H69" s="8"/>
      <c r="I69" s="8"/>
      <c r="J69" s="9" t="s">
        <v>12</v>
      </c>
      <c r="K69" s="10">
        <f>'[67]MD10000.1-OCT'!$B$3</f>
        <v>45563</v>
      </c>
      <c r="L69" s="7">
        <f>'[67]MD10000.1-OCT'!$O$2</f>
        <v>6900</v>
      </c>
      <c r="M69" s="7">
        <f>'[67]MD10000.1-OCT'!$O$1</f>
        <v>5100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'[68]MD10000.1-OCT'!$C$1</f>
        <v>15000</v>
      </c>
      <c r="F70" s="8">
        <f>'[68]MD10000.1-OCT'!$K$1</f>
        <v>90</v>
      </c>
      <c r="G70" s="8">
        <f>'[68]MD10000.1-OCT'!$K$2</f>
        <v>30</v>
      </c>
      <c r="H70" s="8"/>
      <c r="I70" s="8"/>
      <c r="J70" s="9" t="s">
        <v>12</v>
      </c>
      <c r="K70" s="10">
        <f>'[68]MD10000.1-OCT'!$B$3</f>
        <v>45570</v>
      </c>
      <c r="L70" s="7">
        <f>'[68]MD10000.1-OCT'!$O$2</f>
        <v>13500</v>
      </c>
      <c r="M70" s="7">
        <f>'[68]MD10000.1-OCT'!$O$1</f>
        <v>4500</v>
      </c>
      <c r="N70" s="1">
        <v>1050</v>
      </c>
    </row>
    <row r="71" spans="2:14" ht="22.5" customHeight="1" x14ac:dyDescent="0.2">
      <c r="B71" s="6">
        <v>67</v>
      </c>
      <c r="C71" s="8" t="s">
        <v>95</v>
      </c>
      <c r="D71" s="14" t="s">
        <v>96</v>
      </c>
      <c r="E71" s="7">
        <f>'[69]MD20000.18-DEC'!$C$1</f>
        <v>50000</v>
      </c>
      <c r="F71" s="8">
        <f>'[69]MD20000.18-DEC'!$K$1</f>
        <v>81</v>
      </c>
      <c r="G71" s="8">
        <f>'[69]MD20000.18-DEC'!$K$2</f>
        <v>39</v>
      </c>
      <c r="H71" s="8"/>
      <c r="I71" s="8"/>
      <c r="J71" s="9" t="s">
        <v>12</v>
      </c>
      <c r="K71" s="10">
        <f>'[69]MD20000.18-DEC'!$B$3</f>
        <v>45579</v>
      </c>
      <c r="L71" s="7">
        <f>'[69]MD20000.18-DEC'!$O$2</f>
        <v>40500</v>
      </c>
      <c r="M71" s="7">
        <f>'[69]MD20000.18-DEC'!$O$1</f>
        <v>19500</v>
      </c>
      <c r="N71" s="1">
        <v>3500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'[70]MD20000.18-DEC'!$C$1</f>
        <v>100000</v>
      </c>
      <c r="F72" s="8"/>
      <c r="G72" s="8"/>
      <c r="H72" s="8">
        <f>'[70]MD20000.18-DEC'!$K$1</f>
        <v>35</v>
      </c>
      <c r="I72" s="8">
        <f>'[70]MD20000.18-DEC'!$K$2</f>
        <v>5</v>
      </c>
      <c r="J72" s="9" t="s">
        <v>12</v>
      </c>
      <c r="K72" s="10">
        <f>'[70]MD20000.18-DEC'!$B$3</f>
        <v>45590</v>
      </c>
      <c r="L72" s="7">
        <f>'[70]MD20000.18-DEC'!$O$2</f>
        <v>140000</v>
      </c>
      <c r="M72" s="7">
        <f>'[70]MD20000.18-DEC'!$O$1</f>
        <v>20000</v>
      </c>
      <c r="N72" s="1">
        <v>4000</v>
      </c>
    </row>
    <row r="73" spans="2:14" ht="22.5" customHeight="1" x14ac:dyDescent="0.2">
      <c r="B73" s="6">
        <v>69</v>
      </c>
      <c r="C73" s="8" t="s">
        <v>99</v>
      </c>
      <c r="D73" s="14" t="s">
        <v>96</v>
      </c>
      <c r="E73" s="7">
        <f>'[71]MD20000.18-DEC'!$C$1</f>
        <v>50000</v>
      </c>
      <c r="F73" s="8">
        <f>'[71]MD20000.18-DEC'!$K$1</f>
        <v>86</v>
      </c>
      <c r="G73" s="8">
        <f>'[71]MD20000.18-DEC'!$K$2</f>
        <v>34</v>
      </c>
      <c r="H73" s="8"/>
      <c r="I73" s="8"/>
      <c r="J73" s="9" t="s">
        <v>12</v>
      </c>
      <c r="K73" s="10">
        <f>'[71]MD20000.18-DEC'!$B$3</f>
        <v>45584</v>
      </c>
      <c r="L73" s="7">
        <f>'[71]MD20000.18-DEC'!$O$2</f>
        <v>43000</v>
      </c>
      <c r="M73" s="7">
        <f>'[71]MD20000.18-DEC'!$O$1</f>
        <v>17000</v>
      </c>
      <c r="N73" s="1">
        <v>3500</v>
      </c>
    </row>
    <row r="74" spans="2:14" ht="22.5" customHeight="1" x14ac:dyDescent="0.2">
      <c r="B74" s="6">
        <v>70</v>
      </c>
      <c r="C74" s="8" t="s">
        <v>100</v>
      </c>
      <c r="D74" s="14" t="s">
        <v>90</v>
      </c>
      <c r="E74" s="7">
        <f>'[72]MD20000.18-DEC'!$C$1</f>
        <v>20000</v>
      </c>
      <c r="F74" s="8">
        <f>'[72]MD20000.18-DEC'!$K$1</f>
        <v>91</v>
      </c>
      <c r="G74" s="8">
        <f>'[72]MD20000.18-DEC'!$K$2</f>
        <v>29</v>
      </c>
      <c r="H74" s="8"/>
      <c r="I74" s="8"/>
      <c r="J74" s="9" t="s">
        <v>12</v>
      </c>
      <c r="K74" s="10">
        <f>'[72]MD20000.18-DEC'!$B$3</f>
        <v>45584</v>
      </c>
      <c r="L74" s="7">
        <f>'[72]MD20000.18-DEC'!$O$2</f>
        <v>18200</v>
      </c>
      <c r="M74" s="7">
        <f>'[72]MD20000.18-DEC'!$O$1</f>
        <v>5800</v>
      </c>
      <c r="N74" s="1">
        <v>1400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'[73]MD20000.18-DEC'!$C$1</f>
        <v>20000</v>
      </c>
      <c r="F75" s="8">
        <f>'[73]MD20000.18-DEC'!$K$1</f>
        <v>93</v>
      </c>
      <c r="G75" s="8">
        <f>'[73]MD20000.18-DEC'!$K$2</f>
        <v>27</v>
      </c>
      <c r="H75" s="8"/>
      <c r="I75" s="8"/>
      <c r="J75" s="9" t="s">
        <v>12</v>
      </c>
      <c r="K75" s="10">
        <f>'[73]MD20000.18-DEC'!$B$3</f>
        <v>45584</v>
      </c>
      <c r="L75" s="7">
        <f>'[73]MD20000.18-DEC'!$O$2</f>
        <v>18600</v>
      </c>
      <c r="M75" s="7">
        <f>'[73]MD20000.18-DEC'!$O$1</f>
        <v>5400</v>
      </c>
      <c r="N75" s="1">
        <v>1400</v>
      </c>
    </row>
    <row r="76" spans="2:14" ht="22.5" customHeight="1" x14ac:dyDescent="0.2">
      <c r="B76" s="6">
        <v>72</v>
      </c>
      <c r="C76" s="8" t="s">
        <v>81</v>
      </c>
      <c r="D76" s="14" t="s">
        <v>90</v>
      </c>
      <c r="E76" s="7">
        <f>'[74]MD20000.18-DEC'!$C$1</f>
        <v>20000</v>
      </c>
      <c r="F76" s="8">
        <f>'[74]MD20000.18-DEC'!$K$1</f>
        <v>91</v>
      </c>
      <c r="G76" s="8">
        <f>'[74]MD20000.18-DEC'!$K$2</f>
        <v>29</v>
      </c>
      <c r="H76" s="8"/>
      <c r="I76" s="8"/>
      <c r="J76" s="9" t="s">
        <v>12</v>
      </c>
      <c r="K76" s="10">
        <f>'[74]MD20000.18-DEC'!$B$3</f>
        <v>45584</v>
      </c>
      <c r="L76" s="7">
        <f>'[74]MD20000.18-DEC'!$O$2</f>
        <v>18200</v>
      </c>
      <c r="M76" s="7">
        <f>'[74]MD20000.18-DEC'!$O$1</f>
        <v>5800</v>
      </c>
      <c r="N76" s="1">
        <v>1400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'[75]MD20000.18-DEC'!$C$1</f>
        <v>20000</v>
      </c>
      <c r="F77" s="8">
        <f>'[75]MD20000.18-DEC'!$K$1</f>
        <v>86</v>
      </c>
      <c r="G77" s="8">
        <f>'[75]MD20000.18-DEC'!$K$2</f>
        <v>34</v>
      </c>
      <c r="H77" s="8"/>
      <c r="I77" s="8"/>
      <c r="J77" s="9" t="s">
        <v>12</v>
      </c>
      <c r="K77" s="10">
        <f>'[75]MD20000.18-DEC'!$B$7</f>
        <v>45587</v>
      </c>
      <c r="L77" s="7">
        <f>'[75]MD20000.18-DEC'!$O$2</f>
        <v>17200</v>
      </c>
      <c r="M77" s="7">
        <f>'[75]MD20000.18-DEC'!$O$1</f>
        <v>6800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'[76]MD20000.18-DEC'!$C$1</f>
        <v>10000</v>
      </c>
      <c r="F78" s="8">
        <f>'[76]MD20000.18-DEC'!$K$1</f>
        <v>109</v>
      </c>
      <c r="G78" s="8">
        <f>'[76]MD20000.18-DEC'!$K$2</f>
        <v>11</v>
      </c>
      <c r="H78" s="8"/>
      <c r="I78" s="8"/>
      <c r="J78" s="9" t="s">
        <v>12</v>
      </c>
      <c r="K78" s="10">
        <f>'[76]MD20000.18-DEC'!$B$3</f>
        <v>45584</v>
      </c>
      <c r="L78" s="7">
        <f>'[76]MD20000.18-DEC'!$O$2</f>
        <v>10900</v>
      </c>
      <c r="M78" s="7">
        <f>'[76]MD20000.18-DEC'!$O$1</f>
        <v>1100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'[77]MD20000.18-DEC'!$C$1</f>
        <v>10000</v>
      </c>
      <c r="F79" s="8">
        <f>'[77]MD20000.18-DEC'!$K$1</f>
        <v>95</v>
      </c>
      <c r="G79" s="8">
        <f>'[77]MD20000.18-DEC'!$K$2</f>
        <v>25</v>
      </c>
      <c r="H79" s="8"/>
      <c r="I79" s="8"/>
      <c r="J79" s="9" t="s">
        <v>12</v>
      </c>
      <c r="K79" s="10">
        <f>'[77]MD20000.18-DEC'!$B$3</f>
        <v>45584</v>
      </c>
      <c r="L79" s="7">
        <f>'[77]MD20000.18-DEC'!$O$2</f>
        <v>9500</v>
      </c>
      <c r="M79" s="7">
        <f>'[77]MD20000.18-DEC'!$O$1</f>
        <v>2500</v>
      </c>
      <c r="N79" s="1">
        <v>700</v>
      </c>
    </row>
    <row r="80" spans="2:14" ht="22.5" customHeight="1" x14ac:dyDescent="0.2">
      <c r="B80" s="6">
        <v>76</v>
      </c>
      <c r="C80" s="8" t="s">
        <v>103</v>
      </c>
      <c r="D80" s="14" t="s">
        <v>68</v>
      </c>
      <c r="E80" s="7">
        <f>'[78]MD20000.18-DEC'!$C$1</f>
        <v>10000</v>
      </c>
      <c r="F80" s="8">
        <f>'[78]MD20000.18-DEC'!$K$1</f>
        <v>94</v>
      </c>
      <c r="G80" s="8">
        <f>'[78]MD20000.18-DEC'!$K$2</f>
        <v>26</v>
      </c>
      <c r="H80" s="8"/>
      <c r="I80" s="8"/>
      <c r="J80" s="9" t="s">
        <v>12</v>
      </c>
      <c r="K80" s="10">
        <f>'[78]MD20000.18-DEC'!$B$3</f>
        <v>45587</v>
      </c>
      <c r="L80" s="7">
        <f>'[78]MD20000.18-DEC'!$O$2</f>
        <v>9400</v>
      </c>
      <c r="M80" s="7">
        <f>'[78]MD20000.18-DEC'!$O$1</f>
        <v>2600</v>
      </c>
      <c r="N80" s="1">
        <v>700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'[79]MD20000.15-DEc'!$C$1</f>
        <v>20000</v>
      </c>
      <c r="F81" s="8"/>
      <c r="G81" s="8"/>
      <c r="H81" s="8">
        <f>'[79]MD20000.15-DEc'!$K$1</f>
        <v>13</v>
      </c>
      <c r="I81" s="8">
        <f>'[79]MD20000.15-DEc'!$K$2</f>
        <v>4</v>
      </c>
      <c r="J81" s="9" t="s">
        <v>12</v>
      </c>
      <c r="K81" s="10">
        <f>'[79]MD20000.15-DEc'!$B$3</f>
        <v>45595</v>
      </c>
      <c r="L81" s="7">
        <f>'[79]MD20000.15-DEc'!$O$2</f>
        <v>18200</v>
      </c>
      <c r="M81" s="7">
        <f>'[79]MD20000.15-DEc'!$O$1</f>
        <v>5800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'[80]MD10000.10-JAN'!$C$1</f>
        <v>20000</v>
      </c>
      <c r="F82" s="8"/>
      <c r="G82" s="8"/>
      <c r="H82" s="8">
        <f>'[80]MD10000.10-JAN'!$K$1</f>
        <v>14</v>
      </c>
      <c r="I82" s="8">
        <f>'[80]MD10000.10-JAN'!$K$2</f>
        <v>3</v>
      </c>
      <c r="J82" s="9" t="s">
        <v>12</v>
      </c>
      <c r="K82" s="10">
        <f>'[80]MD10000.10-JAN'!$B$3</f>
        <v>45602</v>
      </c>
      <c r="L82" s="7">
        <f>'[80]MD10000.10-JAN'!$O$2</f>
        <v>19600</v>
      </c>
      <c r="M82" s="7">
        <f>'[80]MD10000.10-JAN'!$O$1</f>
        <v>4400</v>
      </c>
      <c r="N82" s="1">
        <v>1400</v>
      </c>
    </row>
    <row r="83" spans="2:14" ht="22.5" customHeight="1" x14ac:dyDescent="0.2">
      <c r="B83" s="6">
        <v>79</v>
      </c>
      <c r="C83" s="8" t="s">
        <v>107</v>
      </c>
      <c r="D83" s="14" t="s">
        <v>90</v>
      </c>
      <c r="E83" s="7">
        <f>'[81]MD20000.22-DEC'!$C$1</f>
        <v>20000</v>
      </c>
      <c r="F83" s="8">
        <f>'[81]MD20000.22-DEC'!$K$1</f>
        <v>104</v>
      </c>
      <c r="G83" s="8">
        <f>'[81]MD20000.22-DEC'!$K$2</f>
        <v>16</v>
      </c>
      <c r="H83" s="8"/>
      <c r="I83" s="8"/>
      <c r="J83" s="9" t="s">
        <v>12</v>
      </c>
      <c r="K83" s="10">
        <f>'[81]MD20000.22-DEC'!$B$3</f>
        <v>45597</v>
      </c>
      <c r="L83" s="7">
        <f>'[81]MD20000.22-DEC'!$O$2</f>
        <v>20800</v>
      </c>
      <c r="M83" s="7">
        <f>'[81]MD20000.22-DEC'!$O$1</f>
        <v>3200</v>
      </c>
      <c r="N83" s="1">
        <v>1400</v>
      </c>
    </row>
    <row r="84" spans="2:14" ht="22.5" customHeight="1" x14ac:dyDescent="0.2">
      <c r="B84" s="6">
        <v>80</v>
      </c>
      <c r="C84" s="8" t="s">
        <v>108</v>
      </c>
      <c r="D84" s="14" t="s">
        <v>80</v>
      </c>
      <c r="E84" s="7">
        <f>'[82]MD20000.18-DEC'!$C$1</f>
        <v>30000</v>
      </c>
      <c r="F84" s="8">
        <f>'[82]MD20000.18-DEC'!$K$1</f>
        <v>107</v>
      </c>
      <c r="G84" s="8">
        <f>'[82]MD20000.18-DEC'!$K$2</f>
        <v>13</v>
      </c>
      <c r="H84" s="8"/>
      <c r="I84" s="8"/>
      <c r="J84" s="9" t="s">
        <v>12</v>
      </c>
      <c r="K84" s="10">
        <f>'[82]MD20000.18-DEC'!$B$3</f>
        <v>45602</v>
      </c>
      <c r="L84" s="7">
        <f>'[82]MD20000.18-DEC'!$O$2</f>
        <v>32100</v>
      </c>
      <c r="M84" s="7">
        <f>'[82]MD20000.18-DEC'!$O$1</f>
        <v>3900</v>
      </c>
      <c r="N84" s="1">
        <v>2100</v>
      </c>
    </row>
    <row r="85" spans="2:14" ht="22.5" customHeight="1" x14ac:dyDescent="0.2">
      <c r="B85" s="6">
        <v>81</v>
      </c>
      <c r="C85" s="8" t="s">
        <v>64</v>
      </c>
      <c r="D85" s="14" t="s">
        <v>109</v>
      </c>
      <c r="E85" s="7">
        <f>'[83]MD20000.18-DEC'!$C$1</f>
        <v>50000</v>
      </c>
      <c r="F85" s="8">
        <f>'[83]MD20000.18-DEC'!$K$1</f>
        <v>108</v>
      </c>
      <c r="G85" s="8">
        <f>'[83]MD20000.18-DEC'!$K$2</f>
        <v>12</v>
      </c>
      <c r="H85" s="8"/>
      <c r="I85" s="8"/>
      <c r="J85" s="9" t="s">
        <v>12</v>
      </c>
      <c r="K85" s="10">
        <f>'[83]MD20000.18-DEC'!$B$3</f>
        <v>45612</v>
      </c>
      <c r="L85" s="7">
        <f>'[83]MD20000.18-DEC'!$O$2</f>
        <v>54000</v>
      </c>
      <c r="M85" s="7">
        <f>'[83]MD20000.18-DEC'!$O$1</f>
        <v>6000</v>
      </c>
      <c r="N85" s="1">
        <v>3500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'[84]MD20000.18-DEC'!$C$1</f>
        <v>10000</v>
      </c>
      <c r="F86" s="8">
        <f>'[84]MD20000.18-DEC'!$K$1</f>
        <v>113</v>
      </c>
      <c r="G86" s="8">
        <f>'[84]MD20000.18-DEC'!$K$2</f>
        <v>7</v>
      </c>
      <c r="H86" s="8"/>
      <c r="I86" s="8"/>
      <c r="J86" s="9" t="s">
        <v>12</v>
      </c>
      <c r="K86" s="10">
        <f>'[84]MD20000.18-DEC'!$B$3</f>
        <v>45612</v>
      </c>
      <c r="L86" s="7">
        <f>'[84]MD20000.18-DEC'!$O$2</f>
        <v>11300</v>
      </c>
      <c r="M86" s="7">
        <f>'[84]MD20000.18-DEC'!$O$1</f>
        <v>700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'[85]MD50000.15-DEC'!$C$1</f>
        <v>100000</v>
      </c>
      <c r="F87" s="8">
        <f>'[85]MD50000.15-DEC'!$K$1</f>
        <v>264</v>
      </c>
      <c r="G87" s="8">
        <f>'[85]MD50000.15-DEC'!$K$2</f>
        <v>3</v>
      </c>
      <c r="H87" s="8"/>
      <c r="I87" s="8"/>
      <c r="J87" s="9" t="s">
        <v>12</v>
      </c>
      <c r="K87" s="10">
        <f>'[85]MD50000.15-DEC'!$B$3</f>
        <v>45619</v>
      </c>
      <c r="L87" s="7">
        <f>'[85]MD50000.15-DEC'!$O$2</f>
        <v>158400</v>
      </c>
      <c r="M87" s="7">
        <f>'[85]MD50000.15-DEC'!$O$1</f>
        <v>1800</v>
      </c>
      <c r="N87" s="1">
        <v>4200</v>
      </c>
    </row>
    <row r="88" spans="2:14" ht="22.5" customHeight="1" x14ac:dyDescent="0.2">
      <c r="B88" s="6"/>
      <c r="C88" s="8"/>
      <c r="D88" s="14"/>
      <c r="E88" s="7"/>
      <c r="F88" s="8"/>
      <c r="G88" s="8"/>
      <c r="H88" s="8"/>
      <c r="I88" s="8"/>
      <c r="J88" s="9"/>
      <c r="K88" s="10"/>
      <c r="L88" s="7"/>
      <c r="M88" s="7"/>
    </row>
    <row r="89" spans="2:14" ht="22.5" customHeight="1" x14ac:dyDescent="0.2">
      <c r="B89" s="6"/>
      <c r="C89" s="8"/>
      <c r="D89" s="14"/>
      <c r="E89" s="7"/>
      <c r="F89" s="8"/>
      <c r="G89" s="8"/>
      <c r="H89" s="8"/>
      <c r="I89" s="8"/>
      <c r="J89" s="9"/>
      <c r="K89" s="10"/>
      <c r="L89" s="7"/>
      <c r="M89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2024-11-26T06:20:13Z</dcterms:modified>
</cp:coreProperties>
</file>