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</externalReferenc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N2" i="6" l="1"/>
  <c r="M51" i="6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L46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M46" i="6" l="1"/>
  <c r="K46" i="6"/>
  <c r="I46" i="6"/>
  <c r="H46" i="6"/>
  <c r="E46" i="6"/>
  <c r="M45" i="6" l="1"/>
  <c r="L45" i="6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<sst xmlns="http://schemas.openxmlformats.org/spreadsheetml/2006/main" count="161" uniqueCount="77">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</sst>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sharedStrings" Target="sharedString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calcChain" Target="calcChain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3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16</v>
          </cell>
          <cell r="O1">
            <v>56000</v>
          </cell>
        </row>
        <row r="2">
          <cell r="K2">
            <v>32</v>
          </cell>
          <cell r="O2">
            <v>28000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19</v>
          </cell>
          <cell r="O1">
            <v>10150</v>
          </cell>
        </row>
        <row r="2">
          <cell r="K2">
            <v>29</v>
          </cell>
          <cell r="O2">
            <v>6650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20</v>
          </cell>
          <cell r="O1">
            <v>9800</v>
          </cell>
        </row>
        <row r="2">
          <cell r="K2">
            <v>28</v>
          </cell>
          <cell r="O2">
            <v>7000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20</v>
          </cell>
          <cell r="O1">
            <v>9800</v>
          </cell>
        </row>
        <row r="2">
          <cell r="K2">
            <v>28</v>
          </cell>
          <cell r="O2">
            <v>7000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22</v>
          </cell>
          <cell r="O1">
            <v>9100</v>
          </cell>
        </row>
        <row r="2">
          <cell r="K2">
            <v>26</v>
          </cell>
          <cell r="O2">
            <v>7700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23</v>
          </cell>
          <cell r="O1">
            <v>8750</v>
          </cell>
        </row>
        <row r="2">
          <cell r="K2">
            <v>25</v>
          </cell>
          <cell r="O2">
            <v>8050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9</v>
          </cell>
          <cell r="O1">
            <v>5100</v>
          </cell>
        </row>
        <row r="2">
          <cell r="K2">
            <v>51</v>
          </cell>
          <cell r="O2">
            <v>900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44</v>
          </cell>
          <cell r="O1">
            <v>7600</v>
          </cell>
        </row>
        <row r="2">
          <cell r="K2">
            <v>76</v>
          </cell>
          <cell r="O2">
            <v>4400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28</v>
          </cell>
          <cell r="O1">
            <v>7000</v>
          </cell>
        </row>
        <row r="2">
          <cell r="K2">
            <v>20</v>
          </cell>
          <cell r="O2">
            <v>9800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32</v>
          </cell>
          <cell r="O1">
            <v>5600</v>
          </cell>
        </row>
        <row r="2">
          <cell r="K2">
            <v>16</v>
          </cell>
          <cell r="O2">
            <v>11200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22600</v>
          </cell>
        </row>
        <row r="2">
          <cell r="K2">
            <v>16</v>
          </cell>
          <cell r="O2">
            <v>1400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5250</v>
          </cell>
        </row>
        <row r="2">
          <cell r="K2">
            <v>15</v>
          </cell>
          <cell r="O2">
            <v>11550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19800</v>
          </cell>
        </row>
        <row r="2">
          <cell r="K2">
            <v>14</v>
          </cell>
          <cell r="O2">
            <v>4200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G1">
            <v>17</v>
          </cell>
          <cell r="O1">
            <v>5250</v>
          </cell>
        </row>
        <row r="2">
          <cell r="K2">
            <v>15</v>
          </cell>
          <cell r="O2">
            <v>750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49000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5</v>
          </cell>
          <cell r="O1">
            <v>4200</v>
          </cell>
        </row>
        <row r="2">
          <cell r="K2">
            <v>12</v>
          </cell>
          <cell r="O2">
            <v>1800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40</v>
          </cell>
          <cell r="O1">
            <v>16000</v>
          </cell>
        </row>
        <row r="2">
          <cell r="K2">
            <v>80</v>
          </cell>
          <cell r="O2">
            <v>8000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7</v>
          </cell>
          <cell r="O1">
            <v>3500</v>
          </cell>
        </row>
        <row r="2">
          <cell r="K2">
            <v>10</v>
          </cell>
          <cell r="O2">
            <v>2500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50</v>
          </cell>
          <cell r="O1">
            <v>14000</v>
          </cell>
        </row>
        <row r="2">
          <cell r="K2">
            <v>70</v>
          </cell>
          <cell r="O2">
            <v>10000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G1">
            <v>120</v>
          </cell>
          <cell r="K1">
            <v>64</v>
          </cell>
          <cell r="O1">
            <v>5600</v>
          </cell>
        </row>
        <row r="2">
          <cell r="O2">
            <v>6400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9</v>
          </cell>
          <cell r="O1">
            <v>2800</v>
          </cell>
        </row>
        <row r="2">
          <cell r="K2">
            <v>8</v>
          </cell>
          <cell r="O2">
            <v>3200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2900</v>
          </cell>
        </row>
        <row r="2">
          <cell r="K2">
            <v>4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2">
          <cell r="O2">
            <v>6300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68</v>
          </cell>
          <cell r="O1">
            <v>10400</v>
          </cell>
        </row>
        <row r="2">
          <cell r="K2">
            <v>52</v>
          </cell>
          <cell r="O2">
            <v>13600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10000</v>
          </cell>
          <cell r="K1">
            <v>92</v>
          </cell>
          <cell r="O1">
            <v>2800</v>
          </cell>
        </row>
        <row r="2">
          <cell r="K2">
            <v>28</v>
          </cell>
          <cell r="O2">
            <v>9200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15</v>
          </cell>
          <cell r="O1">
            <v>3000</v>
          </cell>
        </row>
        <row r="2">
          <cell r="K2">
            <v>2</v>
          </cell>
          <cell r="O2">
            <v>21000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16</v>
          </cell>
          <cell r="O1">
            <v>800</v>
          </cell>
        </row>
        <row r="2">
          <cell r="K2">
            <v>1</v>
          </cell>
          <cell r="O2">
            <v>11200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113</v>
          </cell>
          <cell r="O1">
            <v>1400</v>
          </cell>
        </row>
        <row r="2">
          <cell r="K2">
            <v>7</v>
          </cell>
          <cell r="O2">
            <v>22600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12000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54"/>
  <sheetViews>
    <sheetView tabSelected="1" zoomScale="70" zoomScaleNormal="70" workbookViewId="0">
      <selection activeCell="L57" sqref="L57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4" t="s">
        <v>8</v>
      </c>
      <c r="C2" s="25"/>
      <c r="I2" s="21" t="s">
        <v>21</v>
      </c>
      <c r="J2" s="22"/>
      <c r="K2" s="23"/>
      <c r="L2" s="19">
        <f>SUM(L5:L57)</f>
        <v>309400</v>
      </c>
      <c r="M2" s="20"/>
      <c r="N2" s="1">
        <f>SUM(N5:N58)</f>
        <v>23450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Q13" s="18"/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16</v>
      </c>
      <c r="I15" s="9">
        <f>'[10]MD50000.15-DEC'!$K$2</f>
        <v>32</v>
      </c>
      <c r="J15" s="10" t="s">
        <v>12</v>
      </c>
      <c r="K15" s="11">
        <f>'[10]MD50000.15-DEC'!$B$3</f>
        <v>45648</v>
      </c>
      <c r="L15" s="8">
        <f>'[10]MD50000.15-DEC'!$O$2</f>
        <v>28000</v>
      </c>
      <c r="M15" s="8">
        <f>'[10]MD50000.15-DEC'!$O$1</f>
        <v>56000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120</v>
      </c>
      <c r="G17" s="9">
        <f>'[12]MD20000.22-DEC'!$K$2</f>
        <v>0</v>
      </c>
      <c r="H17" s="9"/>
      <c r="I17" s="9"/>
      <c r="J17" s="10" t="s">
        <v>51</v>
      </c>
      <c r="K17" s="11">
        <f>'[12]MD20000.22-DEC'!$B$3</f>
        <v>0</v>
      </c>
      <c r="L17" s="8"/>
      <c r="M17" s="8">
        <f>'[12]MD20000.22-DEC'!$O$1</f>
        <v>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19</v>
      </c>
      <c r="I18" s="14">
        <f>'[13]MD50000.15-DEC'!$K$2</f>
        <v>29</v>
      </c>
      <c r="J18" s="17" t="s">
        <v>12</v>
      </c>
      <c r="K18" s="15">
        <f>'[13]MD50000.15-DEC'!$B$3</f>
        <v>45310</v>
      </c>
      <c r="L18" s="16">
        <f>'[13]MD50000.15-DEC'!$O$2</f>
        <v>6650</v>
      </c>
      <c r="M18" s="16">
        <f>'[13]MD50000.15-DEC'!$O$1</f>
        <v>10150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20</v>
      </c>
      <c r="I20" s="14">
        <f>'[15]MD10000.10-JAN'!$K$2</f>
        <v>28</v>
      </c>
      <c r="J20" s="17" t="s">
        <v>12</v>
      </c>
      <c r="K20" s="15">
        <f>'[15]MD10000.10-JAN'!$B$3</f>
        <v>45308</v>
      </c>
      <c r="L20" s="16">
        <f>'[15]MD10000.10-JAN'!$O$2</f>
        <v>7000</v>
      </c>
      <c r="M20" s="16">
        <f>'[15]MD10000.10-JAN'!$O$1</f>
        <v>9800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20</v>
      </c>
      <c r="I21" s="9">
        <f>'[16]MD10000.10-JAN'!$K$2</f>
        <v>28</v>
      </c>
      <c r="J21" s="10" t="s">
        <v>12</v>
      </c>
      <c r="K21" s="11">
        <f>'[16]MD10000.10-JAN'!$B$3</f>
        <v>45308</v>
      </c>
      <c r="L21" s="8">
        <f>'[16]MD10000.10-JAN'!$O$2</f>
        <v>7000</v>
      </c>
      <c r="M21" s="8">
        <f>'[16]MD10000.10-JAN'!$O$1</f>
        <v>9800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0</v>
      </c>
      <c r="I22" s="14">
        <f>'[17]MD10000.20-OCT'!$K$2</f>
        <v>17</v>
      </c>
      <c r="J22" s="17" t="s">
        <v>51</v>
      </c>
      <c r="K22" s="15">
        <f>'[17]MD10000.20-OCT'!$B$3</f>
        <v>45316</v>
      </c>
      <c r="L22" s="16">
        <f>'[17]MD10000.20-OCT'!$O$2</f>
        <v>0</v>
      </c>
      <c r="M22" s="16">
        <f>'[17]MD10000.20-OCT'!$O$1</f>
        <v>6000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22</v>
      </c>
      <c r="I23" s="9">
        <f>'[18]MD10000.20-OCT'!$K$2</f>
        <v>26</v>
      </c>
      <c r="J23" s="10" t="s">
        <v>12</v>
      </c>
      <c r="K23" s="11">
        <f>'[18]MD10000.20-OCT'!$B$3</f>
        <v>45324</v>
      </c>
      <c r="L23" s="8">
        <f>'[18]MD10000.20-OCT'!$O$2</f>
        <v>7700</v>
      </c>
      <c r="M23" s="8">
        <f>'[18]MD10000.20-OCT'!$O$1</f>
        <v>9100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23</v>
      </c>
      <c r="I24" s="9">
        <f>'[19]MD10000.20-OCT'!$K$2</f>
        <v>25</v>
      </c>
      <c r="J24" s="10" t="s">
        <v>12</v>
      </c>
      <c r="K24" s="11">
        <f>'[19]MD10000.20-OCT'!$B$3</f>
        <v>45327</v>
      </c>
      <c r="L24" s="8">
        <f>'[19]MD10000.20-OCT'!$O$2</f>
        <v>8050</v>
      </c>
      <c r="M24" s="8">
        <f>'[19]MD10000.20-OCT'!$O$1</f>
        <v>8750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9</v>
      </c>
      <c r="G25" s="9">
        <f>'[20]SM5000.1-oct'!$K$2</f>
        <v>51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900</v>
      </c>
      <c r="M25" s="8">
        <f>'[20]SM5000.1-oct'!$O$1</f>
        <v>5100</v>
      </c>
      <c r="N25" s="1">
        <v>700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0</v>
      </c>
      <c r="I26" s="9">
        <f>'[21]MD10000.20-OCT'!$K$2</f>
        <v>17</v>
      </c>
      <c r="J26" s="10" t="s">
        <v>51</v>
      </c>
      <c r="K26" s="11">
        <f>'[21]MD10000.20-OCT'!$B$3</f>
        <v>45332</v>
      </c>
      <c r="L26" s="8">
        <f>'[21]MD10000.20-OCT'!$O$2</f>
        <v>0</v>
      </c>
      <c r="M26" s="8">
        <f>'[21]MD10000.20-OCT'!$O$1</f>
        <v>6000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44</v>
      </c>
      <c r="G27" s="14">
        <f>'[22]MD10000.1-OCT'!$K$2</f>
        <v>76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4400</v>
      </c>
      <c r="M27" s="16">
        <f>'[22]MD10000.1-OCT'!$O$1</f>
        <v>7600</v>
      </c>
      <c r="N27" s="1">
        <v>700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0</v>
      </c>
      <c r="G28" s="9">
        <f>'[23]MD10000.1-OCT'!$K$2</f>
        <v>120</v>
      </c>
      <c r="H28" s="9"/>
      <c r="I28" s="9"/>
      <c r="J28" s="10" t="s">
        <v>51</v>
      </c>
      <c r="K28" s="11">
        <f>'[23]MD10000.1-OCT'!$B$3</f>
        <v>45334</v>
      </c>
      <c r="L28" s="8">
        <f>'[23]MD10000.1-OCT'!$O$2</f>
        <v>0</v>
      </c>
      <c r="M28" s="8">
        <f>'[23]MD10000.1-OCT'!$O$1</f>
        <v>12000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51</v>
      </c>
      <c r="K29" s="11">
        <f>'[24]MD20000.15-DEC'!$B$3</f>
        <v>45337</v>
      </c>
      <c r="L29" s="8">
        <f>'[25]MD20000.15-DEC'!$O$2</f>
        <v>0</v>
      </c>
      <c r="M29" s="8">
        <f>'[25]MD20000.15-DEC'!$O$1</f>
        <v>24000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'[26]MD20000.15-DEC'!$C$1</f>
        <v>20000</v>
      </c>
      <c r="F30" s="9"/>
      <c r="G30" s="9"/>
      <c r="H30" s="9">
        <f>'[26]MD20000.15-DEC'!$K$1</f>
        <v>0</v>
      </c>
      <c r="I30" s="9">
        <f>'[26]MD20000.15-DEC'!$K$2</f>
        <v>17</v>
      </c>
      <c r="J30" s="10" t="s">
        <v>51</v>
      </c>
      <c r="K30" s="11">
        <f>'[26]MD20000.15-DEC'!$B$3</f>
        <v>45345</v>
      </c>
      <c r="L30" s="8">
        <f>'[26]MD20000.15-DEC'!$O$2</f>
        <v>0</v>
      </c>
      <c r="M30" s="8">
        <f>'[26]MD20000.15-DEC'!$O$1</f>
        <v>24000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'[27]MD20000.18-DEC'!$C$1</f>
        <v>30000</v>
      </c>
      <c r="F31" s="14">
        <f>'[27]MD20000.18-DEC'!$K$1</f>
        <v>0</v>
      </c>
      <c r="G31" s="14">
        <f>'[27]MD20000.18-DEC'!$K$2</f>
        <v>120</v>
      </c>
      <c r="H31" s="14"/>
      <c r="I31" s="14"/>
      <c r="J31" s="17" t="s">
        <v>51</v>
      </c>
      <c r="K31" s="15">
        <f>'[27]MD20000.18-DEC'!$B$3</f>
        <v>45354</v>
      </c>
      <c r="L31" s="16">
        <f>'[27]MD20000.18-DEC'!$O$2</f>
        <v>0</v>
      </c>
      <c r="M31" s="16">
        <f>'[27]MD20000.18-DEC'!$O$1</f>
        <v>36000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'[28]MD10000.10-JAN'!$C$1</f>
        <v>10000</v>
      </c>
      <c r="F32" s="14"/>
      <c r="G32" s="14"/>
      <c r="H32" s="14">
        <f>'[28]MD10000.10-JAN'!$K$1</f>
        <v>28</v>
      </c>
      <c r="I32" s="14">
        <f>'[28]MD10000.10-JAN'!$K$2</f>
        <v>20</v>
      </c>
      <c r="J32" s="17" t="s">
        <v>12</v>
      </c>
      <c r="K32" s="15">
        <f>'[28]MD10000.10-JAN'!$B$3</f>
        <v>45366</v>
      </c>
      <c r="L32" s="16">
        <f>'[28]MD10000.10-JAN'!$O$2</f>
        <v>9800</v>
      </c>
      <c r="M32" s="16">
        <f>'[28]MD10000.10-JAN'!$O$1</f>
        <v>7000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'[29]MD20000.15-DEc'!$C$1</f>
        <v>20000</v>
      </c>
      <c r="F33" s="14"/>
      <c r="G33" s="14"/>
      <c r="H33" s="14">
        <f>'[29]MD20000.15-DEc'!$K$1</f>
        <v>0</v>
      </c>
      <c r="I33" s="14">
        <f>'[29]MD20000.15-DEc'!$K$2</f>
        <v>17</v>
      </c>
      <c r="J33" s="17" t="s">
        <v>51</v>
      </c>
      <c r="K33" s="15">
        <f>'[29]MD20000.15-DEc'!$B$3</f>
        <v>45380</v>
      </c>
      <c r="L33" s="16">
        <f>'[29]MD20000.15-DEc'!$O$2</f>
        <v>0</v>
      </c>
      <c r="M33" s="16">
        <f>'[29]MD20000.15-DEc'!$O$1</f>
        <v>24000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'[30]MD10000.10-JAN'!$C$1</f>
        <v>10000</v>
      </c>
      <c r="F34" s="14"/>
      <c r="G34" s="14"/>
      <c r="H34" s="14">
        <f>'[30]MD10000.10-JAN'!$K$1</f>
        <v>32</v>
      </c>
      <c r="I34" s="14">
        <f>'[30]MD10000.10-JAN'!$K$2</f>
        <v>16</v>
      </c>
      <c r="J34" s="17" t="s">
        <v>12</v>
      </c>
      <c r="K34" s="15">
        <f>'[30]MD10000.10-JAN'!$B$3</f>
        <v>45389</v>
      </c>
      <c r="L34" s="16">
        <f>'[30]MD10000.10-JAN'!$O$2</f>
        <v>11200</v>
      </c>
      <c r="M34" s="16">
        <f>'[30]MD10000.10-JAN'!$O$1</f>
        <v>5600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'[31]MD20000.15-DEc'!$C$1</f>
        <v>20000</v>
      </c>
      <c r="F35" s="9"/>
      <c r="G35" s="9"/>
      <c r="H35" s="9">
        <f>'[31]MD20000.15-DEc'!$G$1</f>
        <v>17</v>
      </c>
      <c r="I35" s="9">
        <f>'[31]MD20000.15-DEc'!$K$2</f>
        <v>16</v>
      </c>
      <c r="J35" s="10" t="s">
        <v>12</v>
      </c>
      <c r="K35" s="11">
        <f>'[31]MD20000.15-DEc'!$B$3</f>
        <v>45394</v>
      </c>
      <c r="L35" s="8">
        <f>'[31]MD20000.15-DEc'!$O$2</f>
        <v>1400</v>
      </c>
      <c r="M35" s="8">
        <f>'[31]MD20000.15-DEc'!$O$1</f>
        <v>22600</v>
      </c>
      <c r="N35" s="1">
        <v>1400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'[32]MD10000.10-JAN'!$C$1</f>
        <v>10000</v>
      </c>
      <c r="F36" s="14"/>
      <c r="G36" s="14"/>
      <c r="H36" s="14">
        <f>'[32]MD10000.10-JAN'!$G$1</f>
        <v>48</v>
      </c>
      <c r="I36" s="14">
        <f>'[32]MD10000.10-JAN'!$K$2</f>
        <v>15</v>
      </c>
      <c r="J36" s="17" t="s">
        <v>12</v>
      </c>
      <c r="K36" s="15">
        <f>'[32]MD10000.10-JAN'!$B$3</f>
        <v>45399</v>
      </c>
      <c r="L36" s="16">
        <f>'[32]MD10000.10-JAN'!$O$2</f>
        <v>11550</v>
      </c>
      <c r="M36" s="16">
        <f>'[32]MD10000.10-JAN'!$O$1</f>
        <v>5250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'[33]MD20000.15-DEc'!$C$1</f>
        <v>20000</v>
      </c>
      <c r="F37" s="9"/>
      <c r="G37" s="9"/>
      <c r="H37" s="9">
        <f>'[33]MD20000.15-DEc'!$G$1</f>
        <v>17</v>
      </c>
      <c r="I37" s="9">
        <f>'[33]MD20000.15-DEc'!$K$2</f>
        <v>14</v>
      </c>
      <c r="J37" s="10" t="s">
        <v>12</v>
      </c>
      <c r="K37" s="11">
        <f>'[33]MD20000.15-DEc'!$B$3</f>
        <v>45406</v>
      </c>
      <c r="L37" s="8">
        <f>'[33]MD20000.15-DEc'!$O$2</f>
        <v>4200</v>
      </c>
      <c r="M37" s="8">
        <f>'[33]MD20000.15-DEc'!$O$1</f>
        <v>19800</v>
      </c>
      <c r="N37" s="1">
        <v>1400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'[34]MD10000.20-OCT'!$C$1</f>
        <v>5000</v>
      </c>
      <c r="F38" s="14"/>
      <c r="G38" s="14"/>
      <c r="H38" s="14">
        <f>'[34]MD10000.20-OCT'!$G$1</f>
        <v>17</v>
      </c>
      <c r="I38" s="14">
        <f>'[34]MD10000.20-OCT'!$K$2</f>
        <v>15</v>
      </c>
      <c r="J38" s="17" t="s">
        <v>12</v>
      </c>
      <c r="K38" s="15">
        <f>'[34]MD10000.20-OCT'!$B$3</f>
        <v>45406</v>
      </c>
      <c r="L38" s="16">
        <f>'[34]MD10000.20-OCT'!$O$2</f>
        <v>750</v>
      </c>
      <c r="M38" s="16">
        <f>'[34]MD10000.20-OCT'!$O$1</f>
        <v>5250</v>
      </c>
      <c r="N38" s="1">
        <v>350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'[35]MD50000.15-DEC'!$C$1</f>
        <v>40000</v>
      </c>
      <c r="F39" s="9"/>
      <c r="G39" s="9"/>
      <c r="H39" s="9">
        <f>'[35]MD50000.15-DEC'!$K$1</f>
        <v>47</v>
      </c>
      <c r="I39" s="9">
        <f>'[35]MD50000.15-DEC'!$K$2</f>
        <v>1</v>
      </c>
      <c r="J39" s="10" t="s">
        <v>12</v>
      </c>
      <c r="K39" s="11">
        <f>'[35]MD50000.15-DEC'!$B$3</f>
        <v>45416</v>
      </c>
      <c r="L39" s="8">
        <f>'[36]MD50000.15-DEC'!$O$2</f>
        <v>49000</v>
      </c>
      <c r="M39" s="8">
        <f>'[35]MD50000.15-DEC'!$O$1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43</v>
      </c>
      <c r="E40" s="8">
        <f>'[37]MD10000.20-OCT'!$C$1</f>
        <v>5000</v>
      </c>
      <c r="F40" s="9"/>
      <c r="G40" s="9"/>
      <c r="H40" s="9">
        <f>'[37]MD10000.20-OCT'!$K$1</f>
        <v>5</v>
      </c>
      <c r="I40" s="9">
        <f>'[37]MD10000.20-OCT'!$K$2</f>
        <v>12</v>
      </c>
      <c r="J40" s="10" t="s">
        <v>12</v>
      </c>
      <c r="K40" s="11">
        <f>'[37]MD10000.20-OCT'!$B$3</f>
        <v>45427</v>
      </c>
      <c r="L40" s="8">
        <f>'[37]MD10000.20-OCT'!$O$2</f>
        <v>1800</v>
      </c>
      <c r="M40" s="8">
        <f>'[37]MD10000.20-OCT'!$O$1</f>
        <v>4200</v>
      </c>
      <c r="N40" s="1">
        <v>350</v>
      </c>
    </row>
    <row r="41" spans="2:14" ht="22.5" customHeight="1" x14ac:dyDescent="0.2">
      <c r="B41" s="6">
        <v>37</v>
      </c>
      <c r="C41" s="9" t="s">
        <v>64</v>
      </c>
      <c r="D41" s="15" t="s">
        <v>33</v>
      </c>
      <c r="E41" s="8">
        <f>'[38]MD20000.18-DEC'!$C$1</f>
        <v>20000</v>
      </c>
      <c r="F41" s="9">
        <f>'[38]MD20000.18-DEC'!$K$1</f>
        <v>40</v>
      </c>
      <c r="G41" s="9">
        <f>'[38]MD20000.18-DEC'!$K$2</f>
        <v>80</v>
      </c>
      <c r="H41" s="9"/>
      <c r="I41" s="9"/>
      <c r="J41" s="10" t="s">
        <v>12</v>
      </c>
      <c r="K41" s="11">
        <f>'[38]MD20000.18-DEC'!$B$3</f>
        <v>45425</v>
      </c>
      <c r="L41" s="8">
        <f>'[38]MD20000.18-DEC'!$O$2</f>
        <v>8000</v>
      </c>
      <c r="M41" s="8">
        <f>'[38]MD20000.18-DEC'!$O$1</f>
        <v>16000</v>
      </c>
      <c r="N41" s="1">
        <v>1400</v>
      </c>
    </row>
    <row r="42" spans="2:14" ht="22.5" customHeight="1" x14ac:dyDescent="0.2">
      <c r="B42" s="6">
        <v>38</v>
      </c>
      <c r="C42" s="9" t="s">
        <v>65</v>
      </c>
      <c r="D42" s="15" t="s">
        <v>66</v>
      </c>
      <c r="E42" s="8">
        <f>'[39]MD10000.20-OCT'!$C$1</f>
        <v>5000</v>
      </c>
      <c r="F42" s="9"/>
      <c r="G42" s="9"/>
      <c r="H42" s="9">
        <f>'[39]MD10000.20-OCT'!$K$1</f>
        <v>7</v>
      </c>
      <c r="I42" s="9">
        <f>'[39]MD10000.20-OCT'!$K$2</f>
        <v>10</v>
      </c>
      <c r="J42" s="10" t="s">
        <v>12</v>
      </c>
      <c r="K42" s="11">
        <f>'[39]MD10000.20-OCT'!$B$3</f>
        <v>45436</v>
      </c>
      <c r="L42" s="8">
        <f>'[39]MD10000.20-OCT'!$O$2</f>
        <v>2500</v>
      </c>
      <c r="M42" s="8">
        <f>'[39]MD10000.20-OCT'!$O$1</f>
        <v>3500</v>
      </c>
      <c r="N42" s="1">
        <v>350</v>
      </c>
    </row>
    <row r="43" spans="2:14" ht="22.5" customHeight="1" x14ac:dyDescent="0.2">
      <c r="B43" s="6">
        <v>39</v>
      </c>
      <c r="C43" s="9" t="s">
        <v>34</v>
      </c>
      <c r="D43" s="11" t="s">
        <v>33</v>
      </c>
      <c r="E43" s="8">
        <f>'[40]MD20000.22-DEC'!$C$1</f>
        <v>20000</v>
      </c>
      <c r="F43" s="9">
        <f>'[40]MD20000.22-DEC'!$K$1</f>
        <v>50</v>
      </c>
      <c r="G43" s="9">
        <f>'[40]MD20000.22-DEC'!$K$2</f>
        <v>70</v>
      </c>
      <c r="H43" s="9"/>
      <c r="I43" s="9"/>
      <c r="J43" s="10" t="s">
        <v>12</v>
      </c>
      <c r="K43" s="11">
        <f>'[40]MD20000.22-DEC'!$B$3</f>
        <v>45432</v>
      </c>
      <c r="L43" s="8">
        <f>'[40]MD20000.22-DEC'!$O$2</f>
        <v>10000</v>
      </c>
      <c r="M43" s="8">
        <f>'[40]MD20000.22-DEC'!$O$1</f>
        <v>14000</v>
      </c>
      <c r="N43" s="1">
        <v>1400</v>
      </c>
    </row>
    <row r="44" spans="2:14" ht="22.5" customHeight="1" x14ac:dyDescent="0.2">
      <c r="B44" s="6">
        <v>40</v>
      </c>
      <c r="C44" s="9" t="s">
        <v>67</v>
      </c>
      <c r="D44" s="15" t="s">
        <v>68</v>
      </c>
      <c r="E44" s="8">
        <f>'[41]MD10000.1-OCT'!$C$1</f>
        <v>10000</v>
      </c>
      <c r="F44" s="9">
        <f>'[41]MD10000.1-OCT'!$G$1</f>
        <v>120</v>
      </c>
      <c r="G44" s="9">
        <f>'[41]MD10000.1-OCT'!$K$1</f>
        <v>64</v>
      </c>
      <c r="H44" s="9"/>
      <c r="I44" s="9"/>
      <c r="J44" s="10" t="s">
        <v>12</v>
      </c>
      <c r="K44" s="11">
        <f>'[41]MD10000.1-OCT'!$B$3</f>
        <v>45437</v>
      </c>
      <c r="L44" s="8">
        <f>'[41]MD10000.1-OCT'!$O$2</f>
        <v>6400</v>
      </c>
      <c r="M44" s="8">
        <f>'[41]MD10000.1-OCT'!$O$1</f>
        <v>5600</v>
      </c>
      <c r="N44" s="1">
        <v>700</v>
      </c>
    </row>
    <row r="45" spans="2:14" ht="22.5" customHeight="1" x14ac:dyDescent="0.2">
      <c r="B45" s="6">
        <v>41</v>
      </c>
      <c r="C45" s="9" t="s">
        <v>69</v>
      </c>
      <c r="D45" s="15" t="s">
        <v>48</v>
      </c>
      <c r="E45" s="8">
        <f>'[42]MD10000.20-OCT'!$C$1</f>
        <v>5000</v>
      </c>
      <c r="F45" s="9"/>
      <c r="G45" s="9"/>
      <c r="H45" s="9">
        <f>'[42]MD10000.20-OCT'!$K$1</f>
        <v>9</v>
      </c>
      <c r="I45" s="9">
        <f>'[42]MD10000.20-OCT'!$K$2</f>
        <v>8</v>
      </c>
      <c r="J45" s="10" t="s">
        <v>12</v>
      </c>
      <c r="K45" s="11">
        <f>'[42]MD10000.20-OCT'!$B$3</f>
        <v>45444</v>
      </c>
      <c r="L45" s="8">
        <f>'[42]MD10000.20-OCT'!$O$2</f>
        <v>3200</v>
      </c>
      <c r="M45" s="8">
        <f>'[42]MD10000.20-OCT'!$O$1</f>
        <v>2800</v>
      </c>
      <c r="N45" s="1">
        <v>350</v>
      </c>
    </row>
    <row r="46" spans="2:14" ht="22.5" customHeight="1" x14ac:dyDescent="0.2">
      <c r="B46" s="6">
        <v>42</v>
      </c>
      <c r="C46" s="9" t="s">
        <v>70</v>
      </c>
      <c r="D46" s="15" t="s">
        <v>71</v>
      </c>
      <c r="E46" s="8">
        <f>'[43]MD10000.1-OCT'!$C$1</f>
        <v>10000</v>
      </c>
      <c r="F46" s="9"/>
      <c r="G46" s="9"/>
      <c r="H46" s="9">
        <f>'[43]MD10000.1-OCT'!$K$1</f>
        <v>17</v>
      </c>
      <c r="I46" s="9">
        <f>'[43]MD10000.1-OCT'!$K$2</f>
        <v>4</v>
      </c>
      <c r="J46" s="10" t="s">
        <v>12</v>
      </c>
      <c r="K46" s="11">
        <f>'[43]MD10000.1-OCT'!$B$3</f>
        <v>45450</v>
      </c>
      <c r="L46" s="8">
        <f>'[44]MD10000.1-OCT'!$O$2</f>
        <v>6300</v>
      </c>
      <c r="M46" s="8">
        <f>'[43]MD10000.1-OCT'!$O$1</f>
        <v>2900</v>
      </c>
      <c r="N46" s="1">
        <v>700</v>
      </c>
    </row>
    <row r="47" spans="2:14" ht="22.5" customHeight="1" x14ac:dyDescent="0.2">
      <c r="B47" s="6">
        <v>43</v>
      </c>
      <c r="C47" s="9" t="s">
        <v>72</v>
      </c>
      <c r="D47" s="15" t="s">
        <v>33</v>
      </c>
      <c r="E47" s="8">
        <f>'[45]MD20000.22-DEC'!$C$1</f>
        <v>20000</v>
      </c>
      <c r="F47" s="9">
        <f>'[45]MD20000.22-DEC'!$K$1</f>
        <v>68</v>
      </c>
      <c r="G47" s="9">
        <f>'[45]MD20000.22-DEC'!$K$2</f>
        <v>52</v>
      </c>
      <c r="H47" s="9"/>
      <c r="I47" s="9"/>
      <c r="J47" s="10" t="s">
        <v>12</v>
      </c>
      <c r="K47" s="11">
        <f>'[45]MD20000.22-DEC'!$B$3</f>
        <v>45446</v>
      </c>
      <c r="L47" s="8">
        <f>'[45]MD20000.22-DEC'!$O$2</f>
        <v>13600</v>
      </c>
      <c r="M47" s="8">
        <f>'[45]MD20000.22-DEC'!$O$1</f>
        <v>10400</v>
      </c>
      <c r="N47" s="1">
        <v>1400</v>
      </c>
    </row>
    <row r="48" spans="2:14" ht="22.5" customHeight="1" x14ac:dyDescent="0.2">
      <c r="B48" s="6">
        <v>44</v>
      </c>
      <c r="C48" s="9" t="s">
        <v>73</v>
      </c>
      <c r="D48" s="15" t="s">
        <v>68</v>
      </c>
      <c r="E48" s="8">
        <f>'[46]MD20000.22-DEC'!$C$1</f>
        <v>10000</v>
      </c>
      <c r="F48" s="9">
        <f>'[46]MD20000.22-DEC'!$K$1</f>
        <v>92</v>
      </c>
      <c r="G48" s="9">
        <f>'[46]MD20000.22-DEC'!$K$2</f>
        <v>28</v>
      </c>
      <c r="H48" s="9"/>
      <c r="I48" s="9"/>
      <c r="J48" s="10" t="s">
        <v>12</v>
      </c>
      <c r="K48" s="11">
        <f>'[46]MD20000.22-DEC'!$B$3</f>
        <v>45473</v>
      </c>
      <c r="L48" s="8">
        <f>'[46]MD20000.22-DEC'!$O$2</f>
        <v>9200</v>
      </c>
      <c r="M48" s="8">
        <f>'[46]MD20000.22-DEC'!$O$1</f>
        <v>2800</v>
      </c>
      <c r="N48" s="1">
        <v>700</v>
      </c>
    </row>
    <row r="49" spans="2:14" ht="22.5" customHeight="1" x14ac:dyDescent="0.2">
      <c r="B49" s="6">
        <v>45</v>
      </c>
      <c r="C49" s="9" t="s">
        <v>15</v>
      </c>
      <c r="D49" s="11" t="s">
        <v>50</v>
      </c>
      <c r="E49" s="8">
        <f>'[47]MD20000.15-DEc'!$C$1</f>
        <v>20000</v>
      </c>
      <c r="F49" s="9"/>
      <c r="G49" s="9"/>
      <c r="H49" s="9">
        <f>'[47]MD20000.15-DEc'!$K$1</f>
        <v>15</v>
      </c>
      <c r="I49" s="9">
        <f>'[47]MD20000.15-DEc'!$K$2</f>
        <v>2</v>
      </c>
      <c r="J49" s="10" t="s">
        <v>12</v>
      </c>
      <c r="K49" s="11">
        <f>'[47]MD20000.15-DEc'!$B$3</f>
        <v>45495</v>
      </c>
      <c r="L49" s="8">
        <f>'[47]MD20000.15-DEc'!$O$2</f>
        <v>21000</v>
      </c>
      <c r="M49" s="8">
        <f>'[47]MD20000.15-DEc'!$O$1</f>
        <v>3000</v>
      </c>
      <c r="N49" s="1">
        <v>1400</v>
      </c>
    </row>
    <row r="50" spans="2:14" ht="22.5" customHeight="1" x14ac:dyDescent="0.2">
      <c r="B50" s="6">
        <v>46</v>
      </c>
      <c r="C50" s="9" t="s">
        <v>74</v>
      </c>
      <c r="D50" s="11" t="s">
        <v>75</v>
      </c>
      <c r="E50" s="8">
        <f>'[48]MD20000.15-DEc'!$C$1</f>
        <v>10000</v>
      </c>
      <c r="F50" s="9"/>
      <c r="G50" s="9"/>
      <c r="H50" s="9">
        <f>'[48]MD20000.15-DEc'!$K$1</f>
        <v>16</v>
      </c>
      <c r="I50" s="9">
        <f>'[48]MD20000.15-DEc'!$K$2</f>
        <v>1</v>
      </c>
      <c r="J50" s="10" t="s">
        <v>12</v>
      </c>
      <c r="K50" s="11">
        <f>'[48]MD20000.15-DEc'!$B$3</f>
        <v>45496</v>
      </c>
      <c r="L50" s="8">
        <f>'[48]MD20000.15-DEc'!$O$2</f>
        <v>11200</v>
      </c>
      <c r="M50" s="8">
        <f>'[48]MD20000.15-DEc'!$O$1</f>
        <v>800</v>
      </c>
      <c r="N50" s="1">
        <v>700</v>
      </c>
    </row>
    <row r="51" spans="2:14" ht="22.5" customHeight="1" x14ac:dyDescent="0.2">
      <c r="B51" s="6">
        <v>47</v>
      </c>
      <c r="C51" s="14" t="s">
        <v>32</v>
      </c>
      <c r="D51" s="15" t="s">
        <v>33</v>
      </c>
      <c r="E51" s="8">
        <f>'[49]MD20000.18-DEC'!$C$1</f>
        <v>20000</v>
      </c>
      <c r="F51" s="9">
        <f>'[49]MD20000.18-DEC'!$K$1</f>
        <v>113</v>
      </c>
      <c r="G51" s="9">
        <f>'[49]MD20000.18-DEC'!$K$2</f>
        <v>7</v>
      </c>
      <c r="H51" s="9"/>
      <c r="I51" s="9"/>
      <c r="J51" s="10" t="s">
        <v>12</v>
      </c>
      <c r="K51" s="11">
        <f>'[49]MD20000.18-DEC'!$B$3</f>
        <v>45493</v>
      </c>
      <c r="L51" s="8">
        <f>'[49]MD20000.18-DEC'!$O$2</f>
        <v>22600</v>
      </c>
      <c r="M51" s="8">
        <f>'[49]MD20000.18-DEC'!$O$1</f>
        <v>1400</v>
      </c>
      <c r="N51" s="1">
        <v>1400</v>
      </c>
    </row>
    <row r="52" spans="2:14" ht="22.5" customHeight="1" x14ac:dyDescent="0.2">
      <c r="B52" s="6">
        <v>48</v>
      </c>
      <c r="C52" s="9" t="s">
        <v>13</v>
      </c>
      <c r="D52" s="11" t="s">
        <v>76</v>
      </c>
      <c r="E52" s="8">
        <f>'[50]MD20000.15-DEc'!$C$1</f>
        <v>10000</v>
      </c>
      <c r="F52" s="9"/>
      <c r="G52" s="9"/>
      <c r="H52" s="9">
        <f>'[50]MD20000.15-DEc'!$K$1</f>
        <v>17</v>
      </c>
      <c r="I52" s="9">
        <f>'[50]MD20000.15-DEc'!$K$2</f>
        <v>0</v>
      </c>
      <c r="J52" s="10" t="s">
        <v>12</v>
      </c>
      <c r="K52" s="11">
        <f>'[50]MD20000.15-DEc'!$B$3</f>
        <v>0</v>
      </c>
      <c r="L52" s="8">
        <f>'[50]MD20000.15-DEc'!$O$2</f>
        <v>12000</v>
      </c>
      <c r="M52" s="8">
        <f>'[50]MD20000.15-DEc'!$O$1</f>
        <v>0</v>
      </c>
      <c r="N52" s="1">
        <v>700</v>
      </c>
    </row>
    <row r="53" spans="2:14" ht="22.5" customHeight="1" x14ac:dyDescent="0.2">
      <c r="B53" s="6">
        <v>49</v>
      </c>
      <c r="C53" s="9" t="s">
        <v>23</v>
      </c>
      <c r="D53" s="11" t="s">
        <v>50</v>
      </c>
      <c r="E53" s="8">
        <f>'[51]MD50000.15-DEC'!$C$1</f>
        <v>20000</v>
      </c>
      <c r="F53" s="9"/>
      <c r="G53" s="9"/>
      <c r="H53" s="9">
        <f>'[51]MD50000.15-DEC'!$K$1</f>
        <v>17</v>
      </c>
      <c r="I53" s="9">
        <f>'[51]MD50000.15-DEC'!$K$2</f>
        <v>0</v>
      </c>
      <c r="J53" s="10" t="s">
        <v>12</v>
      </c>
      <c r="K53" s="11">
        <f>'[51]MD50000.15-DEC'!$B$3</f>
        <v>0</v>
      </c>
      <c r="L53" s="8">
        <f>'[51]MD50000.15-DEC'!$O$2</f>
        <v>24000</v>
      </c>
      <c r="M53" s="8">
        <f>'[51]MD50000.15-DEC'!$O$1</f>
        <v>0</v>
      </c>
      <c r="N53" s="1">
        <v>1400</v>
      </c>
    </row>
    <row r="54" spans="2:14" ht="22.5" customHeight="1" x14ac:dyDescent="0.2">
      <c r="B54" s="6">
        <v>50</v>
      </c>
      <c r="C54" s="9"/>
      <c r="D54" s="11"/>
      <c r="E54" s="8"/>
      <c r="F54" s="9"/>
      <c r="G54" s="9"/>
      <c r="H54" s="9"/>
      <c r="I54" s="9"/>
      <c r="J54" s="10"/>
      <c r="K54" s="11"/>
      <c r="L54" s="8"/>
      <c r="M54" s="8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2024-07-28T09:47:15Z</dcterms:modified>
</cp:coreProperties>
</file>