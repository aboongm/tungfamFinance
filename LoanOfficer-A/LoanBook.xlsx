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externalLinks/externalLink98.xml" ContentType="application/vnd.openxmlformats-officedocument.spreadsheetml.externalLink+xml"/>
  <Override PartName="/xl/externalLinks/externalLink99.xml" ContentType="application/vnd.openxmlformats-officedocument.spreadsheetml.externalLink+xml"/>
  <Override PartName="/xl/externalLinks/externalLink100.xml" ContentType="application/vnd.openxmlformats-officedocument.spreadsheetml.externalLink+xml"/>
  <Override PartName="/xl/externalLinks/externalLink101.xml" ContentType="application/vnd.openxmlformats-officedocument.spreadsheetml.externalLink+xml"/>
  <Override PartName="/xl/externalLinks/externalLink102.xml" ContentType="application/vnd.openxmlformats-officedocument.spreadsheetml.externalLink+xml"/>
  <Override PartName="/xl/externalLinks/externalLink103.xml" ContentType="application/vnd.openxmlformats-officedocument.spreadsheetml.externalLink+xml"/>
  <Override PartName="/xl/externalLinks/externalLink104.xml" ContentType="application/vnd.openxmlformats-officedocument.spreadsheetml.externalLink+xml"/>
  <Override PartName="/xl/externalLinks/externalLink105.xml" ContentType="application/vnd.openxmlformats-officedocument.spreadsheetml.externalLink+xml"/>
  <Override PartName="/xl/externalLinks/externalLink106.xml" ContentType="application/vnd.openxmlformats-officedocument.spreadsheetml.externalLink+xml"/>
  <Override PartName="/xl/externalLinks/externalLink107.xml" ContentType="application/vnd.openxmlformats-officedocument.spreadsheetml.externalLink+xml"/>
  <Override PartName="/xl/externalLinks/externalLink108.xml" ContentType="application/vnd.openxmlformats-officedocument.spreadsheetml.externalLink+xml"/>
  <Override PartName="/xl/externalLinks/externalLink109.xml" ContentType="application/vnd.openxmlformats-officedocument.spreadsheetml.externalLink+xml"/>
  <Override PartName="/xl/externalLinks/externalLink110.xml" ContentType="application/vnd.openxmlformats-officedocument.spreadsheetml.externalLink+xml"/>
  <Override PartName="/xl/externalLinks/externalLink111.xml" ContentType="application/vnd.openxmlformats-officedocument.spreadsheetml.externalLink+xml"/>
  <Override PartName="/xl/externalLinks/externalLink112.xml" ContentType="application/vnd.openxmlformats-officedocument.spreadsheetml.externalLink+xml"/>
  <Override PartName="/xl/externalLinks/externalLink113.xml" ContentType="application/vnd.openxmlformats-officedocument.spreadsheetml.externalLink+xml"/>
  <Override PartName="/xl/externalLinks/externalLink114.xml" ContentType="application/vnd.openxmlformats-officedocument.spreadsheetml.externalLink+xml"/>
  <Override PartName="/xl/externalLinks/externalLink115.xml" ContentType="application/vnd.openxmlformats-officedocument.spreadsheetml.externalLink+xml"/>
  <Override PartName="/xl/externalLinks/externalLink116.xml" ContentType="application/vnd.openxmlformats-officedocument.spreadsheetml.externalLink+xml"/>
  <Override PartName="/xl/externalLinks/externalLink117.xml" ContentType="application/vnd.openxmlformats-officedocument.spreadsheetml.externalLink+xml"/>
  <Override PartName="/xl/externalLinks/externalLink118.xml" ContentType="application/vnd.openxmlformats-officedocument.spreadsheetml.externalLink+xml"/>
  <Override PartName="/xl/externalLinks/externalLink119.xml" ContentType="application/vnd.openxmlformats-officedocument.spreadsheetml.externalLink+xml"/>
  <Override PartName="/xl/externalLinks/externalLink120.xml" ContentType="application/vnd.openxmlformats-officedocument.spreadsheetml.externalLink+xml"/>
  <Override PartName="/xl/externalLinks/externalLink121.xml" ContentType="application/vnd.openxmlformats-officedocument.spreadsheetml.externalLink+xml"/>
  <Override PartName="/xl/externalLinks/externalLink122.xml" ContentType="application/vnd.openxmlformats-officedocument.spreadsheetml.externalLink+xml"/>
  <Override PartName="/xl/externalLinks/externalLink123.xml" ContentType="application/vnd.openxmlformats-officedocument.spreadsheetml.externalLink+xml"/>
  <Override PartName="/xl/externalLinks/externalLink124.xml" ContentType="application/vnd.openxmlformats-officedocument.spreadsheetml.externalLink+xml"/>
  <Override PartName="/xl/externalLinks/externalLink125.xml" ContentType="application/vnd.openxmlformats-officedocument.spreadsheetml.externalLink+xml"/>
  <Override PartName="/xl/externalLinks/externalLink126.xml" ContentType="application/vnd.openxmlformats-officedocument.spreadsheetml.externalLink+xml"/>
  <Override PartName="/xl/externalLinks/externalLink127.xml" ContentType="application/vnd.openxmlformats-officedocument.spreadsheetml.externalLink+xml"/>
  <Override PartName="/xl/externalLinks/externalLink128.xml" ContentType="application/vnd.openxmlformats-officedocument.spreadsheetml.externalLink+xml"/>
  <Override PartName="/xl/externalLinks/externalLink129.xml" ContentType="application/vnd.openxmlformats-officedocument.spreadsheetml.externalLink+xml"/>
  <Override PartName="/xl/externalLinks/externalLink130.xml" ContentType="application/vnd.openxmlformats-officedocument.spreadsheetml.externalLink+xml"/>
  <Override PartName="/xl/externalLinks/externalLink131.xml" ContentType="application/vnd.openxmlformats-officedocument.spreadsheetml.externalLink+xml"/>
  <Override PartName="/xl/externalLinks/externalLink132.xml" ContentType="application/vnd.openxmlformats-officedocument.spreadsheetml.externalLink+xml"/>
  <Override PartName="/xl/externalLinks/externalLink133.xml" ContentType="application/vnd.openxmlformats-officedocument.spreadsheetml.externalLink+xml"/>
  <Override PartName="/xl/externalLinks/externalLink134.xml" ContentType="application/vnd.openxmlformats-officedocument.spreadsheetml.externalLink+xml"/>
  <Override PartName="/xl/externalLinks/externalLink135.xml" ContentType="application/vnd.openxmlformats-officedocument.spreadsheetml.externalLink+xml"/>
  <Override PartName="/xl/externalLinks/externalLink136.xml" ContentType="application/vnd.openxmlformats-officedocument.spreadsheetml.externalLink+xml"/>
  <Override PartName="/xl/externalLinks/externalLink137.xml" ContentType="application/vnd.openxmlformats-officedocument.spreadsheetml.externalLink+xml"/>
  <Override PartName="/xl/externalLinks/externalLink138.xml" ContentType="application/vnd.openxmlformats-officedocument.spreadsheetml.externalLink+xml"/>
  <Override PartName="/xl/externalLinks/externalLink139.xml" ContentType="application/vnd.openxmlformats-officedocument.spreadsheetml.externalLink+xml"/>
  <Override PartName="/xl/externalLinks/externalLink140.xml" ContentType="application/vnd.openxmlformats-officedocument.spreadsheetml.externalLink+xml"/>
  <Override PartName="/xl/externalLinks/externalLink141.xml" ContentType="application/vnd.openxmlformats-officedocument.spreadsheetml.externalLink+xml"/>
  <Override PartName="/xl/externalLinks/externalLink142.xml" ContentType="application/vnd.openxmlformats-officedocument.spreadsheetml.externalLink+xml"/>
  <Override PartName="/xl/externalLinks/externalLink143.xml" ContentType="application/vnd.openxmlformats-officedocument.spreadsheetml.externalLink+xml"/>
  <Override PartName="/xl/externalLinks/externalLink144.xml" ContentType="application/vnd.openxmlformats-officedocument.spreadsheetml.externalLink+xml"/>
  <Override PartName="/xl/externalLinks/externalLink145.xml" ContentType="application/vnd.openxmlformats-officedocument.spreadsheetml.externalLink+xml"/>
  <Override PartName="/xl/externalLinks/externalLink146.xml" ContentType="application/vnd.openxmlformats-officedocument.spreadsheetml.externalLink+xml"/>
  <Override PartName="/xl/externalLinks/externalLink147.xml" ContentType="application/vnd.openxmlformats-officedocument.spreadsheetml.externalLink+xml"/>
  <Override PartName="/xl/externalLinks/externalLink148.xml" ContentType="application/vnd.openxmlformats-officedocument.spreadsheetml.externalLink+xml"/>
  <Override PartName="/xl/externalLinks/externalLink149.xml" ContentType="application/vnd.openxmlformats-officedocument.spreadsheetml.externalLink+xml"/>
  <Override PartName="/xl/externalLinks/externalLink150.xml" ContentType="application/vnd.openxmlformats-officedocument.spreadsheetml.externalLink+xml"/>
  <Override PartName="/xl/externalLinks/externalLink151.xml" ContentType="application/vnd.openxmlformats-officedocument.spreadsheetml.externalLink+xml"/>
  <Override PartName="/xl/externalLinks/externalLink152.xml" ContentType="application/vnd.openxmlformats-officedocument.spreadsheetml.externalLink+xml"/>
  <Override PartName="/xl/externalLinks/externalLink153.xml" ContentType="application/vnd.openxmlformats-officedocument.spreadsheetml.externalLink+xml"/>
  <Override PartName="/xl/externalLinks/externalLink154.xml" ContentType="application/vnd.openxmlformats-officedocument.spreadsheetml.externalLink+xml"/>
  <Override PartName="/xl/externalLinks/externalLink155.xml" ContentType="application/vnd.openxmlformats-officedocument.spreadsheetml.externalLink+xml"/>
  <Override PartName="/xl/externalLinks/externalLink156.xml" ContentType="application/vnd.openxmlformats-officedocument.spreadsheetml.externalLink+xml"/>
  <Override PartName="/xl/externalLinks/externalLink157.xml" ContentType="application/vnd.openxmlformats-officedocument.spreadsheetml.externalLink+xml"/>
  <Override PartName="/xl/externalLinks/externalLink158.xml" ContentType="application/vnd.openxmlformats-officedocument.spreadsheetml.externalLink+xml"/>
  <Override PartName="/xl/externalLinks/externalLink15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600" windowWidth="15360" windowHeight="4410"/>
  </bookViews>
  <sheets>
    <sheet name="2025" sheetId="7" r:id="rId1"/>
    <sheet name="2023" sheetId="6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  <externalReference r:id="rId108"/>
    <externalReference r:id="rId109"/>
    <externalReference r:id="rId110"/>
    <externalReference r:id="rId111"/>
    <externalReference r:id="rId112"/>
    <externalReference r:id="rId113"/>
    <externalReference r:id="rId114"/>
    <externalReference r:id="rId115"/>
    <externalReference r:id="rId116"/>
    <externalReference r:id="rId117"/>
    <externalReference r:id="rId118"/>
    <externalReference r:id="rId119"/>
    <externalReference r:id="rId120"/>
    <externalReference r:id="rId121"/>
    <externalReference r:id="rId122"/>
    <externalReference r:id="rId123"/>
    <externalReference r:id="rId124"/>
    <externalReference r:id="rId125"/>
    <externalReference r:id="rId126"/>
    <externalReference r:id="rId127"/>
    <externalReference r:id="rId128"/>
    <externalReference r:id="rId129"/>
    <externalReference r:id="rId130"/>
    <externalReference r:id="rId131"/>
    <externalReference r:id="rId132"/>
    <externalReference r:id="rId133"/>
    <externalReference r:id="rId134"/>
    <externalReference r:id="rId135"/>
    <externalReference r:id="rId136"/>
    <externalReference r:id="rId137"/>
    <externalReference r:id="rId138"/>
    <externalReference r:id="rId139"/>
    <externalReference r:id="rId140"/>
    <externalReference r:id="rId141"/>
    <externalReference r:id="rId142"/>
    <externalReference r:id="rId143"/>
    <externalReference r:id="rId144"/>
    <externalReference r:id="rId145"/>
    <externalReference r:id="rId146"/>
    <externalReference r:id="rId147"/>
    <externalReference r:id="rId148"/>
    <externalReference r:id="rId149"/>
    <externalReference r:id="rId150"/>
    <externalReference r:id="rId151"/>
    <externalReference r:id="rId152"/>
    <externalReference r:id="rId153"/>
    <externalReference r:id="rId154"/>
    <externalReference r:id="rId155"/>
    <externalReference r:id="rId156"/>
    <externalReference r:id="rId157"/>
    <externalReference r:id="rId158"/>
    <externalReference r:id="rId159"/>
    <externalReference r:id="rId160"/>
    <externalReference r:id="rId161"/>
  </externalReferences>
  <calcPr calcId="162913" iterateDelta="1E-4"/>
</workbook>
</file>

<file path=xl/calcChain.xml><?xml version="1.0" encoding="utf-8"?>
<calcChain xmlns="http://schemas.openxmlformats.org/spreadsheetml/2006/main">
  <c r="O2" i="7" l="1"/>
  <c r="N91" i="7" l="1"/>
  <c r="M91" i="7"/>
  <c r="L91" i="7"/>
  <c r="K91" i="7"/>
  <c r="G91" i="7"/>
  <c r="F91" i="7"/>
  <c r="E91" i="7"/>
  <c r="N90" i="7" l="1"/>
  <c r="M90" i="7"/>
  <c r="L90" i="7"/>
  <c r="K90" i="7"/>
  <c r="G90" i="7"/>
  <c r="F90" i="7"/>
  <c r="E90" i="7"/>
  <c r="N89" i="7" l="1"/>
  <c r="M89" i="7"/>
  <c r="L89" i="7"/>
  <c r="K89" i="7"/>
  <c r="G89" i="7"/>
  <c r="F89" i="7"/>
  <c r="E89" i="7"/>
  <c r="N88" i="7" l="1"/>
  <c r="M88" i="7"/>
  <c r="L88" i="7"/>
  <c r="K88" i="7"/>
  <c r="G88" i="7"/>
  <c r="F88" i="7"/>
  <c r="E88" i="7"/>
  <c r="N87" i="7" l="1"/>
  <c r="M87" i="7"/>
  <c r="L87" i="7"/>
  <c r="K87" i="7"/>
  <c r="I87" i="7"/>
  <c r="H87" i="7"/>
  <c r="E87" i="7"/>
  <c r="N86" i="7" l="1"/>
  <c r="M86" i="7"/>
  <c r="L86" i="7"/>
  <c r="K86" i="7"/>
  <c r="G86" i="7"/>
  <c r="F86" i="7"/>
  <c r="E86" i="7"/>
  <c r="N85" i="7" l="1"/>
  <c r="M85" i="7"/>
  <c r="L85" i="7"/>
  <c r="K85" i="7"/>
  <c r="G85" i="7"/>
  <c r="F85" i="7"/>
  <c r="E85" i="7"/>
  <c r="N84" i="7" l="1"/>
  <c r="M84" i="7"/>
  <c r="L84" i="7"/>
  <c r="K84" i="7"/>
  <c r="G84" i="7"/>
  <c r="F84" i="7"/>
  <c r="E84" i="7"/>
  <c r="N83" i="7" l="1"/>
  <c r="M83" i="7"/>
  <c r="L83" i="7"/>
  <c r="K83" i="7"/>
  <c r="I83" i="7"/>
  <c r="H83" i="7"/>
  <c r="E83" i="7"/>
  <c r="L81" i="7" l="1"/>
  <c r="L82" i="7" l="1"/>
  <c r="N82" i="7"/>
  <c r="M82" i="7"/>
  <c r="K82" i="7"/>
  <c r="G82" i="7"/>
  <c r="F82" i="7"/>
  <c r="E82" i="7"/>
  <c r="N81" i="7" l="1"/>
  <c r="M81" i="7"/>
  <c r="K81" i="7"/>
  <c r="G81" i="7"/>
  <c r="F81" i="7"/>
  <c r="E81" i="7"/>
  <c r="E62" i="7" l="1"/>
  <c r="F62" i="7"/>
  <c r="G62" i="7"/>
  <c r="K62" i="7"/>
  <c r="L62" i="7"/>
  <c r="M62" i="7"/>
  <c r="N62" i="7"/>
  <c r="N80" i="7" l="1"/>
  <c r="M80" i="7"/>
  <c r="L80" i="7"/>
  <c r="K80" i="7"/>
  <c r="G80" i="7"/>
  <c r="F80" i="7"/>
  <c r="E80" i="7"/>
  <c r="N79" i="7" l="1"/>
  <c r="M79" i="7"/>
  <c r="L79" i="7"/>
  <c r="K79" i="7"/>
  <c r="I79" i="7"/>
  <c r="H79" i="7"/>
  <c r="E79" i="7"/>
  <c r="N78" i="7" l="1"/>
  <c r="M78" i="7"/>
  <c r="L78" i="7"/>
  <c r="K78" i="7"/>
  <c r="G78" i="7"/>
  <c r="F78" i="7"/>
  <c r="E78" i="7"/>
  <c r="N77" i="7" l="1"/>
  <c r="M77" i="7"/>
  <c r="L77" i="7"/>
  <c r="K77" i="7"/>
  <c r="G77" i="7"/>
  <c r="F77" i="7"/>
  <c r="E77" i="7"/>
  <c r="M42" i="7" l="1"/>
  <c r="L76" i="7" l="1"/>
  <c r="N76" i="7" l="1"/>
  <c r="M76" i="7"/>
  <c r="K76" i="7"/>
  <c r="G76" i="7"/>
  <c r="F76" i="7"/>
  <c r="E76" i="7"/>
  <c r="K74" i="7" l="1"/>
  <c r="E74" i="7"/>
  <c r="N74" i="7" l="1"/>
  <c r="G74" i="7" l="1"/>
  <c r="M74" i="7"/>
  <c r="F74" i="7" l="1"/>
  <c r="L74" i="7"/>
  <c r="N73" i="7" l="1"/>
  <c r="M73" i="7"/>
  <c r="L73" i="7"/>
  <c r="K73" i="7"/>
  <c r="I73" i="7"/>
  <c r="H73" i="7"/>
  <c r="E73" i="7"/>
  <c r="N72" i="7" l="1"/>
  <c r="M72" i="7"/>
  <c r="L72" i="7"/>
  <c r="K72" i="7"/>
  <c r="I72" i="7"/>
  <c r="H72" i="7"/>
  <c r="E72" i="7"/>
  <c r="N71" i="7" l="1"/>
  <c r="M71" i="7"/>
  <c r="L71" i="7"/>
  <c r="K71" i="7"/>
  <c r="I71" i="7"/>
  <c r="H71" i="7"/>
  <c r="E71" i="7"/>
  <c r="N70" i="7" l="1"/>
  <c r="M70" i="7"/>
  <c r="L70" i="7"/>
  <c r="K70" i="7"/>
  <c r="I70" i="7"/>
  <c r="H70" i="7"/>
  <c r="E70" i="7"/>
  <c r="N69" i="7" l="1"/>
  <c r="M69" i="7"/>
  <c r="L69" i="7"/>
  <c r="K69" i="7"/>
  <c r="I69" i="7"/>
  <c r="H69" i="7"/>
  <c r="E69" i="7"/>
  <c r="N68" i="7" l="1"/>
  <c r="M68" i="7"/>
  <c r="L68" i="7"/>
  <c r="K68" i="7"/>
  <c r="I68" i="7"/>
  <c r="H68" i="7"/>
  <c r="E68" i="7"/>
  <c r="N67" i="7" l="1"/>
  <c r="M67" i="7"/>
  <c r="L67" i="7"/>
  <c r="K67" i="7"/>
  <c r="I67" i="7"/>
  <c r="H67" i="7"/>
  <c r="E67" i="7"/>
  <c r="N66" i="7" l="1"/>
  <c r="M66" i="7"/>
  <c r="L66" i="7"/>
  <c r="K66" i="7"/>
  <c r="G66" i="7"/>
  <c r="F66" i="7"/>
  <c r="E66" i="7"/>
  <c r="N65" i="7" l="1"/>
  <c r="M65" i="7"/>
  <c r="L65" i="7"/>
  <c r="K65" i="7"/>
  <c r="G65" i="7"/>
  <c r="F65" i="7"/>
  <c r="E65" i="7"/>
  <c r="N64" i="7" l="1"/>
  <c r="M64" i="7"/>
  <c r="L64" i="7"/>
  <c r="K64" i="7"/>
  <c r="G64" i="7"/>
  <c r="F64" i="7"/>
  <c r="E64" i="7"/>
  <c r="N63" i="7" l="1"/>
  <c r="M63" i="7"/>
  <c r="L63" i="7"/>
  <c r="K63" i="7"/>
  <c r="G63" i="7"/>
  <c r="F63" i="7"/>
  <c r="E63" i="7"/>
  <c r="N22" i="7" l="1"/>
  <c r="N18" i="7" l="1"/>
  <c r="N61" i="7" l="1"/>
  <c r="N60" i="7" l="1"/>
  <c r="N59" i="7" l="1"/>
  <c r="N58" i="7" l="1"/>
  <c r="N57" i="7" l="1"/>
  <c r="N56" i="7" l="1"/>
  <c r="N55" i="7" l="1"/>
  <c r="N54" i="7" l="1"/>
  <c r="N53" i="7" l="1"/>
  <c r="N52" i="7" l="1"/>
  <c r="N51" i="7" l="1"/>
  <c r="N50" i="7" l="1"/>
  <c r="N49" i="7" l="1"/>
  <c r="N48" i="7" l="1"/>
  <c r="N47" i="7" l="1"/>
  <c r="N46" i="7" l="1"/>
  <c r="N45" i="7" l="1"/>
  <c r="N44" i="7" l="1"/>
  <c r="N43" i="7" l="1"/>
  <c r="N42" i="7" l="1"/>
  <c r="N41" i="7" l="1"/>
  <c r="N40" i="7" l="1"/>
  <c r="N39" i="7" l="1"/>
  <c r="N38" i="7" l="1"/>
  <c r="N37" i="7" l="1"/>
  <c r="N36" i="7" l="1"/>
  <c r="N34" i="7" l="1"/>
  <c r="N29" i="7" l="1"/>
  <c r="N27" i="7" l="1"/>
  <c r="M61" i="7" l="1"/>
  <c r="L61" i="7"/>
  <c r="K61" i="7"/>
  <c r="I61" i="7"/>
  <c r="H61" i="7"/>
  <c r="E61" i="7"/>
  <c r="M60" i="7" l="1"/>
  <c r="L60" i="7"/>
  <c r="K60" i="7"/>
  <c r="G60" i="7"/>
  <c r="F60" i="7"/>
  <c r="E60" i="7"/>
  <c r="M59" i="7" l="1"/>
  <c r="L59" i="7"/>
  <c r="K59" i="7"/>
  <c r="I59" i="7"/>
  <c r="H59" i="7"/>
  <c r="E59" i="7"/>
  <c r="M58" i="7" l="1"/>
  <c r="L58" i="7"/>
  <c r="K58" i="7"/>
  <c r="I58" i="7"/>
  <c r="H58" i="7"/>
  <c r="E58" i="7"/>
  <c r="M57" i="7" l="1"/>
  <c r="L57" i="7"/>
  <c r="K57" i="7"/>
  <c r="G57" i="7"/>
  <c r="F57" i="7"/>
  <c r="E57" i="7"/>
  <c r="M56" i="7" l="1"/>
  <c r="L56" i="7"/>
  <c r="K56" i="7"/>
  <c r="G56" i="7"/>
  <c r="F56" i="7"/>
  <c r="E56" i="7"/>
  <c r="M55" i="7" l="1"/>
  <c r="L55" i="7"/>
  <c r="K55" i="7"/>
  <c r="I55" i="7"/>
  <c r="H55" i="7"/>
  <c r="E55" i="7"/>
  <c r="M54" i="7" l="1"/>
  <c r="L54" i="7"/>
  <c r="K54" i="7"/>
  <c r="K53" i="7"/>
  <c r="I54" i="7"/>
  <c r="H54" i="7"/>
  <c r="E54" i="7"/>
  <c r="M53" i="7" l="1"/>
  <c r="L53" i="7"/>
  <c r="I53" i="7"/>
  <c r="H53" i="7"/>
  <c r="E53" i="7"/>
  <c r="M52" i="7" l="1"/>
  <c r="L52" i="7"/>
  <c r="K52" i="7"/>
  <c r="I52" i="7"/>
  <c r="H52" i="7"/>
  <c r="E52" i="7"/>
  <c r="M51" i="7" l="1"/>
  <c r="L51" i="7"/>
  <c r="K51" i="7"/>
  <c r="I51" i="7"/>
  <c r="H51" i="7"/>
  <c r="E51" i="7"/>
  <c r="K50" i="7" l="1"/>
  <c r="E50" i="7"/>
  <c r="M49" i="7" l="1"/>
  <c r="L49" i="7"/>
  <c r="K49" i="7"/>
  <c r="I49" i="7"/>
  <c r="H49" i="7"/>
  <c r="E49" i="7"/>
  <c r="M48" i="7"/>
  <c r="L48" i="7"/>
  <c r="K48" i="7"/>
  <c r="I48" i="7"/>
  <c r="H48" i="7"/>
  <c r="E48" i="7"/>
  <c r="K47" i="7" l="1"/>
  <c r="E47" i="7"/>
  <c r="G47" i="7" l="1"/>
  <c r="M47" i="7"/>
  <c r="F47" i="7" l="1"/>
  <c r="L47" i="7"/>
  <c r="M45" i="7"/>
  <c r="L45" i="7"/>
  <c r="K45" i="7"/>
  <c r="I45" i="7"/>
  <c r="H45" i="7"/>
  <c r="E45" i="7"/>
  <c r="M46" i="7" l="1"/>
  <c r="L46" i="7"/>
  <c r="K46" i="7"/>
  <c r="I46" i="7"/>
  <c r="H46" i="7"/>
  <c r="E46" i="7"/>
  <c r="M44" i="7" l="1"/>
  <c r="L44" i="7"/>
  <c r="K44" i="7"/>
  <c r="I44" i="7"/>
  <c r="H44" i="7"/>
  <c r="E44" i="7"/>
  <c r="L42" i="7" l="1"/>
  <c r="K42" i="7"/>
  <c r="I42" i="7"/>
  <c r="H42" i="7"/>
  <c r="E42" i="7"/>
  <c r="M38" i="7" l="1"/>
  <c r="L38" i="7"/>
  <c r="K38" i="7"/>
  <c r="G38" i="7"/>
  <c r="F38" i="7"/>
  <c r="E38" i="7"/>
  <c r="E43" i="7" l="1"/>
  <c r="M43" i="7" l="1"/>
  <c r="K43" i="7"/>
  <c r="I43" i="7"/>
  <c r="H43" i="7"/>
  <c r="L43" i="7" l="1"/>
  <c r="M41" i="7" l="1"/>
  <c r="L41" i="7"/>
  <c r="K41" i="7"/>
  <c r="G41" i="7"/>
  <c r="F41" i="7"/>
  <c r="E41" i="7"/>
  <c r="M40" i="7" l="1"/>
  <c r="L40" i="7"/>
  <c r="K40" i="7"/>
  <c r="G40" i="7"/>
  <c r="F40" i="7"/>
  <c r="E40" i="7"/>
  <c r="M39" i="7" l="1"/>
  <c r="L39" i="7"/>
  <c r="K39" i="7"/>
  <c r="G39" i="7"/>
  <c r="F39" i="7"/>
  <c r="E39" i="7"/>
  <c r="M37" i="7" l="1"/>
  <c r="L37" i="7"/>
  <c r="K37" i="7"/>
  <c r="G37" i="7"/>
  <c r="F37" i="7"/>
  <c r="E37" i="7"/>
  <c r="M36" i="7" l="1"/>
  <c r="L36" i="7"/>
  <c r="K36" i="7"/>
  <c r="G36" i="7"/>
  <c r="F36" i="7"/>
  <c r="E36" i="7"/>
  <c r="L35" i="7" l="1"/>
  <c r="M35" i="7" l="1"/>
  <c r="K35" i="7"/>
  <c r="I35" i="7"/>
  <c r="H35" i="7"/>
  <c r="E35" i="7"/>
  <c r="K34" i="7" l="1"/>
  <c r="E34" i="7"/>
  <c r="G34" i="7" l="1"/>
  <c r="M34" i="7"/>
  <c r="F34" i="7" l="1"/>
  <c r="L34" i="7"/>
  <c r="M33" i="7" l="1"/>
  <c r="L33" i="7"/>
  <c r="K33" i="7"/>
  <c r="I33" i="7"/>
  <c r="H33" i="7"/>
  <c r="E33" i="7"/>
  <c r="M32" i="7" l="1"/>
  <c r="L32" i="7"/>
  <c r="K32" i="7"/>
  <c r="G32" i="7"/>
  <c r="F32" i="7"/>
  <c r="E32" i="7"/>
  <c r="M31" i="7" l="1"/>
  <c r="L31" i="7"/>
  <c r="K31" i="7"/>
  <c r="I31" i="7"/>
  <c r="H31" i="7"/>
  <c r="E31" i="7"/>
  <c r="M30" i="7" l="1"/>
  <c r="L30" i="7"/>
  <c r="K30" i="7"/>
  <c r="G30" i="7"/>
  <c r="F30" i="7"/>
  <c r="E30" i="7"/>
  <c r="K29" i="7" l="1"/>
  <c r="G29" i="7"/>
  <c r="F29" i="7"/>
  <c r="E29" i="7"/>
  <c r="F28" i="7" l="1"/>
  <c r="M28" i="7"/>
  <c r="L28" i="7"/>
  <c r="K28" i="7"/>
  <c r="G28" i="7"/>
  <c r="E28" i="7"/>
  <c r="M27" i="7" l="1"/>
  <c r="L27" i="7"/>
  <c r="L2" i="7" s="1"/>
  <c r="P5" i="7" s="1"/>
  <c r="K27" i="7"/>
  <c r="G27" i="7"/>
  <c r="F27" i="7"/>
  <c r="E27" i="7"/>
  <c r="M11" i="7" l="1"/>
  <c r="L11" i="7"/>
  <c r="M26" i="7" l="1"/>
  <c r="L26" i="7"/>
  <c r="K26" i="7"/>
  <c r="I26" i="7"/>
  <c r="H26" i="7"/>
  <c r="E26" i="7"/>
  <c r="M25" i="7" l="1"/>
  <c r="L25" i="7"/>
  <c r="K25" i="7"/>
  <c r="I25" i="7"/>
  <c r="H25" i="7"/>
  <c r="E25" i="7"/>
  <c r="M24" i="7" l="1"/>
  <c r="L24" i="7"/>
  <c r="K24" i="7"/>
  <c r="G24" i="7"/>
  <c r="F24" i="7"/>
  <c r="E24" i="7"/>
  <c r="M23" i="7"/>
  <c r="L23" i="7"/>
  <c r="K23" i="7"/>
  <c r="I23" i="7"/>
  <c r="H23" i="7"/>
  <c r="E23" i="7"/>
  <c r="K22" i="7"/>
  <c r="G22" i="7"/>
  <c r="F22" i="7"/>
  <c r="E22" i="7"/>
  <c r="M21" i="7"/>
  <c r="L21" i="7"/>
  <c r="K21" i="7"/>
  <c r="G21" i="7"/>
  <c r="F21" i="7"/>
  <c r="E21" i="7"/>
  <c r="M20" i="7"/>
  <c r="L20" i="7"/>
  <c r="K20" i="7"/>
  <c r="G20" i="7"/>
  <c r="F20" i="7"/>
  <c r="E20" i="7"/>
  <c r="M19" i="7"/>
  <c r="L19" i="7"/>
  <c r="K19" i="7"/>
  <c r="G19" i="7"/>
  <c r="F19" i="7"/>
  <c r="E19" i="7"/>
  <c r="K18" i="7"/>
  <c r="G18" i="7"/>
  <c r="F18" i="7"/>
  <c r="E18" i="7"/>
  <c r="M17" i="7"/>
  <c r="L17" i="7"/>
  <c r="K17" i="7"/>
  <c r="G17" i="7"/>
  <c r="F17" i="7"/>
  <c r="E17" i="7"/>
  <c r="M16" i="7"/>
  <c r="L16" i="7"/>
  <c r="K16" i="7"/>
  <c r="I16" i="7"/>
  <c r="H16" i="7"/>
  <c r="E16" i="7"/>
  <c r="M15" i="7"/>
  <c r="L15" i="7"/>
  <c r="K15" i="7"/>
  <c r="I15" i="7"/>
  <c r="H15" i="7"/>
  <c r="E15" i="7"/>
  <c r="M14" i="7"/>
  <c r="K14" i="7"/>
  <c r="G14" i="7"/>
  <c r="F14" i="7"/>
  <c r="E14" i="7"/>
  <c r="M13" i="7"/>
  <c r="L13" i="7"/>
  <c r="K13" i="7"/>
  <c r="G13" i="7"/>
  <c r="F13" i="7"/>
  <c r="E13" i="7"/>
  <c r="M12" i="7"/>
  <c r="L12" i="7"/>
  <c r="K12" i="7"/>
  <c r="G12" i="7"/>
  <c r="F12" i="7"/>
  <c r="E12" i="7"/>
  <c r="K11" i="7"/>
  <c r="G11" i="7"/>
  <c r="F11" i="7"/>
  <c r="E11" i="7"/>
  <c r="M10" i="7"/>
  <c r="L10" i="7"/>
  <c r="K10" i="7"/>
  <c r="I10" i="7"/>
  <c r="H10" i="7"/>
  <c r="E10" i="7"/>
  <c r="M9" i="7"/>
  <c r="L9" i="7"/>
  <c r="K9" i="7"/>
  <c r="G9" i="7"/>
  <c r="F9" i="7"/>
  <c r="E9" i="7"/>
  <c r="M8" i="7"/>
  <c r="L8" i="7"/>
  <c r="K8" i="7"/>
  <c r="G8" i="7"/>
  <c r="F8" i="7"/>
  <c r="E8" i="7"/>
  <c r="M7" i="7"/>
  <c r="L7" i="7"/>
  <c r="K7" i="7"/>
  <c r="G7" i="7"/>
  <c r="F7" i="7"/>
  <c r="E7" i="7"/>
  <c r="M6" i="7"/>
  <c r="L6" i="7"/>
  <c r="K6" i="7"/>
  <c r="G6" i="7"/>
  <c r="F6" i="7"/>
  <c r="E6" i="7"/>
  <c r="M5" i="7"/>
  <c r="L5" i="7"/>
  <c r="K5" i="7"/>
  <c r="I5" i="7"/>
  <c r="H5" i="7"/>
  <c r="E5" i="7"/>
  <c r="R2" i="7"/>
  <c r="L94" i="6" l="1"/>
  <c r="M94" i="6"/>
  <c r="K94" i="6"/>
  <c r="G94" i="6"/>
  <c r="F94" i="6"/>
  <c r="E94" i="6"/>
  <c r="M93" i="6" l="1"/>
  <c r="L93" i="6"/>
  <c r="K93" i="6"/>
  <c r="I93" i="6"/>
  <c r="H93" i="6"/>
  <c r="E93" i="6"/>
  <c r="M92" i="6" l="1"/>
  <c r="L92" i="6"/>
  <c r="K92" i="6"/>
  <c r="G92" i="6"/>
  <c r="F92" i="6"/>
  <c r="E92" i="6"/>
  <c r="M91" i="6" l="1"/>
  <c r="L91" i="6"/>
  <c r="K91" i="6"/>
  <c r="G91" i="6"/>
  <c r="F91" i="6"/>
  <c r="E91" i="6"/>
  <c r="M90" i="6"/>
  <c r="L90" i="6"/>
  <c r="K90" i="6"/>
  <c r="G90" i="6"/>
  <c r="F90" i="6"/>
  <c r="E90" i="6"/>
  <c r="M89" i="6" l="1"/>
  <c r="L89" i="6"/>
  <c r="K89" i="6"/>
  <c r="G89" i="6"/>
  <c r="F89" i="6"/>
  <c r="E89" i="6"/>
  <c r="M88" i="6" l="1"/>
  <c r="L88" i="6"/>
  <c r="K88" i="6"/>
  <c r="G88" i="6"/>
  <c r="F88" i="6"/>
  <c r="E88" i="6"/>
  <c r="M87" i="6" l="1"/>
  <c r="L87" i="6"/>
  <c r="K87" i="6"/>
  <c r="G87" i="6"/>
  <c r="F87" i="6"/>
  <c r="E87" i="6"/>
  <c r="M86" i="6" l="1"/>
  <c r="L86" i="6"/>
  <c r="K86" i="6"/>
  <c r="G86" i="6"/>
  <c r="F86" i="6"/>
  <c r="E86" i="6"/>
  <c r="M85" i="6" l="1"/>
  <c r="L85" i="6"/>
  <c r="K85" i="6"/>
  <c r="G85" i="6"/>
  <c r="F85" i="6"/>
  <c r="E85" i="6"/>
  <c r="M84" i="6" l="1"/>
  <c r="L84" i="6"/>
  <c r="K84" i="6"/>
  <c r="G84" i="6"/>
  <c r="F84" i="6"/>
  <c r="E84" i="6"/>
  <c r="M83" i="6" l="1"/>
  <c r="L83" i="6"/>
  <c r="K83" i="6"/>
  <c r="G83" i="6"/>
  <c r="F83" i="6"/>
  <c r="E83" i="6"/>
  <c r="M82" i="6" l="1"/>
  <c r="L82" i="6"/>
  <c r="K82" i="6"/>
  <c r="I82" i="6"/>
  <c r="H82" i="6"/>
  <c r="E82" i="6"/>
  <c r="M81" i="6" l="1"/>
  <c r="L81" i="6"/>
  <c r="K81" i="6"/>
  <c r="I81" i="6"/>
  <c r="H81" i="6"/>
  <c r="E81" i="6"/>
  <c r="M80" i="6" l="1"/>
  <c r="L80" i="6"/>
  <c r="K80" i="6"/>
  <c r="G80" i="6"/>
  <c r="F80" i="6"/>
  <c r="E80" i="6"/>
  <c r="N2" i="6" l="1"/>
  <c r="M79" i="6"/>
  <c r="L79" i="6"/>
  <c r="K79" i="6"/>
  <c r="G79" i="6"/>
  <c r="F79" i="6"/>
  <c r="E79" i="6"/>
  <c r="M78" i="6" l="1"/>
  <c r="L78" i="6"/>
  <c r="K78" i="6"/>
  <c r="G78" i="6"/>
  <c r="F78" i="6"/>
  <c r="E78" i="6"/>
  <c r="M77" i="6" l="1"/>
  <c r="L77" i="6"/>
  <c r="K77" i="6"/>
  <c r="G77" i="6"/>
  <c r="F77" i="6"/>
  <c r="E77" i="6"/>
  <c r="M76" i="6" l="1"/>
  <c r="L76" i="6"/>
  <c r="K76" i="6"/>
  <c r="G76" i="6"/>
  <c r="F76" i="6"/>
  <c r="E76" i="6"/>
  <c r="M75" i="6" l="1"/>
  <c r="L75" i="6"/>
  <c r="K75" i="6"/>
  <c r="G75" i="6"/>
  <c r="F75" i="6"/>
  <c r="E75" i="6"/>
  <c r="M74" i="6" l="1"/>
  <c r="L74" i="6"/>
  <c r="K74" i="6"/>
  <c r="G74" i="6"/>
  <c r="F74" i="6"/>
  <c r="E74" i="6"/>
  <c r="M73" i="6" l="1"/>
  <c r="L73" i="6"/>
  <c r="K73" i="6"/>
  <c r="G73" i="6"/>
  <c r="F73" i="6"/>
  <c r="E73" i="6"/>
  <c r="M72" i="6" l="1"/>
  <c r="L72" i="6"/>
  <c r="K72" i="6"/>
  <c r="I72" i="6"/>
  <c r="H72" i="6"/>
  <c r="E72" i="6"/>
  <c r="M46" i="6" l="1"/>
  <c r="I46" i="6"/>
  <c r="H46" i="6"/>
  <c r="L46" i="6" l="1"/>
  <c r="M71" i="6"/>
  <c r="L71" i="6"/>
  <c r="K71" i="6"/>
  <c r="G71" i="6"/>
  <c r="F71" i="6"/>
  <c r="E71" i="6"/>
  <c r="M70" i="6" l="1"/>
  <c r="L70" i="6"/>
  <c r="K70" i="6"/>
  <c r="G70" i="6"/>
  <c r="F70" i="6"/>
  <c r="E70" i="6"/>
  <c r="M69" i="6" l="1"/>
  <c r="L69" i="6"/>
  <c r="K69" i="6"/>
  <c r="G69" i="6"/>
  <c r="F69" i="6"/>
  <c r="E69" i="6"/>
  <c r="K68" i="6" l="1"/>
  <c r="E68" i="6"/>
  <c r="G68" i="6" l="1"/>
  <c r="M68" i="6"/>
  <c r="F68" i="6" l="1"/>
  <c r="L68" i="6"/>
  <c r="F67" i="6" l="1"/>
  <c r="M67" i="6"/>
  <c r="L67" i="6"/>
  <c r="K67" i="6"/>
  <c r="G67" i="6"/>
  <c r="E67" i="6"/>
  <c r="K66" i="6" l="1"/>
  <c r="E66" i="6"/>
  <c r="G66" i="6" l="1"/>
  <c r="M66" i="6"/>
  <c r="F66" i="6" l="1"/>
  <c r="L66" i="6"/>
  <c r="M65" i="6"/>
  <c r="L65" i="6"/>
  <c r="K65" i="6"/>
  <c r="G65" i="6"/>
  <c r="F65" i="6"/>
  <c r="E65" i="6"/>
  <c r="M64" i="6" l="1"/>
  <c r="L64" i="6"/>
  <c r="K64" i="6"/>
  <c r="G64" i="6"/>
  <c r="F64" i="6"/>
  <c r="E64" i="6"/>
  <c r="M63" i="6" l="1"/>
  <c r="L63" i="6"/>
  <c r="K63" i="6"/>
  <c r="I63" i="6"/>
  <c r="H63" i="6"/>
  <c r="E63" i="6"/>
  <c r="M62" i="6" l="1"/>
  <c r="L62" i="6"/>
  <c r="K62" i="6"/>
  <c r="G62" i="6"/>
  <c r="F62" i="6"/>
  <c r="E62" i="6"/>
  <c r="M61" i="6"/>
  <c r="L61" i="6"/>
  <c r="K61" i="6"/>
  <c r="I61" i="6"/>
  <c r="H61" i="6"/>
  <c r="E61" i="6"/>
  <c r="M60" i="6" l="1"/>
  <c r="L60" i="6"/>
  <c r="K60" i="6"/>
  <c r="I60" i="6"/>
  <c r="H60" i="6"/>
  <c r="E60" i="6"/>
  <c r="M59" i="6" l="1"/>
  <c r="L59" i="6"/>
  <c r="K59" i="6"/>
  <c r="I59" i="6"/>
  <c r="H59" i="6"/>
  <c r="E59" i="6"/>
  <c r="L58" i="6" l="1"/>
  <c r="L57" i="6" l="1"/>
  <c r="M58" i="6" l="1"/>
  <c r="K58" i="6"/>
  <c r="I58" i="6"/>
  <c r="H58" i="6"/>
  <c r="E58" i="6"/>
  <c r="M57" i="6" l="1"/>
  <c r="K57" i="6"/>
  <c r="I57" i="6"/>
  <c r="E57" i="6"/>
  <c r="H57" i="6"/>
  <c r="M56" i="6" l="1"/>
  <c r="L56" i="6"/>
  <c r="K56" i="6"/>
  <c r="G56" i="6"/>
  <c r="F56" i="6"/>
  <c r="E56" i="6"/>
  <c r="M55" i="6" l="1"/>
  <c r="L55" i="6"/>
  <c r="K55" i="6"/>
  <c r="G55" i="6"/>
  <c r="F55" i="6"/>
  <c r="E55" i="6"/>
  <c r="M54" i="6" l="1"/>
  <c r="L54" i="6"/>
  <c r="K54" i="6"/>
  <c r="I54" i="6"/>
  <c r="H54" i="6"/>
  <c r="E54" i="6"/>
  <c r="L53" i="6" l="1"/>
  <c r="M53" i="6" l="1"/>
  <c r="K53" i="6"/>
  <c r="I53" i="6"/>
  <c r="H53" i="6"/>
  <c r="E53" i="6"/>
  <c r="M52" i="6" l="1"/>
  <c r="L52" i="6"/>
  <c r="K52" i="6"/>
  <c r="I52" i="6"/>
  <c r="H52" i="6"/>
  <c r="E52" i="6"/>
  <c r="M51" i="6" l="1"/>
  <c r="L51" i="6"/>
  <c r="K51" i="6"/>
  <c r="G51" i="6"/>
  <c r="F51" i="6"/>
  <c r="E51" i="6"/>
  <c r="M50" i="6" l="1"/>
  <c r="L50" i="6"/>
  <c r="K50" i="6"/>
  <c r="I50" i="6"/>
  <c r="H50" i="6"/>
  <c r="E50" i="6"/>
  <c r="M49" i="6" l="1"/>
  <c r="L49" i="6"/>
  <c r="K49" i="6"/>
  <c r="I49" i="6"/>
  <c r="H49" i="6"/>
  <c r="E49" i="6"/>
  <c r="L48" i="6" l="1"/>
  <c r="M48" i="6" l="1"/>
  <c r="K48" i="6"/>
  <c r="G48" i="6"/>
  <c r="F48" i="6"/>
  <c r="E48" i="6"/>
  <c r="M29" i="6" l="1"/>
  <c r="M47" i="6" l="1"/>
  <c r="L47" i="6"/>
  <c r="K47" i="6"/>
  <c r="G47" i="6"/>
  <c r="F47" i="6"/>
  <c r="E47" i="6"/>
  <c r="K46" i="6" l="1"/>
  <c r="E46" i="6"/>
  <c r="M45" i="6" l="1"/>
  <c r="K45" i="6"/>
  <c r="H45" i="6"/>
  <c r="I45" i="6"/>
  <c r="E45" i="6"/>
  <c r="M44" i="6" l="1"/>
  <c r="L44" i="6"/>
  <c r="K44" i="6"/>
  <c r="G44" i="6"/>
  <c r="F44" i="6"/>
  <c r="E44" i="6"/>
  <c r="L39" i="6" l="1"/>
  <c r="L29" i="6" l="1"/>
  <c r="M43" i="6" l="1"/>
  <c r="L43" i="6"/>
  <c r="K43" i="6"/>
  <c r="F43" i="6"/>
  <c r="G43" i="6"/>
  <c r="E43" i="6"/>
  <c r="M42" i="6" l="1"/>
  <c r="L42" i="6"/>
  <c r="K42" i="6"/>
  <c r="I42" i="6"/>
  <c r="H42" i="6"/>
  <c r="E42" i="6"/>
  <c r="M41" i="6" l="1"/>
  <c r="K41" i="6"/>
  <c r="G41" i="6"/>
  <c r="F41" i="6"/>
  <c r="E41" i="6"/>
  <c r="L41" i="6" l="1"/>
  <c r="L40" i="6" l="1"/>
  <c r="M40" i="6" l="1"/>
  <c r="K40" i="6"/>
  <c r="I40" i="6"/>
  <c r="H40" i="6" l="1"/>
  <c r="E40" i="6"/>
  <c r="M39" i="6" l="1"/>
  <c r="K39" i="6"/>
  <c r="I39" i="6"/>
  <c r="H39" i="6"/>
  <c r="E39" i="6"/>
  <c r="M38" i="6" l="1"/>
  <c r="L38" i="6"/>
  <c r="K38" i="6"/>
  <c r="I38" i="6"/>
  <c r="H38" i="6"/>
  <c r="E38" i="6"/>
  <c r="M37" i="6" l="1"/>
  <c r="L37" i="6"/>
  <c r="K37" i="6"/>
  <c r="I37" i="6"/>
  <c r="H37" i="6"/>
  <c r="E37" i="6"/>
  <c r="I35" i="6" l="1"/>
  <c r="M36" i="6" l="1"/>
  <c r="L36" i="6"/>
  <c r="K36" i="6"/>
  <c r="I36" i="6"/>
  <c r="H36" i="6"/>
  <c r="E36" i="6"/>
  <c r="M35" i="6" l="1"/>
  <c r="L35" i="6"/>
  <c r="K35" i="6"/>
  <c r="H35" i="6"/>
  <c r="E35" i="6"/>
  <c r="L26" i="6" l="1"/>
  <c r="L24" i="6" l="1"/>
  <c r="L23" i="6" l="1"/>
  <c r="M34" i="6" l="1"/>
  <c r="L34" i="6"/>
  <c r="K34" i="6"/>
  <c r="I34" i="6"/>
  <c r="H34" i="6"/>
  <c r="E34" i="6"/>
  <c r="M33" i="6" l="1"/>
  <c r="L33" i="6"/>
  <c r="K33" i="6"/>
  <c r="I33" i="6"/>
  <c r="H33" i="6"/>
  <c r="E33" i="6"/>
  <c r="M32" i="6" l="1"/>
  <c r="L32" i="6"/>
  <c r="K32" i="6"/>
  <c r="I32" i="6"/>
  <c r="H32" i="6"/>
  <c r="E32" i="6"/>
  <c r="L30" i="6" l="1"/>
  <c r="M31" i="6" l="1"/>
  <c r="L31" i="6"/>
  <c r="K31" i="6"/>
  <c r="G31" i="6"/>
  <c r="F31" i="6"/>
  <c r="E31" i="6"/>
  <c r="Q2" i="6" l="1"/>
  <c r="L14" i="6" l="1"/>
  <c r="M30" i="6" l="1"/>
  <c r="K30" i="6"/>
  <c r="I30" i="6"/>
  <c r="H30" i="6"/>
  <c r="E30" i="6"/>
  <c r="K29" i="6" l="1"/>
  <c r="I29" i="6"/>
  <c r="H29" i="6"/>
  <c r="E29" i="6"/>
  <c r="M28" i="6" l="1"/>
  <c r="L28" i="6"/>
  <c r="K28" i="6"/>
  <c r="G28" i="6"/>
  <c r="F28" i="6"/>
  <c r="E28" i="6"/>
  <c r="M27" i="6" l="1"/>
  <c r="L27" i="6"/>
  <c r="K27" i="6"/>
  <c r="G27" i="6"/>
  <c r="F27" i="6"/>
  <c r="E27" i="6"/>
  <c r="L8" i="6" l="1"/>
  <c r="M26" i="6" l="1"/>
  <c r="K26" i="6"/>
  <c r="I26" i="6"/>
  <c r="H26" i="6"/>
  <c r="E26" i="6"/>
  <c r="M25" i="6"/>
  <c r="L25" i="6"/>
  <c r="K25" i="6"/>
  <c r="G25" i="6"/>
  <c r="F25" i="6"/>
  <c r="E25" i="6"/>
  <c r="M24" i="6" l="1"/>
  <c r="K24" i="6"/>
  <c r="I24" i="6"/>
  <c r="H24" i="6"/>
  <c r="E24" i="6"/>
  <c r="M23" i="6" l="1"/>
  <c r="K23" i="6"/>
  <c r="I23" i="6"/>
  <c r="E23" i="6"/>
  <c r="M22" i="6"/>
  <c r="L22" i="6"/>
  <c r="K22" i="6"/>
  <c r="I22" i="6"/>
  <c r="H22" i="6"/>
  <c r="E22" i="6"/>
  <c r="H23" i="6" l="1"/>
  <c r="M21" i="6" l="1"/>
  <c r="L21" i="6"/>
  <c r="K21" i="6"/>
  <c r="I21" i="6"/>
  <c r="H21" i="6"/>
  <c r="E21" i="6"/>
  <c r="M20" i="6" l="1"/>
  <c r="L20" i="6"/>
  <c r="K20" i="6"/>
  <c r="I20" i="6"/>
  <c r="H20" i="6"/>
  <c r="E20" i="6"/>
  <c r="M19" i="6" l="1"/>
  <c r="L19" i="6"/>
  <c r="K19" i="6"/>
  <c r="G19" i="6"/>
  <c r="F19" i="6"/>
  <c r="E19" i="6"/>
  <c r="M18" i="6" l="1"/>
  <c r="L18" i="6"/>
  <c r="K18" i="6"/>
  <c r="I18" i="6"/>
  <c r="H18" i="6"/>
  <c r="E18" i="6"/>
  <c r="M17" i="6" l="1"/>
  <c r="K17" i="6"/>
  <c r="G17" i="6"/>
  <c r="F17" i="6"/>
  <c r="E17" i="6"/>
  <c r="K16" i="6" l="1"/>
  <c r="E16" i="6"/>
  <c r="M15" i="6" l="1"/>
  <c r="L15" i="6"/>
  <c r="K15" i="6"/>
  <c r="I15" i="6"/>
  <c r="H15" i="6"/>
  <c r="E15" i="6"/>
  <c r="M14" i="6" l="1"/>
  <c r="K14" i="6"/>
  <c r="I14" i="6"/>
  <c r="H14" i="6"/>
  <c r="E14" i="6"/>
  <c r="M13" i="6" l="1"/>
  <c r="L13" i="6"/>
  <c r="K13" i="6"/>
  <c r="I13" i="6"/>
  <c r="H13" i="6"/>
  <c r="E13" i="6"/>
  <c r="K12" i="6" l="1"/>
  <c r="E12" i="6"/>
  <c r="I12" i="6" l="1"/>
  <c r="M12" i="6"/>
  <c r="H12" i="6" l="1"/>
  <c r="L12" i="6"/>
  <c r="M11" i="6"/>
  <c r="L11" i="6"/>
  <c r="K11" i="6"/>
  <c r="I11" i="6"/>
  <c r="H11" i="6"/>
  <c r="E11" i="6"/>
  <c r="M10" i="6" l="1"/>
  <c r="L10" i="6"/>
  <c r="K10" i="6"/>
  <c r="G10" i="6"/>
  <c r="F10" i="6"/>
  <c r="E10" i="6"/>
  <c r="K9" i="6" l="1"/>
  <c r="E9" i="6"/>
  <c r="I9" i="6" l="1"/>
  <c r="M9" i="6"/>
  <c r="H9" i="6" l="1"/>
  <c r="L9" i="6"/>
  <c r="K8" i="6"/>
  <c r="E8" i="6"/>
  <c r="G8" i="6"/>
  <c r="M8" i="6"/>
  <c r="F8" i="6" l="1"/>
  <c r="K7" i="6"/>
  <c r="E7" i="6"/>
  <c r="G7" i="6"/>
  <c r="M7" i="6"/>
  <c r="F7" i="6" l="1"/>
  <c r="L7" i="6"/>
  <c r="M6" i="6" l="1"/>
  <c r="L6" i="6"/>
  <c r="K6" i="6"/>
  <c r="G6" i="6"/>
  <c r="F6" i="6"/>
  <c r="E6" i="6"/>
  <c r="M5" i="6"/>
  <c r="L5" i="6"/>
  <c r="K5" i="6"/>
  <c r="G5" i="6"/>
  <c r="F5" i="6"/>
  <c r="E5" i="6"/>
  <c r="G16" i="6" l="1"/>
  <c r="M16" i="6"/>
  <c r="F16" i="6" l="1"/>
  <c r="L16" i="6"/>
  <c r="L2" i="6" s="1"/>
  <c r="H50" i="7" l="1"/>
  <c r="I50" i="7"/>
  <c r="M50" i="7" l="1"/>
  <c r="L50" i="7" l="1"/>
</calcChain>
</file>

<file path=xl/sharedStrings.xml><?xml version="1.0" encoding="utf-8"?>
<sst xmlns="http://schemas.openxmlformats.org/spreadsheetml/2006/main" count="559" uniqueCount="185">
  <si>
    <t>Code</t>
  </si>
  <si>
    <t>Loanee</t>
  </si>
  <si>
    <t>Baruni</t>
  </si>
  <si>
    <t>Outstanding (days)</t>
  </si>
  <si>
    <t>Paid (days)</t>
  </si>
  <si>
    <t>Status</t>
  </si>
  <si>
    <t>S No</t>
  </si>
  <si>
    <t>Start Date</t>
  </si>
  <si>
    <t>LOAN BOOK</t>
  </si>
  <si>
    <t>Loan Amount</t>
  </si>
  <si>
    <t>Amount Outstanding</t>
  </si>
  <si>
    <t>Amount Paid</t>
  </si>
  <si>
    <t>Active</t>
  </si>
  <si>
    <t>Priyadarshini</t>
  </si>
  <si>
    <t>Mona</t>
  </si>
  <si>
    <t>Bijenti</t>
  </si>
  <si>
    <t>Outstanding (weeks)</t>
  </si>
  <si>
    <t>Paid (weeks)</t>
  </si>
  <si>
    <t>D5000P60</t>
  </si>
  <si>
    <t>D10000P120</t>
  </si>
  <si>
    <t>W10000P17</t>
  </si>
  <si>
    <t>TOTAL OUTSTANDING:</t>
  </si>
  <si>
    <t>InActive</t>
  </si>
  <si>
    <t>Salam sunanda</t>
  </si>
  <si>
    <t>Khoirom priyadarsini</t>
  </si>
  <si>
    <t>W15000P17</t>
  </si>
  <si>
    <t>Salam Sunanda 2</t>
  </si>
  <si>
    <t>Keisham Kamala</t>
  </si>
  <si>
    <t>L20000W17P1400-WED</t>
  </si>
  <si>
    <t>L20000W17P1400-SAT</t>
  </si>
  <si>
    <t>Moirangthem Naobi</t>
  </si>
  <si>
    <t>L50000W48P1750-FRI</t>
  </si>
  <si>
    <t>Thongram Rambhabati</t>
  </si>
  <si>
    <t>L20000P120</t>
  </si>
  <si>
    <t>Haobijam Thasana</t>
  </si>
  <si>
    <t>Hidangmayum Debjani</t>
  </si>
  <si>
    <t>L10000P350-FRI</t>
  </si>
  <si>
    <t>Pangambam Baruni</t>
  </si>
  <si>
    <t>Maibam Chandrika</t>
  </si>
  <si>
    <t>L10000P350-WED</t>
  </si>
  <si>
    <t>Yaithewngbam Bidyabati</t>
  </si>
  <si>
    <t>Inactive</t>
  </si>
  <si>
    <t xml:space="preserve"> Rambhabati (pishak)</t>
  </si>
  <si>
    <t>L50000W17P350-WED</t>
  </si>
  <si>
    <t>Moirangthem Narmada</t>
  </si>
  <si>
    <t>Moirangthem Niroda</t>
  </si>
  <si>
    <t>L10000P350-Mon</t>
  </si>
  <si>
    <t>Kh Manisana</t>
  </si>
  <si>
    <t>L50000W17P350-SAT</t>
  </si>
  <si>
    <t>Rambhabati Tombi</t>
  </si>
  <si>
    <t>L20000W17P1400-wed</t>
  </si>
  <si>
    <t>inActive</t>
  </si>
  <si>
    <t>L20000W17P1400-fri</t>
  </si>
  <si>
    <t>INActive</t>
  </si>
  <si>
    <t>RK Smitha</t>
  </si>
  <si>
    <t>Sheenarani</t>
  </si>
  <si>
    <t>Lourembam Ibeyaima</t>
  </si>
  <si>
    <t>Minakumari</t>
  </si>
  <si>
    <t>K. Kamala</t>
  </si>
  <si>
    <t>Ibemcha</t>
  </si>
  <si>
    <t>L50000W17P350-Wed</t>
  </si>
  <si>
    <t>Salam Sunanda</t>
  </si>
  <si>
    <t>L40000W48P1400-Sat</t>
  </si>
  <si>
    <t>Haodijam Bidyarani</t>
  </si>
  <si>
    <t>Asiqi</t>
  </si>
  <si>
    <t>Pishak</t>
  </si>
  <si>
    <t>L50000W17P350-FRI</t>
  </si>
  <si>
    <t>Ranita</t>
  </si>
  <si>
    <t>L10000p120</t>
  </si>
  <si>
    <t>tombi</t>
  </si>
  <si>
    <t>Pratima</t>
  </si>
  <si>
    <t>L10000w17P700-FRI</t>
  </si>
  <si>
    <t>Priya daily</t>
  </si>
  <si>
    <t>Rambhabati ricky</t>
  </si>
  <si>
    <t>Sonia</t>
  </si>
  <si>
    <t>L10000W17P700-wed</t>
  </si>
  <si>
    <t>L10000W17P700-mon</t>
  </si>
  <si>
    <t>iActive</t>
  </si>
  <si>
    <t>Ibecha</t>
  </si>
  <si>
    <t>L5000W17P350-tues</t>
  </si>
  <si>
    <t>L30000P120</t>
  </si>
  <si>
    <t>Bimola</t>
  </si>
  <si>
    <t>L10000P120</t>
  </si>
  <si>
    <t>Induleikha</t>
  </si>
  <si>
    <t>bidyarani</t>
  </si>
  <si>
    <t>L5000W17P350-WED</t>
  </si>
  <si>
    <t>sweety</t>
  </si>
  <si>
    <t>L5000W17P350-FRI</t>
  </si>
  <si>
    <t xml:space="preserve"> Tombi</t>
  </si>
  <si>
    <t xml:space="preserve"> ricky</t>
  </si>
  <si>
    <t>L20000p120</t>
  </si>
  <si>
    <t>Romila</t>
  </si>
  <si>
    <t>Ibeyaima</t>
  </si>
  <si>
    <t>Renita</t>
  </si>
  <si>
    <t>L15000p120</t>
  </si>
  <si>
    <t>Puyam Anita</t>
  </si>
  <si>
    <t>L50000p120</t>
  </si>
  <si>
    <t>Kh priyadarsini</t>
  </si>
  <si>
    <t>L100000p40</t>
  </si>
  <si>
    <t>kh Shaya</t>
  </si>
  <si>
    <t>Shantibala</t>
  </si>
  <si>
    <t>Joychandra</t>
  </si>
  <si>
    <t>Sanatombi</t>
  </si>
  <si>
    <t>huirem sunamani</t>
  </si>
  <si>
    <t>bijenti</t>
  </si>
  <si>
    <t>Bidyapati</t>
  </si>
  <si>
    <t>L20000W 17 1400 Wed</t>
  </si>
  <si>
    <t>Thasana</t>
  </si>
  <si>
    <t>Haobijam joyshree</t>
  </si>
  <si>
    <t>L50000P120</t>
  </si>
  <si>
    <t>Takhellambam  kiranmala</t>
  </si>
  <si>
    <t>L100000D267</t>
  </si>
  <si>
    <t>kamala</t>
  </si>
  <si>
    <t>Ibobi</t>
  </si>
  <si>
    <t>Dinita</t>
  </si>
  <si>
    <t>Sandhyarani</t>
  </si>
  <si>
    <t>Rambhabati</t>
  </si>
  <si>
    <t>L200000D267</t>
  </si>
  <si>
    <t>lukhamlu</t>
  </si>
  <si>
    <t>L10000W17P700</t>
  </si>
  <si>
    <t>Angom Bijenty</t>
  </si>
  <si>
    <t>Sweety</t>
  </si>
  <si>
    <t>L20000W17P1400-mon</t>
  </si>
  <si>
    <t>induleikha</t>
  </si>
  <si>
    <t>L20000W17P1400-sat</t>
  </si>
  <si>
    <t>active</t>
  </si>
  <si>
    <t>angom Joychandra</t>
  </si>
  <si>
    <t>kh bidyakumar</t>
  </si>
  <si>
    <t>L35000p120</t>
  </si>
  <si>
    <t>Athokpam manao</t>
  </si>
  <si>
    <t>L10000W17P1400-sat</t>
  </si>
  <si>
    <t>sonia</t>
  </si>
  <si>
    <t>bijenty</t>
  </si>
  <si>
    <t>renita</t>
  </si>
  <si>
    <t>L20000w17 mon</t>
  </si>
  <si>
    <t>L30000p120</t>
  </si>
  <si>
    <t>kiranmala</t>
  </si>
  <si>
    <t>dinita</t>
  </si>
  <si>
    <t>sandhyarani</t>
  </si>
  <si>
    <t xml:space="preserve">L10000w17 </t>
  </si>
  <si>
    <t xml:space="preserve">L5000w17 </t>
  </si>
  <si>
    <t>narmada</t>
  </si>
  <si>
    <t>L 20000 w17</t>
  </si>
  <si>
    <t>Indulekha</t>
  </si>
  <si>
    <t>Inaobi</t>
  </si>
  <si>
    <t>Naocha</t>
  </si>
  <si>
    <t>L10000w17</t>
  </si>
  <si>
    <t>Achoubi</t>
  </si>
  <si>
    <t>bidyapati</t>
  </si>
  <si>
    <t>budhachandra</t>
  </si>
  <si>
    <t>jameson</t>
  </si>
  <si>
    <t>dhanabir</t>
  </si>
  <si>
    <t>sheenarani</t>
  </si>
  <si>
    <t>moirangthem bijenty</t>
  </si>
  <si>
    <t>writeoff 1800 on 2 june25</t>
  </si>
  <si>
    <t>moirangthem naobi</t>
  </si>
  <si>
    <t>L 20000 D120</t>
  </si>
  <si>
    <t>L Ibeyaima</t>
  </si>
  <si>
    <t>Priyadarsini</t>
  </si>
  <si>
    <t>L 50000 w17</t>
  </si>
  <si>
    <t>pratima</t>
  </si>
  <si>
    <t>L10000D120</t>
  </si>
  <si>
    <t>minakumari</t>
  </si>
  <si>
    <t>End date</t>
  </si>
  <si>
    <t>L 40000 D120</t>
  </si>
  <si>
    <t>L 15000 D120</t>
  </si>
  <si>
    <t>achoubi</t>
  </si>
  <si>
    <t>naocha</t>
  </si>
  <si>
    <t>L 10000 w17</t>
  </si>
  <si>
    <t>indulekha</t>
  </si>
  <si>
    <t>Narmada</t>
  </si>
  <si>
    <t>sunanda</t>
  </si>
  <si>
    <t>L 100000D200</t>
  </si>
  <si>
    <t>jameson and group</t>
  </si>
  <si>
    <t>m.naobi</t>
  </si>
  <si>
    <t>L20000120</t>
  </si>
  <si>
    <t>Moirangthem bijenty</t>
  </si>
  <si>
    <t>Sanasam sonia</t>
  </si>
  <si>
    <t>romila</t>
  </si>
  <si>
    <t>L16000p120</t>
  </si>
  <si>
    <t>ibeyaima</t>
  </si>
  <si>
    <t>L15000w17</t>
  </si>
  <si>
    <t>denita</t>
  </si>
  <si>
    <t>L 10000 D120</t>
  </si>
  <si>
    <t>L20000D120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</si>
</sst>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_ &quot;₹&quot;\ * #,##0.00_ ;_ &quot;₹&quot;\ * \-#,##0.00_ ;_ &quot;₹&quot;\ * &quot;-&quot;??_ ;_ @_ "/>
    <numFmt numFmtId="165" formatCode="_ [$₹-4009]\ * #,##0.00_ ;_ [$₹-4009]\ * \-#,##0.00_ ;_ [$₹-4009]\ * &quot;-&quot;??_ ;_ @_ "/>
    <numFmt numFmtId="166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Arial"/>
      <family val="2"/>
    </font>
    <font>
      <sz val="12"/>
      <color theme="3" tint="-0.249977111117893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3366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1">
    <xf numFmtId="0" fontId="0" fillId="0" borderId="0" xfId="0"/>
    <xf numFmtId="0" fontId="3" fillId="2" borderId="0" xfId="0" applyFont="1" applyFill="1"/>
    <xf numFmtId="0" fontId="4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65" fontId="3" fillId="2" borderId="0" xfId="0" applyNumberFormat="1" applyFont="1" applyFill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4" fontId="3" fillId="3" borderId="1" xfId="1" applyNumberFormat="1" applyFont="1" applyFill="1" applyBorder="1" applyAlignment="1">
      <alignment horizontal="center" vertical="center"/>
    </xf>
    <xf numFmtId="15" fontId="3" fillId="3" borderId="1" xfId="0" applyNumberFormat="1" applyFont="1" applyFill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 wrapText="1"/>
    </xf>
    <xf numFmtId="1" fontId="3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5" fontId="3" fillId="5" borderId="1" xfId="0" applyNumberFormat="1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/>
    </xf>
    <xf numFmtId="164" fontId="3" fillId="5" borderId="1" xfId="1" applyNumberFormat="1" applyFont="1" applyFill="1" applyBorder="1" applyAlignment="1">
      <alignment horizontal="center" vertical="center"/>
    </xf>
    <xf numFmtId="1" fontId="3" fillId="6" borderId="1" xfId="0" applyNumberFormat="1" applyFont="1" applyFill="1" applyBorder="1" applyAlignment="1">
      <alignment horizontal="center" vertical="center"/>
    </xf>
    <xf numFmtId="166" fontId="3" fillId="6" borderId="1" xfId="0" applyNumberFormat="1" applyFont="1" applyFill="1" applyBorder="1" applyAlignment="1">
      <alignment horizontal="center" vertical="center"/>
    </xf>
    <xf numFmtId="165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164" fontId="3" fillId="6" borderId="1" xfId="1" applyNumberFormat="1" applyFont="1" applyFill="1" applyBorder="1" applyAlignment="1">
      <alignment horizontal="center" vertical="center"/>
    </xf>
    <xf numFmtId="15" fontId="3" fillId="6" borderId="1" xfId="0" applyNumberFormat="1" applyFont="1" applyFill="1" applyBorder="1" applyAlignment="1">
      <alignment horizontal="center" vertical="center"/>
    </xf>
    <xf numFmtId="1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5" fontId="3" fillId="7" borderId="1" xfId="0" applyNumberFormat="1" applyFont="1" applyFill="1" applyBorder="1" applyAlignment="1">
      <alignment horizontal="center" vertical="center"/>
    </xf>
    <xf numFmtId="165" fontId="3" fillId="7" borderId="1" xfId="0" applyNumberFormat="1" applyFont="1" applyFill="1" applyBorder="1" applyAlignment="1">
      <alignment horizontal="center" vertical="center"/>
    </xf>
    <xf numFmtId="164" fontId="3" fillId="7" borderId="1" xfId="1" applyNumberFormat="1" applyFont="1" applyFill="1" applyBorder="1" applyAlignment="1">
      <alignment horizontal="center" vertical="center"/>
    </xf>
    <xf numFmtId="165" fontId="3" fillId="2" borderId="0" xfId="0" applyNumberFormat="1" applyFont="1" applyFill="1"/>
    <xf numFmtId="0" fontId="5" fillId="8" borderId="0" xfId="0" applyFont="1" applyFill="1"/>
    <xf numFmtId="164" fontId="3" fillId="3" borderId="1" xfId="1" applyFont="1" applyFill="1" applyBorder="1" applyAlignment="1">
      <alignment horizontal="center" vertical="center"/>
    </xf>
    <xf numFmtId="165" fontId="3" fillId="4" borderId="0" xfId="0" applyNumberFormat="1" applyFont="1" applyFill="1" applyBorder="1" applyAlignment="1">
      <alignment horizontal="center" vertical="center"/>
    </xf>
    <xf numFmtId="1" fontId="4" fillId="4" borderId="0" xfId="0" applyNumberFormat="1" applyFont="1" applyFill="1" applyBorder="1" applyAlignment="1">
      <alignment horizontal="center" vertical="center" wrapText="1"/>
    </xf>
    <xf numFmtId="165" fontId="3" fillId="6" borderId="0" xfId="0" applyNumberFormat="1" applyFont="1" applyFill="1" applyBorder="1" applyAlignment="1">
      <alignment horizontal="center" vertical="center"/>
    </xf>
    <xf numFmtId="166" fontId="2" fillId="4" borderId="2" xfId="0" applyNumberFormat="1" applyFont="1" applyFill="1" applyBorder="1" applyAlignment="1">
      <alignment horizontal="center" vertical="center"/>
    </xf>
    <xf numFmtId="166" fontId="2" fillId="4" borderId="4" xfId="0" applyNumberFormat="1" applyFont="1" applyFill="1" applyBorder="1" applyAlignment="1">
      <alignment horizontal="center" vertical="center"/>
    </xf>
    <xf numFmtId="164" fontId="3" fillId="4" borderId="2" xfId="1" applyNumberFormat="1" applyFont="1" applyFill="1" applyBorder="1" applyAlignment="1">
      <alignment horizontal="center" vertical="center"/>
    </xf>
    <xf numFmtId="164" fontId="3" fillId="4" borderId="3" xfId="1" applyNumberFormat="1" applyFont="1" applyFill="1" applyBorder="1" applyAlignment="1">
      <alignment horizontal="center" vertical="center"/>
    </xf>
    <xf numFmtId="164" fontId="3" fillId="4" borderId="4" xfId="1" applyNumberFormat="1" applyFont="1" applyFill="1" applyBorder="1" applyAlignment="1">
      <alignment horizontal="center" vertical="center"/>
    </xf>
    <xf numFmtId="165" fontId="3" fillId="4" borderId="2" xfId="0" applyNumberFormat="1" applyFont="1" applyFill="1" applyBorder="1" applyAlignment="1">
      <alignment horizontal="center" vertical="center"/>
    </xf>
    <xf numFmtId="165" fontId="3" fillId="4" borderId="4" xfId="0" applyNumberFormat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003366"/>
      <color rgb="FF006666"/>
      <color rgb="FF336699"/>
      <color rgb="FF006699"/>
      <color rgb="FF003300"/>
      <color rgb="FF6600CC"/>
      <color rgb="FF000066"/>
      <color rgb="FF336600"/>
      <color rgb="FF66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externalLink" Target="externalLinks/externalLink115.xml"/><Relationship Id="rId21" Type="http://schemas.openxmlformats.org/officeDocument/2006/relationships/externalLink" Target="externalLinks/externalLink19.xml"/><Relationship Id="rId42" Type="http://schemas.openxmlformats.org/officeDocument/2006/relationships/externalLink" Target="externalLinks/externalLink40.xml"/><Relationship Id="rId63" Type="http://schemas.openxmlformats.org/officeDocument/2006/relationships/externalLink" Target="externalLinks/externalLink61.xml"/><Relationship Id="rId84" Type="http://schemas.openxmlformats.org/officeDocument/2006/relationships/externalLink" Target="externalLinks/externalLink82.xml"/><Relationship Id="rId138" Type="http://schemas.openxmlformats.org/officeDocument/2006/relationships/externalLink" Target="externalLinks/externalLink136.xml"/><Relationship Id="rId159" Type="http://schemas.openxmlformats.org/officeDocument/2006/relationships/externalLink" Target="externalLinks/externalLink157.xml"/><Relationship Id="rId107" Type="http://schemas.openxmlformats.org/officeDocument/2006/relationships/externalLink" Target="externalLinks/externalLink105.xml"/><Relationship Id="rId11" Type="http://schemas.openxmlformats.org/officeDocument/2006/relationships/externalLink" Target="externalLinks/externalLink9.xml"/><Relationship Id="rId32" Type="http://schemas.openxmlformats.org/officeDocument/2006/relationships/externalLink" Target="externalLinks/externalLink30.xml"/><Relationship Id="rId53" Type="http://schemas.openxmlformats.org/officeDocument/2006/relationships/externalLink" Target="externalLinks/externalLink51.xml"/><Relationship Id="rId74" Type="http://schemas.openxmlformats.org/officeDocument/2006/relationships/externalLink" Target="externalLinks/externalLink72.xml"/><Relationship Id="rId128" Type="http://schemas.openxmlformats.org/officeDocument/2006/relationships/externalLink" Target="externalLinks/externalLink126.xml"/><Relationship Id="rId149" Type="http://schemas.openxmlformats.org/officeDocument/2006/relationships/externalLink" Target="externalLinks/externalLink147.xml"/><Relationship Id="rId5" Type="http://schemas.openxmlformats.org/officeDocument/2006/relationships/externalLink" Target="externalLinks/externalLink3.xml"/><Relationship Id="rId95" Type="http://schemas.openxmlformats.org/officeDocument/2006/relationships/externalLink" Target="externalLinks/externalLink93.xml"/><Relationship Id="rId160" Type="http://schemas.openxmlformats.org/officeDocument/2006/relationships/externalLink" Target="externalLinks/externalLink158.xml"/><Relationship Id="rId22" Type="http://schemas.openxmlformats.org/officeDocument/2006/relationships/externalLink" Target="externalLinks/externalLink20.xml"/><Relationship Id="rId43" Type="http://schemas.openxmlformats.org/officeDocument/2006/relationships/externalLink" Target="externalLinks/externalLink41.xml"/><Relationship Id="rId64" Type="http://schemas.openxmlformats.org/officeDocument/2006/relationships/externalLink" Target="externalLinks/externalLink62.xml"/><Relationship Id="rId118" Type="http://schemas.openxmlformats.org/officeDocument/2006/relationships/externalLink" Target="externalLinks/externalLink116.xml"/><Relationship Id="rId139" Type="http://schemas.openxmlformats.org/officeDocument/2006/relationships/externalLink" Target="externalLinks/externalLink137.xml"/><Relationship Id="rId85" Type="http://schemas.openxmlformats.org/officeDocument/2006/relationships/externalLink" Target="externalLinks/externalLink83.xml"/><Relationship Id="rId150" Type="http://schemas.openxmlformats.org/officeDocument/2006/relationships/externalLink" Target="externalLinks/externalLink148.xml"/><Relationship Id="rId12" Type="http://schemas.openxmlformats.org/officeDocument/2006/relationships/externalLink" Target="externalLinks/externalLink10.xml"/><Relationship Id="rId17" Type="http://schemas.openxmlformats.org/officeDocument/2006/relationships/externalLink" Target="externalLinks/externalLink15.xml"/><Relationship Id="rId33" Type="http://schemas.openxmlformats.org/officeDocument/2006/relationships/externalLink" Target="externalLinks/externalLink31.xml"/><Relationship Id="rId38" Type="http://schemas.openxmlformats.org/officeDocument/2006/relationships/externalLink" Target="externalLinks/externalLink36.xml"/><Relationship Id="rId59" Type="http://schemas.openxmlformats.org/officeDocument/2006/relationships/externalLink" Target="externalLinks/externalLink57.xml"/><Relationship Id="rId103" Type="http://schemas.openxmlformats.org/officeDocument/2006/relationships/externalLink" Target="externalLinks/externalLink101.xml"/><Relationship Id="rId108" Type="http://schemas.openxmlformats.org/officeDocument/2006/relationships/externalLink" Target="externalLinks/externalLink106.xml"/><Relationship Id="rId124" Type="http://schemas.openxmlformats.org/officeDocument/2006/relationships/externalLink" Target="externalLinks/externalLink122.xml"/><Relationship Id="rId129" Type="http://schemas.openxmlformats.org/officeDocument/2006/relationships/externalLink" Target="externalLinks/externalLink127.xml"/><Relationship Id="rId54" Type="http://schemas.openxmlformats.org/officeDocument/2006/relationships/externalLink" Target="externalLinks/externalLink52.xml"/><Relationship Id="rId70" Type="http://schemas.openxmlformats.org/officeDocument/2006/relationships/externalLink" Target="externalLinks/externalLink68.xml"/><Relationship Id="rId75" Type="http://schemas.openxmlformats.org/officeDocument/2006/relationships/externalLink" Target="externalLinks/externalLink73.xml"/><Relationship Id="rId91" Type="http://schemas.openxmlformats.org/officeDocument/2006/relationships/externalLink" Target="externalLinks/externalLink89.xml"/><Relationship Id="rId96" Type="http://schemas.openxmlformats.org/officeDocument/2006/relationships/externalLink" Target="externalLinks/externalLink94.xml"/><Relationship Id="rId140" Type="http://schemas.openxmlformats.org/officeDocument/2006/relationships/externalLink" Target="externalLinks/externalLink138.xml"/><Relationship Id="rId145" Type="http://schemas.openxmlformats.org/officeDocument/2006/relationships/externalLink" Target="externalLinks/externalLink143.xml"/><Relationship Id="rId161" Type="http://schemas.openxmlformats.org/officeDocument/2006/relationships/externalLink" Target="externalLinks/externalLink159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23" Type="http://schemas.openxmlformats.org/officeDocument/2006/relationships/externalLink" Target="externalLinks/externalLink21.xml"/><Relationship Id="rId28" Type="http://schemas.openxmlformats.org/officeDocument/2006/relationships/externalLink" Target="externalLinks/externalLink26.xml"/><Relationship Id="rId49" Type="http://schemas.openxmlformats.org/officeDocument/2006/relationships/externalLink" Target="externalLinks/externalLink47.xml"/><Relationship Id="rId114" Type="http://schemas.openxmlformats.org/officeDocument/2006/relationships/externalLink" Target="externalLinks/externalLink112.xml"/><Relationship Id="rId119" Type="http://schemas.openxmlformats.org/officeDocument/2006/relationships/externalLink" Target="externalLinks/externalLink117.xml"/><Relationship Id="rId44" Type="http://schemas.openxmlformats.org/officeDocument/2006/relationships/externalLink" Target="externalLinks/externalLink42.xml"/><Relationship Id="rId60" Type="http://schemas.openxmlformats.org/officeDocument/2006/relationships/externalLink" Target="externalLinks/externalLink58.xml"/><Relationship Id="rId65" Type="http://schemas.openxmlformats.org/officeDocument/2006/relationships/externalLink" Target="externalLinks/externalLink63.xml"/><Relationship Id="rId81" Type="http://schemas.openxmlformats.org/officeDocument/2006/relationships/externalLink" Target="externalLinks/externalLink79.xml"/><Relationship Id="rId86" Type="http://schemas.openxmlformats.org/officeDocument/2006/relationships/externalLink" Target="externalLinks/externalLink84.xml"/><Relationship Id="rId130" Type="http://schemas.openxmlformats.org/officeDocument/2006/relationships/externalLink" Target="externalLinks/externalLink128.xml"/><Relationship Id="rId135" Type="http://schemas.openxmlformats.org/officeDocument/2006/relationships/externalLink" Target="externalLinks/externalLink133.xml"/><Relationship Id="rId151" Type="http://schemas.openxmlformats.org/officeDocument/2006/relationships/externalLink" Target="externalLinks/externalLink149.xml"/><Relationship Id="rId156" Type="http://schemas.openxmlformats.org/officeDocument/2006/relationships/externalLink" Target="externalLinks/externalLink154.xml"/><Relationship Id="rId13" Type="http://schemas.openxmlformats.org/officeDocument/2006/relationships/externalLink" Target="externalLinks/externalLink11.xml"/><Relationship Id="rId18" Type="http://schemas.openxmlformats.org/officeDocument/2006/relationships/externalLink" Target="externalLinks/externalLink16.xml"/><Relationship Id="rId39" Type="http://schemas.openxmlformats.org/officeDocument/2006/relationships/externalLink" Target="externalLinks/externalLink37.xml"/><Relationship Id="rId109" Type="http://schemas.openxmlformats.org/officeDocument/2006/relationships/externalLink" Target="externalLinks/externalLink107.xml"/><Relationship Id="rId34" Type="http://schemas.openxmlformats.org/officeDocument/2006/relationships/externalLink" Target="externalLinks/externalLink32.xml"/><Relationship Id="rId50" Type="http://schemas.openxmlformats.org/officeDocument/2006/relationships/externalLink" Target="externalLinks/externalLink48.xml"/><Relationship Id="rId55" Type="http://schemas.openxmlformats.org/officeDocument/2006/relationships/externalLink" Target="externalLinks/externalLink53.xml"/><Relationship Id="rId76" Type="http://schemas.openxmlformats.org/officeDocument/2006/relationships/externalLink" Target="externalLinks/externalLink74.xml"/><Relationship Id="rId97" Type="http://schemas.openxmlformats.org/officeDocument/2006/relationships/externalLink" Target="externalLinks/externalLink95.xml"/><Relationship Id="rId104" Type="http://schemas.openxmlformats.org/officeDocument/2006/relationships/externalLink" Target="externalLinks/externalLink102.xml"/><Relationship Id="rId120" Type="http://schemas.openxmlformats.org/officeDocument/2006/relationships/externalLink" Target="externalLinks/externalLink118.xml"/><Relationship Id="rId125" Type="http://schemas.openxmlformats.org/officeDocument/2006/relationships/externalLink" Target="externalLinks/externalLink123.xml"/><Relationship Id="rId141" Type="http://schemas.openxmlformats.org/officeDocument/2006/relationships/externalLink" Target="externalLinks/externalLink139.xml"/><Relationship Id="rId146" Type="http://schemas.openxmlformats.org/officeDocument/2006/relationships/externalLink" Target="externalLinks/externalLink144.xml"/><Relationship Id="rId7" Type="http://schemas.openxmlformats.org/officeDocument/2006/relationships/externalLink" Target="externalLinks/externalLink5.xml"/><Relationship Id="rId71" Type="http://schemas.openxmlformats.org/officeDocument/2006/relationships/externalLink" Target="externalLinks/externalLink69.xml"/><Relationship Id="rId92" Type="http://schemas.openxmlformats.org/officeDocument/2006/relationships/externalLink" Target="externalLinks/externalLink90.xml"/><Relationship Id="rId162" Type="http://schemas.openxmlformats.org/officeDocument/2006/relationships/theme" Target="theme/theme1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7.xml"/><Relationship Id="rId24" Type="http://schemas.openxmlformats.org/officeDocument/2006/relationships/externalLink" Target="externalLinks/externalLink22.xml"/><Relationship Id="rId40" Type="http://schemas.openxmlformats.org/officeDocument/2006/relationships/externalLink" Target="externalLinks/externalLink38.xml"/><Relationship Id="rId45" Type="http://schemas.openxmlformats.org/officeDocument/2006/relationships/externalLink" Target="externalLinks/externalLink43.xml"/><Relationship Id="rId66" Type="http://schemas.openxmlformats.org/officeDocument/2006/relationships/externalLink" Target="externalLinks/externalLink64.xml"/><Relationship Id="rId87" Type="http://schemas.openxmlformats.org/officeDocument/2006/relationships/externalLink" Target="externalLinks/externalLink85.xml"/><Relationship Id="rId110" Type="http://schemas.openxmlformats.org/officeDocument/2006/relationships/externalLink" Target="externalLinks/externalLink108.xml"/><Relationship Id="rId115" Type="http://schemas.openxmlformats.org/officeDocument/2006/relationships/externalLink" Target="externalLinks/externalLink113.xml"/><Relationship Id="rId131" Type="http://schemas.openxmlformats.org/officeDocument/2006/relationships/externalLink" Target="externalLinks/externalLink129.xml"/><Relationship Id="rId136" Type="http://schemas.openxmlformats.org/officeDocument/2006/relationships/externalLink" Target="externalLinks/externalLink134.xml"/><Relationship Id="rId157" Type="http://schemas.openxmlformats.org/officeDocument/2006/relationships/externalLink" Target="externalLinks/externalLink155.xml"/><Relationship Id="rId61" Type="http://schemas.openxmlformats.org/officeDocument/2006/relationships/externalLink" Target="externalLinks/externalLink59.xml"/><Relationship Id="rId82" Type="http://schemas.openxmlformats.org/officeDocument/2006/relationships/externalLink" Target="externalLinks/externalLink80.xml"/><Relationship Id="rId152" Type="http://schemas.openxmlformats.org/officeDocument/2006/relationships/externalLink" Target="externalLinks/externalLink150.xml"/><Relationship Id="rId19" Type="http://schemas.openxmlformats.org/officeDocument/2006/relationships/externalLink" Target="externalLinks/externalLink17.xml"/><Relationship Id="rId14" Type="http://schemas.openxmlformats.org/officeDocument/2006/relationships/externalLink" Target="externalLinks/externalLink12.xml"/><Relationship Id="rId30" Type="http://schemas.openxmlformats.org/officeDocument/2006/relationships/externalLink" Target="externalLinks/externalLink28.xml"/><Relationship Id="rId35" Type="http://schemas.openxmlformats.org/officeDocument/2006/relationships/externalLink" Target="externalLinks/externalLink33.xml"/><Relationship Id="rId56" Type="http://schemas.openxmlformats.org/officeDocument/2006/relationships/externalLink" Target="externalLinks/externalLink54.xml"/><Relationship Id="rId77" Type="http://schemas.openxmlformats.org/officeDocument/2006/relationships/externalLink" Target="externalLinks/externalLink75.xml"/><Relationship Id="rId100" Type="http://schemas.openxmlformats.org/officeDocument/2006/relationships/externalLink" Target="externalLinks/externalLink98.xml"/><Relationship Id="rId105" Type="http://schemas.openxmlformats.org/officeDocument/2006/relationships/externalLink" Target="externalLinks/externalLink103.xml"/><Relationship Id="rId126" Type="http://schemas.openxmlformats.org/officeDocument/2006/relationships/externalLink" Target="externalLinks/externalLink124.xml"/><Relationship Id="rId147" Type="http://schemas.openxmlformats.org/officeDocument/2006/relationships/externalLink" Target="externalLinks/externalLink145.xml"/><Relationship Id="rId8" Type="http://schemas.openxmlformats.org/officeDocument/2006/relationships/externalLink" Target="externalLinks/externalLink6.xml"/><Relationship Id="rId51" Type="http://schemas.openxmlformats.org/officeDocument/2006/relationships/externalLink" Target="externalLinks/externalLink49.xml"/><Relationship Id="rId72" Type="http://schemas.openxmlformats.org/officeDocument/2006/relationships/externalLink" Target="externalLinks/externalLink70.xml"/><Relationship Id="rId93" Type="http://schemas.openxmlformats.org/officeDocument/2006/relationships/externalLink" Target="externalLinks/externalLink91.xml"/><Relationship Id="rId98" Type="http://schemas.openxmlformats.org/officeDocument/2006/relationships/externalLink" Target="externalLinks/externalLink96.xml"/><Relationship Id="rId121" Type="http://schemas.openxmlformats.org/officeDocument/2006/relationships/externalLink" Target="externalLinks/externalLink119.xml"/><Relationship Id="rId142" Type="http://schemas.openxmlformats.org/officeDocument/2006/relationships/externalLink" Target="externalLinks/externalLink140.xml"/><Relationship Id="rId163" Type="http://schemas.openxmlformats.org/officeDocument/2006/relationships/styles" Target="styles.xml"/><Relationship Id="rId3" Type="http://schemas.openxmlformats.org/officeDocument/2006/relationships/externalLink" Target="externalLinks/externalLink1.xml"/><Relationship Id="rId25" Type="http://schemas.openxmlformats.org/officeDocument/2006/relationships/externalLink" Target="externalLinks/externalLink23.xml"/><Relationship Id="rId46" Type="http://schemas.openxmlformats.org/officeDocument/2006/relationships/externalLink" Target="externalLinks/externalLink44.xml"/><Relationship Id="rId67" Type="http://schemas.openxmlformats.org/officeDocument/2006/relationships/externalLink" Target="externalLinks/externalLink65.xml"/><Relationship Id="rId116" Type="http://schemas.openxmlformats.org/officeDocument/2006/relationships/externalLink" Target="externalLinks/externalLink114.xml"/><Relationship Id="rId137" Type="http://schemas.openxmlformats.org/officeDocument/2006/relationships/externalLink" Target="externalLinks/externalLink135.xml"/><Relationship Id="rId158" Type="http://schemas.openxmlformats.org/officeDocument/2006/relationships/externalLink" Target="externalLinks/externalLink156.xml"/><Relationship Id="rId20" Type="http://schemas.openxmlformats.org/officeDocument/2006/relationships/externalLink" Target="externalLinks/externalLink18.xml"/><Relationship Id="rId41" Type="http://schemas.openxmlformats.org/officeDocument/2006/relationships/externalLink" Target="externalLinks/externalLink39.xml"/><Relationship Id="rId62" Type="http://schemas.openxmlformats.org/officeDocument/2006/relationships/externalLink" Target="externalLinks/externalLink60.xml"/><Relationship Id="rId83" Type="http://schemas.openxmlformats.org/officeDocument/2006/relationships/externalLink" Target="externalLinks/externalLink81.xml"/><Relationship Id="rId88" Type="http://schemas.openxmlformats.org/officeDocument/2006/relationships/externalLink" Target="externalLinks/externalLink86.xml"/><Relationship Id="rId111" Type="http://schemas.openxmlformats.org/officeDocument/2006/relationships/externalLink" Target="externalLinks/externalLink109.xml"/><Relationship Id="rId132" Type="http://schemas.openxmlformats.org/officeDocument/2006/relationships/externalLink" Target="externalLinks/externalLink130.xml"/><Relationship Id="rId153" Type="http://schemas.openxmlformats.org/officeDocument/2006/relationships/externalLink" Target="externalLinks/externalLink151.xml"/><Relationship Id="rId15" Type="http://schemas.openxmlformats.org/officeDocument/2006/relationships/externalLink" Target="externalLinks/externalLink13.xml"/><Relationship Id="rId36" Type="http://schemas.openxmlformats.org/officeDocument/2006/relationships/externalLink" Target="externalLinks/externalLink34.xml"/><Relationship Id="rId57" Type="http://schemas.openxmlformats.org/officeDocument/2006/relationships/externalLink" Target="externalLinks/externalLink55.xml"/><Relationship Id="rId106" Type="http://schemas.openxmlformats.org/officeDocument/2006/relationships/externalLink" Target="externalLinks/externalLink104.xml"/><Relationship Id="rId127" Type="http://schemas.openxmlformats.org/officeDocument/2006/relationships/externalLink" Target="externalLinks/externalLink125.xml"/><Relationship Id="rId10" Type="http://schemas.openxmlformats.org/officeDocument/2006/relationships/externalLink" Target="externalLinks/externalLink8.xml"/><Relationship Id="rId31" Type="http://schemas.openxmlformats.org/officeDocument/2006/relationships/externalLink" Target="externalLinks/externalLink29.xml"/><Relationship Id="rId52" Type="http://schemas.openxmlformats.org/officeDocument/2006/relationships/externalLink" Target="externalLinks/externalLink50.xml"/><Relationship Id="rId73" Type="http://schemas.openxmlformats.org/officeDocument/2006/relationships/externalLink" Target="externalLinks/externalLink71.xml"/><Relationship Id="rId78" Type="http://schemas.openxmlformats.org/officeDocument/2006/relationships/externalLink" Target="externalLinks/externalLink76.xml"/><Relationship Id="rId94" Type="http://schemas.openxmlformats.org/officeDocument/2006/relationships/externalLink" Target="externalLinks/externalLink92.xml"/><Relationship Id="rId99" Type="http://schemas.openxmlformats.org/officeDocument/2006/relationships/externalLink" Target="externalLinks/externalLink97.xml"/><Relationship Id="rId101" Type="http://schemas.openxmlformats.org/officeDocument/2006/relationships/externalLink" Target="externalLinks/externalLink99.xml"/><Relationship Id="rId122" Type="http://schemas.openxmlformats.org/officeDocument/2006/relationships/externalLink" Target="externalLinks/externalLink120.xml"/><Relationship Id="rId143" Type="http://schemas.openxmlformats.org/officeDocument/2006/relationships/externalLink" Target="externalLinks/externalLink141.xml"/><Relationship Id="rId148" Type="http://schemas.openxmlformats.org/officeDocument/2006/relationships/externalLink" Target="externalLinks/externalLink146.xml"/><Relationship Id="rId164" Type="http://schemas.openxmlformats.org/officeDocument/2006/relationships/sharedStrings" Target="sharedStrings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26" Type="http://schemas.openxmlformats.org/officeDocument/2006/relationships/externalLink" Target="externalLinks/externalLink24.xml"/><Relationship Id="rId47" Type="http://schemas.openxmlformats.org/officeDocument/2006/relationships/externalLink" Target="externalLinks/externalLink45.xml"/><Relationship Id="rId68" Type="http://schemas.openxmlformats.org/officeDocument/2006/relationships/externalLink" Target="externalLinks/externalLink66.xml"/><Relationship Id="rId89" Type="http://schemas.openxmlformats.org/officeDocument/2006/relationships/externalLink" Target="externalLinks/externalLink87.xml"/><Relationship Id="rId112" Type="http://schemas.openxmlformats.org/officeDocument/2006/relationships/externalLink" Target="externalLinks/externalLink110.xml"/><Relationship Id="rId133" Type="http://schemas.openxmlformats.org/officeDocument/2006/relationships/externalLink" Target="externalLinks/externalLink131.xml"/><Relationship Id="rId154" Type="http://schemas.openxmlformats.org/officeDocument/2006/relationships/externalLink" Target="externalLinks/externalLink152.xml"/><Relationship Id="rId16" Type="http://schemas.openxmlformats.org/officeDocument/2006/relationships/externalLink" Target="externalLinks/externalLink14.xml"/><Relationship Id="rId37" Type="http://schemas.openxmlformats.org/officeDocument/2006/relationships/externalLink" Target="externalLinks/externalLink35.xml"/><Relationship Id="rId58" Type="http://schemas.openxmlformats.org/officeDocument/2006/relationships/externalLink" Target="externalLinks/externalLink56.xml"/><Relationship Id="rId79" Type="http://schemas.openxmlformats.org/officeDocument/2006/relationships/externalLink" Target="externalLinks/externalLink77.xml"/><Relationship Id="rId102" Type="http://schemas.openxmlformats.org/officeDocument/2006/relationships/externalLink" Target="externalLinks/externalLink100.xml"/><Relationship Id="rId123" Type="http://schemas.openxmlformats.org/officeDocument/2006/relationships/externalLink" Target="externalLinks/externalLink121.xml"/><Relationship Id="rId144" Type="http://schemas.openxmlformats.org/officeDocument/2006/relationships/externalLink" Target="externalLinks/externalLink142.xml"/><Relationship Id="rId90" Type="http://schemas.openxmlformats.org/officeDocument/2006/relationships/externalLink" Target="externalLinks/externalLink88.xml"/><Relationship Id="rId165" Type="http://schemas.openxmlformats.org/officeDocument/2006/relationships/calcChain" Target="calcChain.xml"/><Relationship Id="rId27" Type="http://schemas.openxmlformats.org/officeDocument/2006/relationships/externalLink" Target="externalLinks/externalLink25.xml"/><Relationship Id="rId48" Type="http://schemas.openxmlformats.org/officeDocument/2006/relationships/externalLink" Target="externalLinks/externalLink46.xml"/><Relationship Id="rId69" Type="http://schemas.openxmlformats.org/officeDocument/2006/relationships/externalLink" Target="externalLinks/externalLink67.xml"/><Relationship Id="rId113" Type="http://schemas.openxmlformats.org/officeDocument/2006/relationships/externalLink" Target="externalLinks/externalLink111.xml"/><Relationship Id="rId134" Type="http://schemas.openxmlformats.org/officeDocument/2006/relationships/externalLink" Target="externalLinks/externalLink132.xml"/><Relationship Id="rId80" Type="http://schemas.openxmlformats.org/officeDocument/2006/relationships/externalLink" Target="externalLinks/externalLink78.xml"/><Relationship Id="rId155" Type="http://schemas.openxmlformats.org/officeDocument/2006/relationships/externalLink" Target="externalLinks/externalLink15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2%20minakumari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2%20romila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3%20ibeyaima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5%20pratima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6%20Renita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8%20priya%20weely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1Joychandra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1%20Joychandra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3%20sonia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4%20sanatombi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5%20Mona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7%20bijenti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8%20Yaithengbam%20Bidyabati%20-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2%20kiranmala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3%20sunanda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4%20kamala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6%20dinita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7%20Sandhyarani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8%20Rambhabati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9%20lukhamlu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0%20Angom%20Bijenty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1%20sweety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2%20induleikha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3%20joychandra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4%20pratima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5%20bidyakumar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6%20Athokpam%20manao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7%20sheenarani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8%20sonia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9%20bijenty.xlsx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0%20renita.xlsx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1%20minakumari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2%20kamala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3%20kiranmala.xlsx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4%20dinita.xlsx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5%20sandhyarani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6%20angom%20bijenty.xlsx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7%20romila.xlsx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8%20lukhamlu.xlsx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9%20thasana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0%20narmada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1%20indulekha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2%20sweety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3%20inaobi.xlsx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4%20naocha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5%20kh%20achoubi.xlsx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6%20bidyapati.xlsx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7%20budhachandra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8%20jameson.xlsx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9%20dhanabir.xlsx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0%20sheenarani.xlsx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1%20bijenty.xlsx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2%20moirangthem%20naobi.xlsx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3%20sonia.xlsx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4%20ibeyaima.xlsx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5%20priya%20weekly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6%20pratima.xlsx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7%20minakumari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8%20kamala.xlsx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9%20renita.xlsx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0%20kiranmala.xlsx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1%20denita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2%20sandhyarani.xlsx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3%20achoubi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4%20naocha.xlsx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5%20thasana.xlsx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6%20sweety.xlsx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7%20indulekha.xlsx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8%20bidyapati.xlsx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9%20narmada.xlsx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0%20sunanda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2%20jameson%20and%20group.xlsx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3%20pratima.xlsx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4%20moirangthem%20naobi.xlsx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5%20moirangthem%20bijenty.xlsx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6%20sonia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7%20sheenarani.xlsx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8%20kamala.xlsx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9%20minakumari.xlsx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0%20romila.xlsx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1%20inaobi.xlsx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2%20budhachandra.xlsx" TargetMode="External"/></Relationships>
</file>

<file path=xl/externalLinks/_rels/externalLink8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3%20ibeyaima.xlsx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4%20kiranmala.xlsx" TargetMode="External"/></Relationships>
</file>

<file path=xl/externalLinks/_rels/externalLink8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5%20denita.xlsx" TargetMode="External"/></Relationships>
</file>

<file path=xl/externalLinks/_rels/externalLink8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6%20sandhyarani.xlsx" TargetMode="External"/></Relationships>
</file>

<file path=xl/externalLinks/_rels/externalLink8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7%20renita.xlsx" TargetMode="External"/></Relationships>
</file>

<file path=xl/externalLinks/_rels/externalLink8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Loanee-Baruni.xlsx" TargetMode="External"/></Relationships>
</file>

<file path=xl/externalLinks/_rels/externalLink8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%20Loanee-Priyadarshini.xlsx" TargetMode="External"/></Relationships>
</file>

<file path=xl/externalLinks/_rels/externalLink9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%20Loanee-Mona.xlsx" TargetMode="External"/></Relationships>
</file>

<file path=xl/externalLinks/_rels/externalLink9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%20elangbam%20bijenti.xlsx" TargetMode="External"/></Relationships>
</file>

<file path=xl/externalLinks/_rels/externalLink9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%20Loanee-Baruni%20complete.xlsx" TargetMode="External"/></Relationships>
</file>

<file path=xl/externalLinks/_rels/externalLink9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%20Salam%20sunanda.xlsx" TargetMode="External"/></Relationships>
</file>

<file path=xl/externalLinks/_rels/externalLink9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%20khoirom%20priyadarsini.xlsx" TargetMode="External"/></Relationships>
</file>

<file path=xl/externalLinks/_rels/externalLink9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%20Salam%20Sunanda%20Saturday.xlsx" TargetMode="External"/></Relationships>
</file>

<file path=xl/externalLinks/_rels/externalLink9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%20Keisham%20Kamala.xlsx" TargetMode="External"/></Relationships>
</file>

<file path=xl/externalLinks/_rels/externalLink9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%20Moirangthem%20Naobi.xlsx" TargetMode="External"/></Relationships>
</file>

<file path=xl/externalLinks/_rels/externalLink9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%20Thongram%20Rambhabati.xlsx" TargetMode="External"/></Relationships>
</file>

<file path=xl/externalLinks/_rels/externalLink9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%20Haobijam%20Thasana.xlsx" TargetMode="External"/></Relationships>
</file>

<file path=xl/externalLinks/_rels/externalLink10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%20Hidangmayum%20Debjani.xlsx" TargetMode="External"/></Relationships>
</file>

<file path=xl/externalLinks/_rels/externalLink10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%20%20Pangambam%20Baruni.xlsx" TargetMode="External"/></Relationships>
</file>

<file path=xl/externalLinks/_rels/externalLink10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6Maibam%20Chandrika.xlsx" TargetMode="External"/></Relationships>
</file>

<file path=xl/externalLinks/_rels/externalLink10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7%20Yaithengbam%20Bidyabati.xlsx" TargetMode="External"/></Relationships>
</file>

<file path=xl/externalLinks/_rels/externalLink10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8%20Rambhabati-%20pishak.xlsx" TargetMode="External"/></Relationships>
</file>

<file path=xl/externalLinks/_rels/externalLink10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9%20Priya%20Moirangthem%20Narmada.xlsx" TargetMode="External"/></Relationships>
</file>

<file path=xl/externalLinks/_rels/externalLink10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0%20Moirangthem%20Niroda.xlsx" TargetMode="External"/></Relationships>
</file>

<file path=xl/externalLinks/_rels/externalLink10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1Kh%20Manisana.xlsx" TargetMode="External"/></Relationships>
</file>

<file path=xl/externalLinks/_rels/externalLink10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2Rambhabati-tombi.xlsx" TargetMode="External"/></Relationships>
</file>

<file path=xl/externalLinks/_rels/externalLink10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3%20Loanee-Mona%20-.xlsx" TargetMode="External"/></Relationships>
</file>

<file path=xl/externalLinks/_rels/externalLink1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4%20Loanee-Priyadarshini%20-.xlsx" TargetMode="External"/></Relationships>
</file>

<file path=xl/externalLinks/_rels/externalLink1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5%20Salam%20Sunanda.xlsx" TargetMode="External"/></Relationships>
</file>

<file path=xl/externalLinks/_rels/externalLink1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5%20Salam%20Sunanda%20wed%20feb.xlsx" TargetMode="External"/></Relationships>
</file>

<file path=xl/externalLinks/_rels/externalLink1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6%20bijenti.xlsx" TargetMode="External"/></Relationships>
</file>

<file path=xl/externalLinks/_rels/externalLink1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7%20Thongram%20Rambhabati.xlsx" TargetMode="External"/></Relationships>
</file>

<file path=xl/externalLinks/_rels/externalLink1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8%20Rk%20Smitha.xlsx" TargetMode="External"/></Relationships>
</file>

<file path=xl/externalLinks/_rels/externalLink1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9%20Priyadarsini%20weekly.xlsx" TargetMode="External"/></Relationships>
</file>

<file path=xl/externalLinks/_rels/externalLink1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0%20Sheenarani.xlsx" TargetMode="External"/></Relationships>
</file>

<file path=xl/externalLinks/_rels/externalLink1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1%20lourembam%20ibeyaima.xlsx" TargetMode="External"/></Relationships>
</file>

<file path=xl/externalLinks/_rels/externalLink1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3K%20kamala.xlsx" TargetMode="External"/></Relationships>
</file>

<file path=xl/externalLinks/_rels/externalLink1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4%20Ibemcha.xlsx" TargetMode="External"/></Relationships>
</file>

<file path=xl/externalLinks/_rels/externalLink1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5%20Salam%20Sunanda.xlsx" TargetMode="External"/></Relationships>
</file>

<file path=xl/externalLinks/_rels/externalLink1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5%20Salam%20Sunanda%20sat%20april.xlsx" TargetMode="External"/></Relationships>
</file>

<file path=xl/externalLinks/_rels/externalLink1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6%20haodijam%20bidyarani.xlsx" TargetMode="External"/></Relationships>
</file>

<file path=xl/externalLinks/_rels/externalLink1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7%20Asiqi.xlsx" TargetMode="External"/></Relationships>
</file>

<file path=xl/externalLinks/_rels/externalLink1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8%20Pishak.xlsx" TargetMode="External"/></Relationships>
</file>

<file path=xl/externalLinks/_rels/externalLink1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9%20Haobijam%20Thasana.xlsx" TargetMode="External"/></Relationships>
</file>

<file path=xl/externalLinks/_rels/externalLink1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2%20Ranita.xlsx" TargetMode="External"/></Relationships>
</file>

<file path=xl/externalLinks/_rels/externalLink1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1%20tombi.xlsx" TargetMode="External"/></Relationships>
</file>

<file path=xl/externalLinks/_rels/externalLink1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3Pratima.xlsx" TargetMode="External"/></Relationships>
</file>

<file path=xl/externalLinks/_rels/externalLink1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3%20Pratima.xlsx" TargetMode="External"/></Relationships>
</file>

<file path=xl/externalLinks/_rels/externalLink1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0%20priya%20daily.xlsx" TargetMode="External"/></Relationships>
</file>

<file path=xl/externalLinks/_rels/externalLink1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4%20Rambhabati%20ricky.xlsx" TargetMode="External"/></Relationships>
</file>

<file path=xl/externalLinks/_rels/externalLink1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5%20bijenti.xlsx" TargetMode="External"/></Relationships>
</file>

<file path=xl/externalLinks/_rels/externalLink1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6%20sonia.xlsx" TargetMode="External"/></Relationships>
</file>

<file path=xl/externalLinks/_rels/externalLink1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7%20Thongram%20Rambhabati.xlsx" TargetMode="External"/></Relationships>
</file>

<file path=xl/externalLinks/_rels/externalLink1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8%20Priyadarsini%20weekly.xlsx" TargetMode="External"/></Relationships>
</file>

<file path=xl/externalLinks/_rels/externalLink1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9%20Salam%20Sunanda%20wed.xlsx" TargetMode="External"/></Relationships>
</file>

<file path=xl/externalLinks/_rels/externalLink1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0%20Ibecha%20-.xlsx" TargetMode="External"/></Relationships>
</file>

<file path=xl/externalLinks/_rels/externalLink1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1%20Asiqi.xlsx" TargetMode="External"/></Relationships>
</file>

<file path=xl/externalLinks/_rels/externalLink1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2%20bimola.xlsx" TargetMode="External"/></Relationships>
</file>

<file path=xl/externalLinks/_rels/externalLink1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3%20kamala.xlsx" TargetMode="External"/></Relationships>
</file>

<file path=xl/externalLinks/_rels/externalLink1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4%20Induleikha.xlsx" TargetMode="External"/></Relationships>
</file>

<file path=xl/externalLinks/_rels/externalLink1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5%20haodijam%20bidyarani.xlsx" TargetMode="External"/></Relationships>
</file>

<file path=xl/externalLinks/_rels/externalLink1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6%20sweety.xlsx" TargetMode="External"/></Relationships>
</file>

<file path=xl/externalLinks/_rels/externalLink1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7%20pishak.xlsx" TargetMode="External"/></Relationships>
</file>

<file path=xl/externalLinks/_rels/externalLink1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8%20thasana.xlsx" TargetMode="External"/></Relationships>
</file>

<file path=xl/externalLinks/_rels/externalLink1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9%20tombi.xlsx" TargetMode="External"/></Relationships>
</file>

<file path=xl/externalLinks/_rels/externalLink1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0%20ricky.xlsx" TargetMode="External"/></Relationships>
</file>

<file path=xl/externalLinks/_rels/externalLink1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1%20ibecha.xlsx" TargetMode="External"/></Relationships>
</file>

<file path=xl/externalLinks/_rels/externalLink1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4%20Thongram%20Rambhabati.xlsx" TargetMode="External"/></Relationships>
</file>

<file path=xl/externalLinks/_rels/externalLink1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7%20puyam%20anita.xlsx" TargetMode="External"/></Relationships>
</file>

<file path=xl/externalLinks/_rels/externalLink1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9%20kh%20shyama.xlsx" TargetMode="External"/></Relationships>
</file>

<file path=xl/externalLinks/_rels/externalLink1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0%20shantibala.xlsx" TargetMode="External"/></Relationships>
</file>

<file path=xl/externalLinks/_rels/externalLink1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2%20Bimola.xlsx" TargetMode="External"/></Relationships>
</file>

<file path=xl/externalLinks/_rels/externalLink1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6%20huirem%20sunamani.xlsx" TargetMode="External"/></Relationships>
</file>

<file path=xl/externalLinks/_rels/externalLink1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9%20thasana.xlsx" TargetMode="External"/></Relationships>
</file>

<file path=xl/externalLinks/_rels/externalLink1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0%20haobijam%20joyshree.xlsx" TargetMode="External"/></Relationships>
</file>

<file path=xl/externalLinks/_rels/externalLink1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1%20asiqi.xlsx" TargetMode="External"/></Relationships>
</file>

<file path=xl/externalLinks/_rels/externalLink1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5%20ibob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G1">
            <v>48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45399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45557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45561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45563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120</v>
          </cell>
          <cell r="O2">
            <v>0</v>
          </cell>
        </row>
        <row r="3">
          <cell r="B3">
            <v>45570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100000</v>
          </cell>
          <cell r="K1">
            <v>0</v>
          </cell>
          <cell r="O1">
            <v>160000</v>
          </cell>
        </row>
        <row r="2">
          <cell r="K2">
            <v>40</v>
          </cell>
          <cell r="O2">
            <v>0</v>
          </cell>
        </row>
        <row r="3">
          <cell r="B3">
            <v>45590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82</v>
          </cell>
          <cell r="O1">
            <v>7600</v>
          </cell>
        </row>
        <row r="2">
          <cell r="K2">
            <v>38</v>
          </cell>
          <cell r="O2">
            <v>16400</v>
          </cell>
        </row>
        <row r="3">
          <cell r="B3">
            <v>45584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O1">
            <v>24000</v>
          </cell>
        </row>
        <row r="2">
          <cell r="O2">
            <v>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7">
          <cell r="B7">
            <v>45587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18</v>
          </cell>
          <cell r="O1">
            <v>10200</v>
          </cell>
        </row>
        <row r="2">
          <cell r="K2">
            <v>102</v>
          </cell>
          <cell r="O2">
            <v>1800</v>
          </cell>
        </row>
        <row r="3">
          <cell r="B3">
            <v>45584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45595</v>
          </cell>
        </row>
      </sheetData>
      <sheetData sheetId="2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45602</v>
          </cell>
        </row>
      </sheetData>
      <sheetData sheetId="2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45612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100000</v>
          </cell>
          <cell r="K1">
            <v>204</v>
          </cell>
          <cell r="O1">
            <v>37800</v>
          </cell>
        </row>
        <row r="2">
          <cell r="G2">
            <v>45885</v>
          </cell>
          <cell r="K2">
            <v>63</v>
          </cell>
          <cell r="O2">
            <v>122400</v>
          </cell>
        </row>
        <row r="3">
          <cell r="B3">
            <v>45619</v>
          </cell>
        </row>
      </sheetData>
      <sheetData sheetId="2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45628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45635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45635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200000</v>
          </cell>
          <cell r="K1">
            <v>223</v>
          </cell>
          <cell r="O1">
            <v>52800</v>
          </cell>
        </row>
        <row r="2">
          <cell r="G2">
            <v>45914</v>
          </cell>
          <cell r="K2">
            <v>44</v>
          </cell>
          <cell r="O2">
            <v>267600</v>
          </cell>
        </row>
        <row r="3">
          <cell r="B3">
            <v>45648</v>
          </cell>
        </row>
      </sheetData>
      <sheetData sheetId="2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K2">
            <v>17</v>
          </cell>
          <cell r="O2">
            <v>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45652</v>
          </cell>
        </row>
      </sheetData>
      <sheetData sheetId="2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17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45678</v>
          </cell>
        </row>
      </sheetData>
      <sheetData sheetId="2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45683</v>
          </cell>
        </row>
      </sheetData>
      <sheetData sheetId="2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G2">
            <v>45803</v>
          </cell>
          <cell r="K2">
            <v>120</v>
          </cell>
          <cell r="O2">
            <v>0</v>
          </cell>
        </row>
        <row r="3">
          <cell r="B3">
            <v>45684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45690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35000</v>
          </cell>
          <cell r="K1">
            <v>88</v>
          </cell>
        </row>
        <row r="2">
          <cell r="G2">
            <v>45815</v>
          </cell>
          <cell r="K2">
            <v>32</v>
          </cell>
        </row>
        <row r="3">
          <cell r="B3">
            <v>45696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45699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45726</v>
          </cell>
        </row>
      </sheetData>
      <sheetData sheetId="2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45716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45726</v>
          </cell>
        </row>
      </sheetData>
      <sheetData sheetId="2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45846</v>
          </cell>
          <cell r="K2">
            <v>120</v>
          </cell>
          <cell r="O2">
            <v>0</v>
          </cell>
        </row>
        <row r="3">
          <cell r="B3">
            <v>45727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45718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G2">
            <v>45881</v>
          </cell>
          <cell r="K2">
            <v>120</v>
          </cell>
          <cell r="O2">
            <v>0</v>
          </cell>
        </row>
        <row r="3">
          <cell r="B3">
            <v>45762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45891</v>
          </cell>
          <cell r="K2">
            <v>120</v>
          </cell>
          <cell r="O2">
            <v>0</v>
          </cell>
        </row>
        <row r="3">
          <cell r="B3">
            <v>45772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45891</v>
          </cell>
          <cell r="K2">
            <v>120</v>
          </cell>
          <cell r="O2">
            <v>0</v>
          </cell>
        </row>
        <row r="3">
          <cell r="B3">
            <v>45772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45891</v>
          </cell>
          <cell r="K2">
            <v>120</v>
          </cell>
          <cell r="O2">
            <v>0</v>
          </cell>
        </row>
        <row r="3">
          <cell r="B3">
            <v>45772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50000</v>
          </cell>
          <cell r="K1">
            <v>63</v>
          </cell>
          <cell r="O1">
            <v>28500</v>
          </cell>
        </row>
        <row r="2">
          <cell r="G2">
            <v>45888</v>
          </cell>
          <cell r="K2">
            <v>57</v>
          </cell>
          <cell r="O2">
            <v>31500</v>
          </cell>
        </row>
        <row r="3">
          <cell r="B3">
            <v>45769</v>
          </cell>
        </row>
      </sheetData>
      <sheetData sheetId="2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45889</v>
          </cell>
          <cell r="K2">
            <v>120</v>
          </cell>
          <cell r="O2">
            <v>0</v>
          </cell>
        </row>
        <row r="3">
          <cell r="B3">
            <v>45770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/>
      <sheetData sheetId="1">
        <row r="1">
          <cell r="C1">
            <v>10000</v>
          </cell>
          <cell r="K1">
            <v>3</v>
          </cell>
          <cell r="O1">
            <v>9800</v>
          </cell>
        </row>
        <row r="2">
          <cell r="G2">
            <v>45923</v>
          </cell>
          <cell r="K2">
            <v>14</v>
          </cell>
          <cell r="O2">
            <v>2100</v>
          </cell>
        </row>
        <row r="3">
          <cell r="B3">
            <v>45804</v>
          </cell>
        </row>
      </sheetData>
      <sheetData sheetId="2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5950</v>
          </cell>
        </row>
        <row r="2">
          <cell r="G2">
            <v>45889</v>
          </cell>
          <cell r="K2">
            <v>17</v>
          </cell>
          <cell r="O2">
            <v>0</v>
          </cell>
        </row>
        <row r="3">
          <cell r="B3">
            <v>45770</v>
          </cell>
        </row>
      </sheetData>
      <sheetData sheetId="2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45898</v>
          </cell>
          <cell r="K2">
            <v>17</v>
          </cell>
          <cell r="O2">
            <v>0</v>
          </cell>
        </row>
        <row r="3">
          <cell r="B3">
            <v>45779</v>
          </cell>
        </row>
      </sheetData>
      <sheetData sheetId="2" refreshError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45896</v>
          </cell>
          <cell r="K2">
            <v>17</v>
          </cell>
          <cell r="O2">
            <v>0</v>
          </cell>
        </row>
        <row r="3">
          <cell r="B3">
            <v>45777</v>
          </cell>
        </row>
      </sheetData>
      <sheetData sheetId="2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45896</v>
          </cell>
          <cell r="K2">
            <v>17</v>
          </cell>
          <cell r="O2">
            <v>0</v>
          </cell>
        </row>
        <row r="3">
          <cell r="B3">
            <v>45777</v>
          </cell>
        </row>
      </sheetData>
      <sheetData sheetId="2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45892</v>
          </cell>
          <cell r="K2">
            <v>120</v>
          </cell>
          <cell r="O2">
            <v>0</v>
          </cell>
        </row>
        <row r="3">
          <cell r="B3">
            <v>45773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45903</v>
          </cell>
          <cell r="K2">
            <v>17</v>
          </cell>
          <cell r="O2">
            <v>0</v>
          </cell>
        </row>
        <row r="3">
          <cell r="B3">
            <v>45784</v>
          </cell>
        </row>
      </sheetData>
      <sheetData sheetId="2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2">
          <cell r="G2">
            <v>45903</v>
          </cell>
        </row>
      </sheetData>
      <sheetData sheetId="2" refreshError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45906</v>
          </cell>
          <cell r="K2">
            <v>17</v>
          </cell>
          <cell r="O2">
            <v>0</v>
          </cell>
        </row>
        <row r="3">
          <cell r="B3">
            <v>45787</v>
          </cell>
        </row>
      </sheetData>
      <sheetData sheetId="2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45929</v>
          </cell>
          <cell r="K2">
            <v>17</v>
          </cell>
          <cell r="O2">
            <v>0</v>
          </cell>
        </row>
        <row r="3">
          <cell r="B3">
            <v>45810</v>
          </cell>
        </row>
      </sheetData>
      <sheetData sheetId="2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45929</v>
          </cell>
          <cell r="K2">
            <v>17</v>
          </cell>
          <cell r="O2">
            <v>0</v>
          </cell>
        </row>
        <row r="3">
          <cell r="B3">
            <v>45810</v>
          </cell>
        </row>
      </sheetData>
      <sheetData sheetId="2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45929</v>
          </cell>
          <cell r="K2">
            <v>17</v>
          </cell>
          <cell r="O2">
            <v>0</v>
          </cell>
        </row>
        <row r="3">
          <cell r="B3">
            <v>45810</v>
          </cell>
        </row>
      </sheetData>
      <sheetData sheetId="2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45933</v>
          </cell>
          <cell r="K2">
            <v>17</v>
          </cell>
          <cell r="O2">
            <v>0</v>
          </cell>
        </row>
        <row r="3">
          <cell r="B3">
            <v>45814</v>
          </cell>
        </row>
      </sheetData>
      <sheetData sheetId="2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45933</v>
          </cell>
          <cell r="K2">
            <v>17</v>
          </cell>
          <cell r="O2">
            <v>0</v>
          </cell>
        </row>
        <row r="3">
          <cell r="B3">
            <v>45814</v>
          </cell>
        </row>
      </sheetData>
      <sheetData sheetId="2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45951</v>
          </cell>
          <cell r="K2">
            <v>120</v>
          </cell>
          <cell r="O2">
            <v>0</v>
          </cell>
        </row>
        <row r="3">
          <cell r="B3">
            <v>45832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45964</v>
          </cell>
          <cell r="K2">
            <v>120</v>
          </cell>
          <cell r="O2">
            <v>0</v>
          </cell>
        </row>
        <row r="3">
          <cell r="B3">
            <v>45845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45973</v>
          </cell>
          <cell r="K2">
            <v>17</v>
          </cell>
          <cell r="O2">
            <v>0</v>
          </cell>
        </row>
        <row r="3">
          <cell r="B3">
            <v>45854</v>
          </cell>
        </row>
      </sheetData>
      <sheetData sheetId="2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19</v>
          </cell>
          <cell r="O1">
            <v>42000</v>
          </cell>
        </row>
        <row r="2">
          <cell r="G2">
            <v>46137</v>
          </cell>
          <cell r="K2">
            <v>21</v>
          </cell>
          <cell r="O2">
            <v>38000</v>
          </cell>
        </row>
        <row r="3">
          <cell r="B3">
            <v>45857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45979</v>
          </cell>
          <cell r="K2">
            <v>120</v>
          </cell>
          <cell r="O2">
            <v>0</v>
          </cell>
        </row>
        <row r="3">
          <cell r="B3">
            <v>45860</v>
          </cell>
        </row>
      </sheetData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45995</v>
          </cell>
          <cell r="K2">
            <v>17</v>
          </cell>
          <cell r="O2">
            <v>0</v>
          </cell>
        </row>
        <row r="3">
          <cell r="B3">
            <v>45876</v>
          </cell>
        </row>
      </sheetData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40000</v>
          </cell>
          <cell r="K1">
            <v>0</v>
          </cell>
          <cell r="O1">
            <v>48000</v>
          </cell>
        </row>
        <row r="2">
          <cell r="G2">
            <v>45999</v>
          </cell>
          <cell r="K2">
            <v>120</v>
          </cell>
          <cell r="O2">
            <v>0</v>
          </cell>
        </row>
        <row r="3">
          <cell r="B3">
            <v>45880</v>
          </cell>
        </row>
      </sheetData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G2">
            <v>45999</v>
          </cell>
          <cell r="K2">
            <v>120</v>
          </cell>
          <cell r="O2">
            <v>0</v>
          </cell>
        </row>
        <row r="3">
          <cell r="B3">
            <v>45880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46002</v>
          </cell>
          <cell r="K2">
            <v>120</v>
          </cell>
          <cell r="O2">
            <v>0</v>
          </cell>
        </row>
        <row r="3">
          <cell r="B3">
            <v>45883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46002</v>
          </cell>
          <cell r="K2">
            <v>120</v>
          </cell>
          <cell r="O2">
            <v>0</v>
          </cell>
        </row>
        <row r="3">
          <cell r="B3">
            <v>45883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46002</v>
          </cell>
          <cell r="K2">
            <v>120</v>
          </cell>
          <cell r="O2">
            <v>0</v>
          </cell>
        </row>
        <row r="3">
          <cell r="B3">
            <v>45883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3</v>
          </cell>
          <cell r="O1">
            <v>19600</v>
          </cell>
        </row>
        <row r="2">
          <cell r="G2">
            <v>46020</v>
          </cell>
          <cell r="K2">
            <v>14</v>
          </cell>
          <cell r="O2">
            <v>4200</v>
          </cell>
        </row>
        <row r="3">
          <cell r="B3">
            <v>45901</v>
          </cell>
        </row>
      </sheetData>
      <sheetData sheetId="2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3</v>
          </cell>
          <cell r="O1">
            <v>9800</v>
          </cell>
        </row>
        <row r="2">
          <cell r="G2">
            <v>46020</v>
          </cell>
          <cell r="K2">
            <v>14</v>
          </cell>
          <cell r="O2">
            <v>2100</v>
          </cell>
        </row>
        <row r="3">
          <cell r="B3">
            <v>45901</v>
          </cell>
        </row>
      </sheetData>
      <sheetData sheetId="2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/>
      <sheetData sheetId="1">
        <row r="1">
          <cell r="C1">
            <v>10000</v>
          </cell>
          <cell r="K1">
            <v>8</v>
          </cell>
          <cell r="O1">
            <v>6300</v>
          </cell>
        </row>
        <row r="2">
          <cell r="G2">
            <v>46020</v>
          </cell>
          <cell r="K2">
            <v>9</v>
          </cell>
          <cell r="O2">
            <v>5600</v>
          </cell>
        </row>
        <row r="3">
          <cell r="B3">
            <v>45901</v>
          </cell>
        </row>
      </sheetData>
      <sheetData sheetId="2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17</v>
          </cell>
          <cell r="O1">
            <v>19600</v>
          </cell>
        </row>
        <row r="2">
          <cell r="G2">
            <v>46029</v>
          </cell>
          <cell r="K2">
            <v>14</v>
          </cell>
          <cell r="O2">
            <v>4200</v>
          </cell>
        </row>
        <row r="3">
          <cell r="B3">
            <v>45910</v>
          </cell>
        </row>
      </sheetData>
      <sheetData sheetId="2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6</v>
          </cell>
          <cell r="O1">
            <v>15400</v>
          </cell>
        </row>
        <row r="2">
          <cell r="G2">
            <v>46047</v>
          </cell>
          <cell r="K2">
            <v>11</v>
          </cell>
          <cell r="O2">
            <v>8400</v>
          </cell>
        </row>
        <row r="3">
          <cell r="B3">
            <v>45928</v>
          </cell>
        </row>
      </sheetData>
      <sheetData sheetId="2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5</v>
          </cell>
          <cell r="O1">
            <v>8400</v>
          </cell>
        </row>
        <row r="2">
          <cell r="G2">
            <v>46047</v>
          </cell>
          <cell r="K2">
            <v>12</v>
          </cell>
          <cell r="O2">
            <v>3500</v>
          </cell>
        </row>
        <row r="3">
          <cell r="B3">
            <v>45928</v>
          </cell>
        </row>
      </sheetData>
      <sheetData sheetId="2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6</v>
          </cell>
          <cell r="O1">
            <v>15400</v>
          </cell>
        </row>
        <row r="2">
          <cell r="G2">
            <v>46052</v>
          </cell>
          <cell r="K2">
            <v>11</v>
          </cell>
          <cell r="O2">
            <v>8400</v>
          </cell>
        </row>
        <row r="3">
          <cell r="B3">
            <v>45933</v>
          </cell>
        </row>
      </sheetData>
      <sheetData sheetId="2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100000</v>
          </cell>
          <cell r="K1">
            <v>185</v>
          </cell>
          <cell r="O1">
            <v>7500</v>
          </cell>
        </row>
        <row r="2">
          <cell r="G2">
            <v>46128</v>
          </cell>
          <cell r="K2">
            <v>15</v>
          </cell>
          <cell r="O2">
            <v>92500</v>
          </cell>
        </row>
        <row r="3">
          <cell r="B3">
            <v>45929</v>
          </cell>
        </row>
      </sheetData>
      <sheetData sheetId="2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57</v>
          </cell>
          <cell r="O1">
            <v>31500</v>
          </cell>
        </row>
        <row r="2">
          <cell r="G2">
            <v>46066</v>
          </cell>
          <cell r="K2">
            <v>63</v>
          </cell>
          <cell r="O2">
            <v>28500</v>
          </cell>
        </row>
        <row r="3">
          <cell r="B3">
            <v>45947</v>
          </cell>
        </row>
      </sheetData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15000</v>
          </cell>
          <cell r="K1">
            <v>66</v>
          </cell>
          <cell r="O1">
            <v>8100</v>
          </cell>
        </row>
        <row r="2">
          <cell r="G2">
            <v>46069</v>
          </cell>
          <cell r="K2">
            <v>54</v>
          </cell>
          <cell r="O2">
            <v>9900</v>
          </cell>
        </row>
        <row r="3">
          <cell r="B3">
            <v>45950</v>
          </cell>
        </row>
      </sheetData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74</v>
          </cell>
          <cell r="O1">
            <v>9200</v>
          </cell>
        </row>
        <row r="2">
          <cell r="G2">
            <v>46080</v>
          </cell>
          <cell r="K2">
            <v>46</v>
          </cell>
          <cell r="O2">
            <v>14800</v>
          </cell>
        </row>
        <row r="3">
          <cell r="B3">
            <v>45961</v>
          </cell>
        </row>
      </sheetData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12</v>
          </cell>
          <cell r="O1">
            <v>7000</v>
          </cell>
        </row>
        <row r="2">
          <cell r="G2">
            <v>46094</v>
          </cell>
          <cell r="K2">
            <v>5</v>
          </cell>
          <cell r="O2">
            <v>16800</v>
          </cell>
        </row>
        <row r="3">
          <cell r="B3">
            <v>45975</v>
          </cell>
        </row>
      </sheetData>
      <sheetData sheetId="2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75</v>
          </cell>
          <cell r="O1">
            <v>9000</v>
          </cell>
        </row>
        <row r="2">
          <cell r="G2">
            <v>46097</v>
          </cell>
          <cell r="K2">
            <v>45</v>
          </cell>
          <cell r="O2">
            <v>15000</v>
          </cell>
        </row>
        <row r="3">
          <cell r="B3">
            <v>45978</v>
          </cell>
        </row>
      </sheetData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92</v>
          </cell>
          <cell r="O1">
            <v>5600</v>
          </cell>
        </row>
        <row r="2">
          <cell r="G2">
            <v>46100</v>
          </cell>
          <cell r="K2">
            <v>28</v>
          </cell>
          <cell r="O2">
            <v>18400</v>
          </cell>
        </row>
        <row r="3">
          <cell r="B3">
            <v>45981</v>
          </cell>
        </row>
      </sheetData>
      <sheetData sheetId="2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40000</v>
          </cell>
          <cell r="K1">
            <v>82</v>
          </cell>
          <cell r="O1">
            <v>15200</v>
          </cell>
        </row>
        <row r="2">
          <cell r="G2">
            <v>46102</v>
          </cell>
          <cell r="K2">
            <v>38</v>
          </cell>
          <cell r="O2">
            <v>32800</v>
          </cell>
        </row>
        <row r="3">
          <cell r="B3">
            <v>45983</v>
          </cell>
        </row>
      </sheetData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20000</v>
          </cell>
          <cell r="K1">
            <v>15</v>
          </cell>
          <cell r="O1">
            <v>2800</v>
          </cell>
        </row>
        <row r="2">
          <cell r="G2">
            <v>46116</v>
          </cell>
          <cell r="K2">
            <v>2</v>
          </cell>
          <cell r="O2">
            <v>21000</v>
          </cell>
        </row>
        <row r="3">
          <cell r="B3">
            <v>45997</v>
          </cell>
        </row>
      </sheetData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20000</v>
          </cell>
          <cell r="K1">
            <v>112</v>
          </cell>
          <cell r="O1">
            <v>1600</v>
          </cell>
        </row>
        <row r="2">
          <cell r="G2">
            <v>46111</v>
          </cell>
          <cell r="K2">
            <v>8</v>
          </cell>
          <cell r="O2">
            <v>22400</v>
          </cell>
        </row>
        <row r="3">
          <cell r="B3">
            <v>45992</v>
          </cell>
        </row>
      </sheetData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16000</v>
          </cell>
          <cell r="K1">
            <v>114</v>
          </cell>
          <cell r="O1">
            <v>960</v>
          </cell>
        </row>
        <row r="2">
          <cell r="G2">
            <v>46117</v>
          </cell>
          <cell r="K2">
            <v>6</v>
          </cell>
          <cell r="O2">
            <v>18240</v>
          </cell>
        </row>
        <row r="3">
          <cell r="B3">
            <v>45998</v>
          </cell>
        </row>
      </sheetData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114</v>
          </cell>
          <cell r="O1">
            <v>1200</v>
          </cell>
        </row>
        <row r="2">
          <cell r="K2">
            <v>6</v>
          </cell>
          <cell r="O2">
            <v>22800</v>
          </cell>
        </row>
        <row r="3">
          <cell r="B3">
            <v>46006</v>
          </cell>
        </row>
      </sheetData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15000</v>
          </cell>
          <cell r="K1">
            <v>16</v>
          </cell>
          <cell r="O1">
            <v>1050</v>
          </cell>
        </row>
        <row r="2">
          <cell r="G2">
            <v>46131</v>
          </cell>
          <cell r="K2">
            <v>1</v>
          </cell>
          <cell r="O2">
            <v>16800</v>
          </cell>
        </row>
        <row r="3">
          <cell r="B3">
            <v>46012</v>
          </cell>
        </row>
      </sheetData>
      <sheetData sheetId="2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120</v>
          </cell>
          <cell r="O1">
            <v>0</v>
          </cell>
        </row>
        <row r="2">
          <cell r="K2">
            <v>0</v>
          </cell>
          <cell r="O2">
            <v>12000</v>
          </cell>
        </row>
        <row r="3">
          <cell r="B3"/>
        </row>
      </sheetData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120</v>
          </cell>
          <cell r="O1">
            <v>0</v>
          </cell>
        </row>
        <row r="2">
          <cell r="G2">
            <v>119</v>
          </cell>
          <cell r="K2">
            <v>0</v>
          </cell>
          <cell r="O2">
            <v>12000</v>
          </cell>
        </row>
        <row r="3">
          <cell r="B3"/>
        </row>
      </sheetData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120</v>
          </cell>
          <cell r="O1">
            <v>0</v>
          </cell>
        </row>
        <row r="2">
          <cell r="G2">
            <v>119</v>
          </cell>
          <cell r="K2">
            <v>0</v>
          </cell>
          <cell r="O2">
            <v>12000</v>
          </cell>
        </row>
        <row r="3">
          <cell r="B3"/>
        </row>
      </sheetData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120</v>
          </cell>
          <cell r="O1">
            <v>0</v>
          </cell>
        </row>
        <row r="2">
          <cell r="G2">
            <v>119</v>
          </cell>
          <cell r="K2">
            <v>0</v>
          </cell>
          <cell r="O2">
            <v>24000</v>
          </cell>
        </row>
        <row r="3">
          <cell r="B3"/>
        </row>
      </sheetData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"/>
      <sheetName val="SM5000.1-oct"/>
      <sheetName val="SM5000.1-SEPT (2)"/>
    </sheetNames>
    <sheetDataSet>
      <sheetData sheetId="0" refreshError="1"/>
      <sheetData sheetId="1" refreshError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45180</v>
          </cell>
        </row>
      </sheetData>
      <sheetData sheetId="3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45201</v>
          </cell>
        </row>
      </sheetData>
      <sheetData sheetId="4">
        <row r="1">
          <cell r="C1">
            <v>5000</v>
          </cell>
        </row>
      </sheetData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45212</v>
          </cell>
        </row>
      </sheetData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45213</v>
          </cell>
        </row>
      </sheetData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45226</v>
          </cell>
        </row>
      </sheetData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 (2)"/>
    </sheetNames>
    <sheetDataSet>
      <sheetData sheetId="0"/>
      <sheetData sheetId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45243</v>
          </cell>
        </row>
      </sheetData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45245</v>
          </cell>
        </row>
      </sheetData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5000.27-NOV"/>
      <sheetName val="Sheet1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17</v>
          </cell>
          <cell r="O2">
            <v>0</v>
          </cell>
        </row>
        <row r="3">
          <cell r="B3">
            <v>45266</v>
          </cell>
        </row>
      </sheetData>
      <sheetData sheetId="2" refreshError="1"/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45646</v>
          </cell>
        </row>
      </sheetData>
      <sheetData sheetId="2" refreshError="1"/>
    </sheetDataSet>
  </externalBook>
</externalLink>
</file>

<file path=xl/externalLinks/externalLink9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84000</v>
          </cell>
        </row>
        <row r="2">
          <cell r="K2">
            <v>48</v>
          </cell>
          <cell r="O2">
            <v>0</v>
          </cell>
        </row>
        <row r="3">
          <cell r="B3">
            <v>45648</v>
          </cell>
        </row>
      </sheetData>
      <sheetData sheetId="2" refreshError="1"/>
    </sheetDataSet>
  </externalBook>
</externalLink>
</file>

<file path=xl/externalLinks/externalLink9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45279</v>
          </cell>
        </row>
      </sheetData>
    </sheetDataSet>
  </externalBook>
</externalLink>
</file>

<file path=xl/externalLinks/externalLink9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120</v>
          </cell>
          <cell r="O1">
            <v>0</v>
          </cell>
        </row>
        <row r="2">
          <cell r="K2">
            <v>0</v>
          </cell>
        </row>
      </sheetData>
    </sheetDataSet>
  </externalBook>
</externalLink>
</file>

<file path=xl/externalLinks/externalLink10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45310</v>
          </cell>
        </row>
      </sheetData>
      <sheetData sheetId="2" refreshError="1"/>
    </sheetDataSet>
  </externalBook>
</externalLink>
</file>

<file path=xl/externalLinks/externalLink10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-Jan24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45302</v>
          </cell>
        </row>
      </sheetData>
    </sheetDataSet>
  </externalBook>
</externalLink>
</file>

<file path=xl/externalLinks/externalLink10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10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10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45316</v>
          </cell>
        </row>
      </sheetData>
    </sheetDataSet>
  </externalBook>
</externalLink>
</file>

<file path=xl/externalLinks/externalLink10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45324</v>
          </cell>
        </row>
      </sheetData>
    </sheetDataSet>
  </externalBook>
</externalLink>
</file>

<file path=xl/externalLinks/externalLink10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45327</v>
          </cell>
        </row>
      </sheetData>
      <sheetData sheetId="2" refreshError="1"/>
    </sheetDataSet>
  </externalBook>
</externalLink>
</file>

<file path=xl/externalLinks/externalLink10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oct"/>
    </sheetNames>
    <sheetDataSet>
      <sheetData sheetId="0" refreshError="1"/>
      <sheetData sheetId="1" refreshError="1"/>
      <sheetData sheetId="2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45323</v>
          </cell>
        </row>
      </sheetData>
    </sheetDataSet>
  </externalBook>
</externalLink>
</file>

<file path=xl/externalLinks/externalLink10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45332</v>
          </cell>
        </row>
      </sheetData>
    </sheetDataSet>
  </externalBook>
</externalLink>
</file>

<file path=xl/externalLinks/externalLink10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45339</v>
          </cell>
        </row>
      </sheetData>
    </sheetDataSet>
  </externalBook>
</externalLink>
</file>

<file path=xl/externalLinks/externalLink1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45334</v>
          </cell>
        </row>
      </sheetData>
    </sheetDataSet>
  </externalBook>
</externalLink>
</file>

<file path=xl/externalLinks/externalLink1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5</v>
          </cell>
        </row>
        <row r="2">
          <cell r="K2">
            <v>12</v>
          </cell>
        </row>
        <row r="3">
          <cell r="B3">
            <v>45337</v>
          </cell>
        </row>
      </sheetData>
      <sheetData sheetId="2" refreshError="1"/>
    </sheetDataSet>
  </externalBook>
</externalLink>
</file>

<file path=xl/externalLinks/externalLink1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O1">
            <v>24000</v>
          </cell>
        </row>
        <row r="2">
          <cell r="O2">
            <v>0</v>
          </cell>
        </row>
      </sheetData>
      <sheetData sheetId="2" refreshError="1"/>
    </sheetDataSet>
  </externalBook>
</externalLink>
</file>

<file path=xl/externalLinks/externalLink1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45345</v>
          </cell>
        </row>
      </sheetData>
      <sheetData sheetId="2" refreshError="1"/>
    </sheetDataSet>
  </externalBook>
</externalLink>
</file>

<file path=xl/externalLinks/externalLink1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45354</v>
          </cell>
        </row>
      </sheetData>
    </sheetDataSet>
  </externalBook>
</externalLink>
</file>

<file path=xl/externalLinks/externalLink1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45366</v>
          </cell>
        </row>
      </sheetData>
      <sheetData sheetId="2" refreshError="1"/>
    </sheetDataSet>
  </externalBook>
</externalLink>
</file>

<file path=xl/externalLinks/externalLink1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45380</v>
          </cell>
        </row>
      </sheetData>
      <sheetData sheetId="2" refreshError="1"/>
    </sheetDataSet>
  </externalBook>
</externalLink>
</file>

<file path=xl/externalLinks/externalLink1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45389</v>
          </cell>
        </row>
      </sheetData>
      <sheetData sheetId="2" refreshError="1"/>
    </sheetDataSet>
  </externalBook>
</externalLink>
</file>

<file path=xl/externalLinks/externalLink1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45394</v>
          </cell>
        </row>
      </sheetData>
      <sheetData sheetId="2" refreshError="1"/>
    </sheetDataSet>
  </externalBook>
</externalLink>
</file>

<file path=xl/externalLinks/externalLink1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  <sheetData sheetId="2" refreshError="1"/>
    </sheetDataSet>
  </externalBook>
</externalLink>
</file>

<file path=xl/externalLinks/externalLink1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G1">
            <v>17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</sheetDataSet>
  </externalBook>
</externalLink>
</file>

<file path=xl/externalLinks/externalLink1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40000</v>
          </cell>
          <cell r="K1">
            <v>47</v>
          </cell>
          <cell r="O1">
            <v>1400</v>
          </cell>
        </row>
        <row r="2">
          <cell r="K2">
            <v>1</v>
          </cell>
        </row>
        <row r="3">
          <cell r="B3">
            <v>45416</v>
          </cell>
        </row>
      </sheetData>
      <sheetData sheetId="2" refreshError="1"/>
    </sheetDataSet>
  </externalBook>
</externalLink>
</file>

<file path=xl/externalLinks/externalLink1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2">
          <cell r="O2">
            <v>0</v>
          </cell>
        </row>
      </sheetData>
      <sheetData sheetId="2" refreshError="1"/>
    </sheetDataSet>
  </externalBook>
</externalLink>
</file>

<file path=xl/externalLinks/externalLink1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45427</v>
          </cell>
        </row>
      </sheetData>
    </sheetDataSet>
  </externalBook>
</externalLink>
</file>

<file path=xl/externalLinks/externalLink1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45425</v>
          </cell>
        </row>
      </sheetData>
    </sheetDataSet>
  </externalBook>
</externalLink>
</file>

<file path=xl/externalLinks/externalLink1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45436</v>
          </cell>
        </row>
      </sheetData>
    </sheetDataSet>
  </externalBook>
</externalLink>
</file>

<file path=xl/externalLinks/externalLink1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45432</v>
          </cell>
        </row>
      </sheetData>
    </sheetDataSet>
  </externalBook>
</externalLink>
</file>

<file path=xl/externalLinks/externalLink1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G1">
            <v>120</v>
          </cell>
          <cell r="K1">
            <v>0</v>
          </cell>
          <cell r="O1">
            <v>12000</v>
          </cell>
        </row>
        <row r="2">
          <cell r="O2">
            <v>0</v>
          </cell>
        </row>
        <row r="3">
          <cell r="B3">
            <v>45437</v>
          </cell>
        </row>
      </sheetData>
    </sheetDataSet>
  </externalBook>
</externalLink>
</file>

<file path=xl/externalLinks/externalLink1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</row>
        <row r="3">
          <cell r="B3">
            <v>45444</v>
          </cell>
        </row>
      </sheetData>
    </sheetDataSet>
  </externalBook>
</externalLink>
</file>

<file path=xl/externalLinks/externalLink1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</row>
        <row r="3">
          <cell r="B3">
            <v>45450</v>
          </cell>
        </row>
      </sheetData>
    </sheetDataSet>
  </externalBook>
</externalLink>
</file>

<file path=xl/externalLinks/externalLink1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</sheetData>
    </sheetDataSet>
  </externalBook>
</externalLink>
</file>

<file path=xl/externalLinks/externalLink1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45446</v>
          </cell>
        </row>
      </sheetData>
    </sheetDataSet>
  </externalBook>
</externalLink>
</file>

<file path=xl/externalLinks/externalLink1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45473</v>
          </cell>
        </row>
      </sheetData>
    </sheetDataSet>
  </externalBook>
</externalLink>
</file>

<file path=xl/externalLinks/externalLink1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45495</v>
          </cell>
        </row>
      </sheetData>
      <sheetData sheetId="2" refreshError="1"/>
    </sheetDataSet>
  </externalBook>
</externalLink>
</file>

<file path=xl/externalLinks/externalLink1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45496</v>
          </cell>
        </row>
      </sheetData>
      <sheetData sheetId="2" refreshError="1"/>
    </sheetDataSet>
  </externalBook>
</externalLink>
</file>

<file path=xl/externalLinks/externalLink1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45493</v>
          </cell>
        </row>
      </sheetData>
    </sheetDataSet>
  </externalBook>
</externalLink>
</file>

<file path=xl/externalLinks/externalLink1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45502</v>
          </cell>
        </row>
      </sheetData>
      <sheetData sheetId="2" refreshError="1"/>
    </sheetDataSet>
  </externalBook>
</externalLink>
</file>

<file path=xl/externalLinks/externalLink1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45504</v>
          </cell>
        </row>
      </sheetData>
      <sheetData sheetId="2" refreshError="1"/>
    </sheetDataSet>
  </externalBook>
</externalLink>
</file>

<file path=xl/externalLinks/externalLink1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45511</v>
          </cell>
        </row>
      </sheetData>
    </sheetDataSet>
  </externalBook>
</externalLink>
</file>

<file path=xl/externalLinks/externalLink1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45508</v>
          </cell>
        </row>
      </sheetData>
    </sheetDataSet>
  </externalBook>
</externalLink>
</file>

<file path=xl/externalLinks/externalLink1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45514</v>
          </cell>
        </row>
      </sheetData>
    </sheetDataSet>
  </externalBook>
</externalLink>
</file>

<file path=xl/externalLinks/externalLink1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45527</v>
          </cell>
        </row>
      </sheetData>
      <sheetData sheetId="2" refreshError="1"/>
    </sheetDataSet>
  </externalBook>
</externalLink>
</file>

<file path=xl/externalLinks/externalLink1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45531</v>
          </cell>
        </row>
      </sheetData>
      <sheetData sheetId="2" refreshError="1"/>
    </sheetDataSet>
  </externalBook>
</externalLink>
</file>

<file path=xl/externalLinks/externalLink1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45532</v>
          </cell>
        </row>
      </sheetData>
    </sheetDataSet>
  </externalBook>
</externalLink>
</file>

<file path=xl/externalLinks/externalLink1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45534</v>
          </cell>
        </row>
      </sheetData>
      <sheetData sheetId="2" refreshError="1"/>
    </sheetDataSet>
  </externalBook>
</externalLink>
</file>

<file path=xl/externalLinks/externalLink1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45536</v>
          </cell>
        </row>
      </sheetData>
    </sheetDataSet>
  </externalBook>
</externalLink>
</file>

<file path=xl/externalLinks/externalLink1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45535</v>
          </cell>
        </row>
      </sheetData>
    </sheetDataSet>
  </externalBook>
</externalLink>
</file>

<file path=xl/externalLinks/externalLink1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45549</v>
          </cell>
        </row>
      </sheetData>
    </sheetDataSet>
  </externalBook>
</externalLink>
</file>

<file path=xl/externalLinks/externalLink1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13">
          <cell r="B13">
            <v>45562</v>
          </cell>
        </row>
      </sheetData>
    </sheetDataSet>
  </externalBook>
</externalLink>
</file>

<file path=xl/externalLinks/externalLink1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45557</v>
          </cell>
        </row>
      </sheetData>
    </sheetDataSet>
  </externalBook>
</externalLink>
</file>

<file path=xl/externalLinks/externalLink1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45562</v>
          </cell>
        </row>
      </sheetData>
    </sheetDataSet>
  </externalBook>
</externalLink>
</file>

<file path=xl/externalLinks/externalLink1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66</v>
          </cell>
          <cell r="O1">
            <v>27000</v>
          </cell>
        </row>
        <row r="2">
          <cell r="K2">
            <v>54</v>
          </cell>
          <cell r="O2">
            <v>33000</v>
          </cell>
        </row>
        <row r="3">
          <cell r="B3">
            <v>45579</v>
          </cell>
        </row>
      </sheetData>
    </sheetDataSet>
  </externalBook>
</externalLink>
</file>

<file path=xl/externalLinks/externalLink1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D20000.18-DEC"/>
    </sheetNames>
    <sheetDataSet>
      <sheetData sheetId="0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45587</v>
          </cell>
        </row>
      </sheetData>
    </sheetDataSet>
  </externalBook>
</externalLink>
</file>

<file path=xl/externalLinks/externalLink1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45597</v>
          </cell>
        </row>
      </sheetData>
    </sheetDataSet>
  </externalBook>
</externalLink>
</file>

<file path=xl/externalLinks/externalLink1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45602</v>
          </cell>
        </row>
      </sheetData>
    </sheetDataSet>
  </externalBook>
</externalLink>
</file>

<file path=xl/externalLinks/externalLink1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100</v>
          </cell>
          <cell r="O1">
            <v>10000</v>
          </cell>
        </row>
        <row r="2">
          <cell r="K2">
            <v>20</v>
          </cell>
          <cell r="O2">
            <v>50000</v>
          </cell>
        </row>
        <row r="3">
          <cell r="B3">
            <v>45612</v>
          </cell>
        </row>
      </sheetData>
    </sheetDataSet>
  </externalBook>
</externalLink>
</file>

<file path=xl/externalLinks/externalLink15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45647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R100"/>
  <sheetViews>
    <sheetView tabSelected="1" zoomScale="70" zoomScaleNormal="70" workbookViewId="0">
      <selection activeCell="O3" sqref="O3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4" width="15" style="1" customWidth="1"/>
    <col min="15" max="15" width="15.28515625" style="1" customWidth="1"/>
    <col min="16" max="16" width="18.42578125" style="1" customWidth="1"/>
    <col min="17" max="18" width="15.85546875" style="1" bestFit="1" customWidth="1"/>
    <col min="19" max="16384" width="9.140625" style="1"/>
  </cols>
  <sheetData>
    <row r="2" spans="2:18" ht="22.5" customHeight="1" x14ac:dyDescent="0.2">
      <c r="B2" s="34" t="s">
        <v>8</v>
      </c>
      <c r="C2" s="35"/>
      <c r="I2" s="36" t="s">
        <v>21</v>
      </c>
      <c r="J2" s="37"/>
      <c r="K2" s="38"/>
      <c r="L2" s="39">
        <f>SUM(L5:L105)</f>
        <v>797940</v>
      </c>
      <c r="M2" s="40"/>
      <c r="N2" s="31"/>
      <c r="O2" s="1">
        <f>SUM(O5:O100)</f>
        <v>42070</v>
      </c>
      <c r="R2" s="1">
        <f>14900+260750</f>
        <v>275650</v>
      </c>
    </row>
    <row r="3" spans="2:18" ht="18" x14ac:dyDescent="0.2">
      <c r="C3" s="2"/>
      <c r="D3" s="3"/>
      <c r="E3" s="4"/>
      <c r="F3" s="2"/>
      <c r="G3" s="4"/>
      <c r="H3" s="5"/>
      <c r="K3" s="3"/>
      <c r="M3" s="3"/>
      <c r="N3" s="3"/>
    </row>
    <row r="4" spans="2:18" ht="40.5" customHeight="1" x14ac:dyDescent="0.2">
      <c r="B4" s="11" t="s">
        <v>6</v>
      </c>
      <c r="C4" s="11" t="s">
        <v>1</v>
      </c>
      <c r="D4" s="11" t="s">
        <v>0</v>
      </c>
      <c r="E4" s="11" t="s">
        <v>9</v>
      </c>
      <c r="F4" s="11" t="s">
        <v>3</v>
      </c>
      <c r="G4" s="11" t="s">
        <v>4</v>
      </c>
      <c r="H4" s="11" t="s">
        <v>16</v>
      </c>
      <c r="I4" s="11" t="s">
        <v>17</v>
      </c>
      <c r="J4" s="11" t="s">
        <v>5</v>
      </c>
      <c r="K4" s="11" t="s">
        <v>7</v>
      </c>
      <c r="L4" s="11" t="s">
        <v>10</v>
      </c>
      <c r="M4" s="11" t="s">
        <v>11</v>
      </c>
      <c r="N4" s="32" t="s">
        <v>163</v>
      </c>
      <c r="P4" s="30">
        <v>763460</v>
      </c>
      <c r="Q4" s="28"/>
    </row>
    <row r="5" spans="2:18" ht="22.5" customHeight="1" x14ac:dyDescent="0.2">
      <c r="B5" s="17">
        <v>32</v>
      </c>
      <c r="C5" s="18" t="s">
        <v>57</v>
      </c>
      <c r="D5" s="18" t="s">
        <v>39</v>
      </c>
      <c r="E5" s="19">
        <f>'[1]MD10000.10-JAN'!$C$1</f>
        <v>10000</v>
      </c>
      <c r="F5" s="20"/>
      <c r="G5" s="20"/>
      <c r="H5" s="20">
        <f>'[1]MD10000.10-JAN'!$G$1</f>
        <v>48</v>
      </c>
      <c r="I5" s="20">
        <f>'[1]MD10000.10-JAN'!$K$2</f>
        <v>48</v>
      </c>
      <c r="J5" s="21" t="s">
        <v>12</v>
      </c>
      <c r="K5" s="22">
        <f>'[1]MD10000.10-JAN'!$B$3</f>
        <v>45399</v>
      </c>
      <c r="L5" s="19">
        <f>'[1]MD10000.10-JAN'!$O$2</f>
        <v>0</v>
      </c>
      <c r="M5" s="19">
        <f>'[1]MD10000.10-JAN'!$O$1</f>
        <v>16800</v>
      </c>
      <c r="N5" s="33"/>
      <c r="P5" s="28">
        <f>P4-L2</f>
        <v>-34480</v>
      </c>
    </row>
    <row r="6" spans="2:18" ht="22.5" customHeight="1" x14ac:dyDescent="0.2">
      <c r="B6" s="17">
        <v>62</v>
      </c>
      <c r="C6" s="18" t="s">
        <v>91</v>
      </c>
      <c r="D6" s="18" t="s">
        <v>68</v>
      </c>
      <c r="E6" s="19">
        <f>'[2]MD10000.1-OCT'!$C$1</f>
        <v>10000</v>
      </c>
      <c r="F6" s="20">
        <f>'[2]MD10000.1-OCT'!$K$1</f>
        <v>0</v>
      </c>
      <c r="G6" s="20">
        <f>'[2]MD10000.1-OCT'!$K$2</f>
        <v>120</v>
      </c>
      <c r="H6" s="20"/>
      <c r="I6" s="20"/>
      <c r="J6" s="21" t="s">
        <v>12</v>
      </c>
      <c r="K6" s="22">
        <f>'[2]MD10000.1-OCT'!$B$3</f>
        <v>45557</v>
      </c>
      <c r="L6" s="19">
        <f>'[2]MD10000.1-OCT'!$O$2</f>
        <v>0</v>
      </c>
      <c r="M6" s="19">
        <f>'[2]MD10000.1-OCT'!$O$1</f>
        <v>12000</v>
      </c>
      <c r="N6" s="33"/>
    </row>
    <row r="7" spans="2:18" ht="22.5" customHeight="1" x14ac:dyDescent="0.2">
      <c r="B7" s="17">
        <v>63</v>
      </c>
      <c r="C7" s="18" t="s">
        <v>92</v>
      </c>
      <c r="D7" s="18" t="s">
        <v>68</v>
      </c>
      <c r="E7" s="19">
        <f>'[3]MD10000.1-OCT'!$C$1</f>
        <v>10000</v>
      </c>
      <c r="F7" s="20">
        <f>'[3]MD10000.1-OCT'!$K$1</f>
        <v>0</v>
      </c>
      <c r="G7" s="20">
        <f>'[3]MD10000.1-OCT'!$K$2</f>
        <v>120</v>
      </c>
      <c r="H7" s="20"/>
      <c r="I7" s="20"/>
      <c r="J7" s="21" t="s">
        <v>12</v>
      </c>
      <c r="K7" s="22">
        <f>'[3]MD10000.1-OCT'!$B$3</f>
        <v>45561</v>
      </c>
      <c r="L7" s="19">
        <f>'[3]MD10000.1-OCT'!$O$2</f>
        <v>0</v>
      </c>
      <c r="M7" s="19">
        <f>'[3]MD10000.1-OCT'!$O$1</f>
        <v>12000</v>
      </c>
      <c r="N7" s="33"/>
    </row>
    <row r="8" spans="2:18" ht="22.5" customHeight="1" x14ac:dyDescent="0.2">
      <c r="B8" s="17">
        <v>65</v>
      </c>
      <c r="C8" s="18" t="s">
        <v>70</v>
      </c>
      <c r="D8" s="18" t="s">
        <v>68</v>
      </c>
      <c r="E8" s="19">
        <f>'[4]MD10000.1-OCT'!$C$1</f>
        <v>10000</v>
      </c>
      <c r="F8" s="20">
        <f>'[4]MD10000.1-OCT'!$K$1</f>
        <v>0</v>
      </c>
      <c r="G8" s="20">
        <f>'[4]MD10000.1-OCT'!$K$2</f>
        <v>120</v>
      </c>
      <c r="H8" s="20"/>
      <c r="I8" s="20"/>
      <c r="J8" s="21" t="s">
        <v>12</v>
      </c>
      <c r="K8" s="22">
        <f>'[4]MD10000.1-OCT'!$B$3</f>
        <v>45563</v>
      </c>
      <c r="L8" s="19">
        <f>'[4]MD10000.1-OCT'!$O$2</f>
        <v>0</v>
      </c>
      <c r="M8" s="19">
        <f>'[4]MD10000.1-OCT'!$O$1</f>
        <v>12000</v>
      </c>
      <c r="N8" s="33"/>
    </row>
    <row r="9" spans="2:18" ht="22.5" customHeight="1" x14ac:dyDescent="0.2">
      <c r="B9" s="17">
        <v>66</v>
      </c>
      <c r="C9" s="18" t="s">
        <v>93</v>
      </c>
      <c r="D9" s="18" t="s">
        <v>94</v>
      </c>
      <c r="E9" s="19">
        <f>'[5]MD10000.1-OCT'!$C$1</f>
        <v>15000</v>
      </c>
      <c r="F9" s="20">
        <f>'[5]MD10000.1-OCT'!$K$1</f>
        <v>0</v>
      </c>
      <c r="G9" s="20">
        <f>'[5]MD10000.1-OCT'!$K$2</f>
        <v>120</v>
      </c>
      <c r="H9" s="20"/>
      <c r="I9" s="20"/>
      <c r="J9" s="21" t="s">
        <v>12</v>
      </c>
      <c r="K9" s="22">
        <f>'[5]MD10000.1-OCT'!$B$3</f>
        <v>45570</v>
      </c>
      <c r="L9" s="19">
        <f>'[5]MD10000.1-OCT'!$O$2</f>
        <v>0</v>
      </c>
      <c r="M9" s="19">
        <f>'[5]MD10000.1-OCT'!$O$1</f>
        <v>18000</v>
      </c>
      <c r="N9" s="33"/>
    </row>
    <row r="10" spans="2:18" ht="22.5" customHeight="1" x14ac:dyDescent="0.2">
      <c r="B10" s="17">
        <v>68</v>
      </c>
      <c r="C10" s="18" t="s">
        <v>97</v>
      </c>
      <c r="D10" s="18" t="s">
        <v>98</v>
      </c>
      <c r="E10" s="19">
        <f>'[6]MD20000.18-DEC'!$C$1</f>
        <v>100000</v>
      </c>
      <c r="F10" s="20"/>
      <c r="G10" s="20"/>
      <c r="H10" s="20">
        <f>'[6]MD20000.18-DEC'!$K$1</f>
        <v>0</v>
      </c>
      <c r="I10" s="20">
        <f>'[6]MD20000.18-DEC'!$K$2</f>
        <v>40</v>
      </c>
      <c r="J10" s="21" t="s">
        <v>12</v>
      </c>
      <c r="K10" s="22">
        <f>'[6]MD20000.18-DEC'!$B$3</f>
        <v>45590</v>
      </c>
      <c r="L10" s="19">
        <f>'[6]MD20000.18-DEC'!$O$2</f>
        <v>0</v>
      </c>
      <c r="M10" s="19">
        <f>'[6]MD20000.18-DEC'!$O$1</f>
        <v>160000</v>
      </c>
      <c r="N10" s="33"/>
    </row>
    <row r="11" spans="2:18" ht="22.5" customHeight="1" x14ac:dyDescent="0.2">
      <c r="B11" s="17">
        <v>71</v>
      </c>
      <c r="C11" s="18" t="s">
        <v>101</v>
      </c>
      <c r="D11" s="18" t="s">
        <v>90</v>
      </c>
      <c r="E11" s="19">
        <f>'[7]MD20000.18-DEC'!$C$1</f>
        <v>20000</v>
      </c>
      <c r="F11" s="20">
        <f>'[7]MD20000.18-DEC'!$K$1</f>
        <v>82</v>
      </c>
      <c r="G11" s="20">
        <f>'[7]MD20000.18-DEC'!$K$2</f>
        <v>38</v>
      </c>
      <c r="H11" s="20"/>
      <c r="I11" s="20"/>
      <c r="J11" s="21" t="s">
        <v>12</v>
      </c>
      <c r="K11" s="22">
        <f>'[7]MD20000.18-DEC'!$B$3</f>
        <v>45584</v>
      </c>
      <c r="L11" s="19">
        <f>'[8]MD20000.18-DEC'!$O$2</f>
        <v>0</v>
      </c>
      <c r="M11" s="19">
        <f>'[8]MD20000.18-DEC'!$O$1</f>
        <v>24000</v>
      </c>
      <c r="N11" s="33"/>
    </row>
    <row r="12" spans="2:18" ht="22.5" customHeight="1" x14ac:dyDescent="0.2">
      <c r="B12" s="17">
        <v>73</v>
      </c>
      <c r="C12" s="18" t="s">
        <v>74</v>
      </c>
      <c r="D12" s="18" t="s">
        <v>90</v>
      </c>
      <c r="E12" s="19">
        <f>'[9]MD20000.18-DEC'!$C$1</f>
        <v>20000</v>
      </c>
      <c r="F12" s="20">
        <f>'[9]MD20000.18-DEC'!$K$1</f>
        <v>0</v>
      </c>
      <c r="G12" s="20">
        <f>'[9]MD20000.18-DEC'!$K$2</f>
        <v>120</v>
      </c>
      <c r="H12" s="20"/>
      <c r="I12" s="20"/>
      <c r="J12" s="21" t="s">
        <v>12</v>
      </c>
      <c r="K12" s="22">
        <f>'[9]MD20000.18-DEC'!$B$7</f>
        <v>45587</v>
      </c>
      <c r="L12" s="19">
        <f>'[9]MD20000.18-DEC'!$O$2</f>
        <v>0</v>
      </c>
      <c r="M12" s="19">
        <f>'[9]MD20000.18-DEC'!$O$1</f>
        <v>24000</v>
      </c>
      <c r="N12" s="33"/>
    </row>
    <row r="13" spans="2:18" ht="22.5" customHeight="1" x14ac:dyDescent="0.2">
      <c r="B13" s="17">
        <v>74</v>
      </c>
      <c r="C13" s="18" t="s">
        <v>102</v>
      </c>
      <c r="D13" s="18" t="s">
        <v>68</v>
      </c>
      <c r="E13" s="19">
        <f>'[10]MD20000.18-DEC'!$C$1</f>
        <v>10000</v>
      </c>
      <c r="F13" s="20">
        <f>'[10]MD20000.18-DEC'!$K$1</f>
        <v>0</v>
      </c>
      <c r="G13" s="20">
        <f>'[10]MD20000.18-DEC'!$K$2</f>
        <v>120</v>
      </c>
      <c r="H13" s="20"/>
      <c r="I13" s="20"/>
      <c r="J13" s="21" t="s">
        <v>12</v>
      </c>
      <c r="K13" s="22">
        <f>'[10]MD20000.18-DEC'!$B$3</f>
        <v>45584</v>
      </c>
      <c r="L13" s="19">
        <f>'[10]MD20000.18-DEC'!$O$2</f>
        <v>0</v>
      </c>
      <c r="M13" s="19">
        <f>'[10]MD20000.18-DEC'!$O$1</f>
        <v>12000</v>
      </c>
      <c r="N13" s="33"/>
    </row>
    <row r="14" spans="2:18" ht="22.5" customHeight="1" x14ac:dyDescent="0.2">
      <c r="B14" s="17">
        <v>75</v>
      </c>
      <c r="C14" s="18" t="s">
        <v>14</v>
      </c>
      <c r="D14" s="18" t="s">
        <v>68</v>
      </c>
      <c r="E14" s="19">
        <f>'[11]MD20000.18-DEC'!$C$1</f>
        <v>10000</v>
      </c>
      <c r="F14" s="20">
        <f>'[11]MD20000.18-DEC'!$K$1</f>
        <v>18</v>
      </c>
      <c r="G14" s="20">
        <f>'[11]MD20000.18-DEC'!$K$2</f>
        <v>102</v>
      </c>
      <c r="H14" s="20"/>
      <c r="I14" s="20"/>
      <c r="J14" s="21" t="s">
        <v>12</v>
      </c>
      <c r="K14" s="22">
        <f>'[11]MD20000.18-DEC'!$B$3</f>
        <v>45584</v>
      </c>
      <c r="L14" s="19"/>
      <c r="M14" s="19">
        <f>'[11]MD20000.18-DEC'!$O$1</f>
        <v>10200</v>
      </c>
      <c r="N14" s="33"/>
      <c r="P14" s="1" t="s">
        <v>154</v>
      </c>
    </row>
    <row r="15" spans="2:18" ht="22.5" customHeight="1" x14ac:dyDescent="0.2">
      <c r="B15" s="17">
        <v>77</v>
      </c>
      <c r="C15" s="18" t="s">
        <v>104</v>
      </c>
      <c r="D15" s="18" t="s">
        <v>52</v>
      </c>
      <c r="E15" s="19">
        <f>'[12]MD20000.15-DEc'!$C$1</f>
        <v>20000</v>
      </c>
      <c r="F15" s="20"/>
      <c r="G15" s="20"/>
      <c r="H15" s="20">
        <f>'[12]MD20000.15-DEc'!$K$1</f>
        <v>0</v>
      </c>
      <c r="I15" s="20">
        <f>'[12]MD20000.15-DEc'!$K$2</f>
        <v>17</v>
      </c>
      <c r="J15" s="21" t="s">
        <v>12</v>
      </c>
      <c r="K15" s="22">
        <f>'[12]MD20000.15-DEc'!$B$3</f>
        <v>45595</v>
      </c>
      <c r="L15" s="19">
        <f>'[12]MD20000.15-DEc'!$O$2</f>
        <v>0</v>
      </c>
      <c r="M15" s="19">
        <f>'[12]MD20000.15-DEc'!$O$1</f>
        <v>24000</v>
      </c>
      <c r="N15" s="33"/>
    </row>
    <row r="16" spans="2:18" ht="22.5" customHeight="1" x14ac:dyDescent="0.2">
      <c r="B16" s="17">
        <v>78</v>
      </c>
      <c r="C16" s="18" t="s">
        <v>105</v>
      </c>
      <c r="D16" s="18" t="s">
        <v>106</v>
      </c>
      <c r="E16" s="19">
        <f>'[13]MD10000.10-JAN'!$C$1</f>
        <v>20000</v>
      </c>
      <c r="F16" s="20"/>
      <c r="G16" s="20"/>
      <c r="H16" s="20">
        <f>'[13]MD10000.10-JAN'!$K$1</f>
        <v>0</v>
      </c>
      <c r="I16" s="20">
        <f>'[13]MD10000.10-JAN'!$K$2</f>
        <v>17</v>
      </c>
      <c r="J16" s="21" t="s">
        <v>12</v>
      </c>
      <c r="K16" s="22">
        <f>'[13]MD10000.10-JAN'!$B$3</f>
        <v>45602</v>
      </c>
      <c r="L16" s="19">
        <f>'[13]MD10000.10-JAN'!$O$2</f>
        <v>0</v>
      </c>
      <c r="M16" s="19">
        <f>'[13]MD10000.10-JAN'!$O$1</f>
        <v>24000</v>
      </c>
      <c r="N16" s="33"/>
    </row>
    <row r="17" spans="2:15" ht="22.5" customHeight="1" x14ac:dyDescent="0.2">
      <c r="B17" s="17">
        <v>82</v>
      </c>
      <c r="C17" s="18" t="s">
        <v>110</v>
      </c>
      <c r="D17" s="18" t="s">
        <v>68</v>
      </c>
      <c r="E17" s="19">
        <f>'[14]MD20000.18-DEC'!$C$1</f>
        <v>10000</v>
      </c>
      <c r="F17" s="20">
        <f>'[14]MD20000.18-DEC'!$K$1</f>
        <v>0</v>
      </c>
      <c r="G17" s="20">
        <f>'[14]MD20000.18-DEC'!$K$2</f>
        <v>120</v>
      </c>
      <c r="H17" s="20"/>
      <c r="I17" s="20"/>
      <c r="J17" s="21" t="s">
        <v>12</v>
      </c>
      <c r="K17" s="22">
        <f>'[14]MD20000.18-DEC'!$B$3</f>
        <v>45612</v>
      </c>
      <c r="L17" s="19">
        <f>'[14]MD20000.18-DEC'!$O$2</f>
        <v>0</v>
      </c>
      <c r="M17" s="19">
        <f>'[14]MD20000.18-DEC'!$O$1</f>
        <v>12000</v>
      </c>
      <c r="N17" s="33"/>
    </row>
    <row r="18" spans="2:15" ht="22.5" customHeight="1" x14ac:dyDescent="0.2">
      <c r="B18" s="6">
        <v>83</v>
      </c>
      <c r="C18" s="8" t="s">
        <v>23</v>
      </c>
      <c r="D18" s="14" t="s">
        <v>111</v>
      </c>
      <c r="E18" s="7">
        <f>'[15]MD50000.15-DEC'!$C$1</f>
        <v>100000</v>
      </c>
      <c r="F18" s="8">
        <f>'[15]MD50000.15-DEC'!$K$1</f>
        <v>204</v>
      </c>
      <c r="G18" s="8">
        <f>'[15]MD50000.15-DEC'!$K$2</f>
        <v>63</v>
      </c>
      <c r="H18" s="8"/>
      <c r="I18" s="8"/>
      <c r="J18" s="9" t="s">
        <v>12</v>
      </c>
      <c r="K18" s="10">
        <f>'[15]MD50000.15-DEC'!$B$3</f>
        <v>45619</v>
      </c>
      <c r="L18" s="7"/>
      <c r="M18" s="7"/>
      <c r="N18" s="10">
        <f>'[15]MD50000.15-DEC'!$G$2</f>
        <v>45885</v>
      </c>
      <c r="O18" s="29"/>
    </row>
    <row r="19" spans="2:15" ht="22.5" customHeight="1" x14ac:dyDescent="0.2">
      <c r="B19" s="17">
        <v>84</v>
      </c>
      <c r="C19" s="18" t="s">
        <v>112</v>
      </c>
      <c r="D19" s="18" t="s">
        <v>96</v>
      </c>
      <c r="E19" s="19">
        <f>'[16]MD20000.18-DEC'!$C$1</f>
        <v>50000</v>
      </c>
      <c r="F19" s="20">
        <f>'[16]MD20000.18-DEC'!$K$1</f>
        <v>0</v>
      </c>
      <c r="G19" s="20">
        <f>'[16]MD20000.18-DEC'!$K$2</f>
        <v>120</v>
      </c>
      <c r="H19" s="20"/>
      <c r="I19" s="20"/>
      <c r="J19" s="21" t="s">
        <v>12</v>
      </c>
      <c r="K19" s="22">
        <f>'[16]MD20000.18-DEC'!$B$3</f>
        <v>45628</v>
      </c>
      <c r="L19" s="19">
        <f>'[16]MD20000.18-DEC'!$O$2</f>
        <v>0</v>
      </c>
      <c r="M19" s="19">
        <f>'[16]MD20000.18-DEC'!$O$1</f>
        <v>60000</v>
      </c>
      <c r="N19" s="33"/>
    </row>
    <row r="20" spans="2:15" ht="22.5" customHeight="1" x14ac:dyDescent="0.2">
      <c r="B20" s="17">
        <v>86</v>
      </c>
      <c r="C20" s="18" t="s">
        <v>114</v>
      </c>
      <c r="D20" s="18" t="s">
        <v>68</v>
      </c>
      <c r="E20" s="19">
        <f>'[17]MD20000.18-DEC'!$C$1</f>
        <v>10000</v>
      </c>
      <c r="F20" s="20">
        <f>'[17]MD20000.18-DEC'!$K$1</f>
        <v>0</v>
      </c>
      <c r="G20" s="20">
        <f>'[17]MD20000.18-DEC'!$K$2</f>
        <v>120</v>
      </c>
      <c r="H20" s="20"/>
      <c r="I20" s="20"/>
      <c r="J20" s="21" t="s">
        <v>12</v>
      </c>
      <c r="K20" s="22">
        <f>'[17]MD20000.18-DEC'!$B$3</f>
        <v>45635</v>
      </c>
      <c r="L20" s="19">
        <f>'[17]MD20000.18-DEC'!$O$2</f>
        <v>0</v>
      </c>
      <c r="M20" s="19">
        <f>'[17]MD20000.18-DEC'!$O$1</f>
        <v>12000</v>
      </c>
      <c r="N20" s="33"/>
    </row>
    <row r="21" spans="2:15" ht="22.5" customHeight="1" x14ac:dyDescent="0.2">
      <c r="B21" s="17">
        <v>87</v>
      </c>
      <c r="C21" s="18" t="s">
        <v>115</v>
      </c>
      <c r="D21" s="18" t="s">
        <v>68</v>
      </c>
      <c r="E21" s="19">
        <f>'[18]MD20000.18-DEC'!$C$1</f>
        <v>10000</v>
      </c>
      <c r="F21" s="20">
        <f>'[18]MD20000.18-DEC'!$K$1</f>
        <v>0</v>
      </c>
      <c r="G21" s="20">
        <f>'[18]MD20000.18-DEC'!$K$2</f>
        <v>120</v>
      </c>
      <c r="H21" s="20"/>
      <c r="I21" s="20"/>
      <c r="J21" s="21" t="s">
        <v>12</v>
      </c>
      <c r="K21" s="22">
        <f>'[18]MD20000.18-DEC'!$B$3</f>
        <v>45635</v>
      </c>
      <c r="L21" s="19">
        <f>'[18]MD20000.18-DEC'!$O$2</f>
        <v>0</v>
      </c>
      <c r="M21" s="19">
        <f>'[18]MD20000.18-DEC'!$O$1</f>
        <v>12000</v>
      </c>
      <c r="N21" s="33"/>
    </row>
    <row r="22" spans="2:15" ht="22.5" customHeight="1" x14ac:dyDescent="0.2">
      <c r="B22" s="17">
        <v>88</v>
      </c>
      <c r="C22" s="18" t="s">
        <v>116</v>
      </c>
      <c r="D22" s="18" t="s">
        <v>117</v>
      </c>
      <c r="E22" s="19">
        <f>'[19]MD50000.15-DEC'!$C$1</f>
        <v>200000</v>
      </c>
      <c r="F22" s="20">
        <f>'[19]MD50000.15-DEC'!$K$1</f>
        <v>223</v>
      </c>
      <c r="G22" s="20">
        <f>'[19]MD50000.15-DEC'!$K$2</f>
        <v>44</v>
      </c>
      <c r="H22" s="20"/>
      <c r="I22" s="20"/>
      <c r="J22" s="21" t="s">
        <v>12</v>
      </c>
      <c r="K22" s="22">
        <f>'[19]MD50000.15-DEC'!$B$3</f>
        <v>45648</v>
      </c>
      <c r="L22" s="19"/>
      <c r="M22" s="19"/>
      <c r="N22" s="33">
        <f>'[19]MD50000.15-DEC'!$G$2</f>
        <v>45914</v>
      </c>
    </row>
    <row r="23" spans="2:15" ht="22.5" customHeight="1" x14ac:dyDescent="0.2">
      <c r="B23" s="17">
        <v>89</v>
      </c>
      <c r="C23" s="18" t="s">
        <v>118</v>
      </c>
      <c r="D23" s="18" t="s">
        <v>119</v>
      </c>
      <c r="E23" s="19">
        <f>'[20]MD20000.15-DEc'!$C$1</f>
        <v>10000</v>
      </c>
      <c r="F23" s="20"/>
      <c r="G23" s="20"/>
      <c r="H23" s="20">
        <f>'[20]MD20000.15-DEc'!$K$1</f>
        <v>0</v>
      </c>
      <c r="I23" s="20">
        <f>'[20]MD20000.15-DEc'!$K$2</f>
        <v>17</v>
      </c>
      <c r="J23" s="21" t="s">
        <v>12</v>
      </c>
      <c r="K23" s="22">
        <f>'[20]MD20000.15-DEc'!$B$3</f>
        <v>45649</v>
      </c>
      <c r="L23" s="19">
        <f>'[20]MD20000.15-DEc'!$O$2</f>
        <v>0</v>
      </c>
      <c r="M23" s="19">
        <f>'[20]MD20000.15-DEc'!$O$1</f>
        <v>11900</v>
      </c>
      <c r="N23" s="33"/>
    </row>
    <row r="24" spans="2:15" ht="22.5" customHeight="1" x14ac:dyDescent="0.2">
      <c r="B24" s="17">
        <v>90</v>
      </c>
      <c r="C24" s="18" t="s">
        <v>120</v>
      </c>
      <c r="D24" s="18" t="s">
        <v>96</v>
      </c>
      <c r="E24" s="19">
        <f>'[21]MD50000.15-DEC'!$C$1</f>
        <v>50000</v>
      </c>
      <c r="F24" s="20">
        <f>'[21]MD50000.15-DEC'!$K$1</f>
        <v>0</v>
      </c>
      <c r="G24" s="20">
        <f>'[21]MD50000.15-DEC'!$K$2</f>
        <v>120</v>
      </c>
      <c r="H24" s="20"/>
      <c r="I24" s="20"/>
      <c r="J24" s="21" t="s">
        <v>12</v>
      </c>
      <c r="K24" s="22">
        <f>'[21]MD50000.15-DEC'!$B$3</f>
        <v>45652</v>
      </c>
      <c r="L24" s="19">
        <f>'[21]MD50000.15-DEC'!$O$2</f>
        <v>0</v>
      </c>
      <c r="M24" s="19">
        <f>'[21]MD50000.15-DEC'!$O$1</f>
        <v>60000</v>
      </c>
      <c r="N24" s="33"/>
    </row>
    <row r="25" spans="2:15" ht="22.5" customHeight="1" x14ac:dyDescent="0.2">
      <c r="B25" s="17">
        <v>91</v>
      </c>
      <c r="C25" s="18" t="s">
        <v>121</v>
      </c>
      <c r="D25" s="18" t="s">
        <v>122</v>
      </c>
      <c r="E25" s="19">
        <f>'[22]MD50000.15-DEC'!$C$1</f>
        <v>20000</v>
      </c>
      <c r="F25" s="20"/>
      <c r="G25" s="20"/>
      <c r="H25" s="20">
        <f>'[22]MD50000.15-DEC'!$K$1</f>
        <v>17</v>
      </c>
      <c r="I25" s="20">
        <f>'[22]MD50000.15-DEC'!$K$2</f>
        <v>17</v>
      </c>
      <c r="J25" s="21" t="s">
        <v>12</v>
      </c>
      <c r="K25" s="22">
        <f>'[22]MD50000.15-DEC'!$B$3</f>
        <v>45678</v>
      </c>
      <c r="L25" s="19">
        <f>'[22]MD50000.15-DEC'!$O$2</f>
        <v>0</v>
      </c>
      <c r="M25" s="19">
        <f>'[22]MD50000.15-DEC'!$O$1</f>
        <v>23800</v>
      </c>
      <c r="N25" s="33"/>
    </row>
    <row r="26" spans="2:15" ht="22.5" customHeight="1" x14ac:dyDescent="0.2">
      <c r="B26" s="17">
        <v>92</v>
      </c>
      <c r="C26" s="18" t="s">
        <v>123</v>
      </c>
      <c r="D26" s="18" t="s">
        <v>124</v>
      </c>
      <c r="E26" s="19">
        <f>'[23]MD50000.15-DEC'!$C$1</f>
        <v>20000</v>
      </c>
      <c r="F26" s="20"/>
      <c r="G26" s="20"/>
      <c r="H26" s="20">
        <f>'[23]MD50000.15-DEC'!$K$1</f>
        <v>0</v>
      </c>
      <c r="I26" s="20">
        <f>'[23]MD50000.15-DEC'!$K$2</f>
        <v>17</v>
      </c>
      <c r="J26" s="21" t="s">
        <v>125</v>
      </c>
      <c r="K26" s="22">
        <f>'[23]MD50000.15-DEC'!$B$3</f>
        <v>45683</v>
      </c>
      <c r="L26" s="19">
        <f>'[23]MD50000.15-DEC'!$O$2</f>
        <v>0</v>
      </c>
      <c r="M26" s="19">
        <f>'[23]MD50000.15-DEC'!$O$1</f>
        <v>23800</v>
      </c>
      <c r="N26" s="33"/>
    </row>
    <row r="27" spans="2:15" ht="22.5" customHeight="1" x14ac:dyDescent="0.2">
      <c r="B27" s="17">
        <v>93</v>
      </c>
      <c r="C27" s="18" t="s">
        <v>126</v>
      </c>
      <c r="D27" s="18" t="s">
        <v>96</v>
      </c>
      <c r="E27" s="19">
        <f>'[24]MD20000.18-DEC'!$C$1</f>
        <v>50000</v>
      </c>
      <c r="F27" s="20">
        <f>'[24]MD20000.18-DEC'!$K$1</f>
        <v>0</v>
      </c>
      <c r="G27" s="20">
        <f>'[24]MD20000.18-DEC'!$K$2</f>
        <v>120</v>
      </c>
      <c r="H27" s="20"/>
      <c r="I27" s="20"/>
      <c r="J27" s="21" t="s">
        <v>12</v>
      </c>
      <c r="K27" s="22">
        <f>'[24]MD20000.18-DEC'!$B$3</f>
        <v>45684</v>
      </c>
      <c r="L27" s="19">
        <f>'[24]MD20000.18-DEC'!$O$2</f>
        <v>0</v>
      </c>
      <c r="M27" s="19">
        <f>'[24]MD20000.18-DEC'!$O$1</f>
        <v>60000</v>
      </c>
      <c r="N27" s="33">
        <f>'[24]MD20000.18-DEC'!$G$2</f>
        <v>45803</v>
      </c>
    </row>
    <row r="28" spans="2:15" ht="22.5" customHeight="1" x14ac:dyDescent="0.2">
      <c r="B28" s="17">
        <v>94</v>
      </c>
      <c r="C28" s="18" t="s">
        <v>70</v>
      </c>
      <c r="D28" s="18" t="s">
        <v>68</v>
      </c>
      <c r="E28" s="19">
        <f>'[25]MD20000.18-DEC'!$C$1</f>
        <v>10000</v>
      </c>
      <c r="F28" s="20">
        <f>'[25]MD20000.18-DEC'!$K$1</f>
        <v>0</v>
      </c>
      <c r="G28" s="20">
        <f>'[25]MD20000.18-DEC'!$K$2</f>
        <v>120</v>
      </c>
      <c r="H28" s="20"/>
      <c r="I28" s="20"/>
      <c r="J28" s="21" t="s">
        <v>12</v>
      </c>
      <c r="K28" s="22">
        <f>'[25]MD20000.18-DEC'!$B$3</f>
        <v>45690</v>
      </c>
      <c r="L28" s="19">
        <f>'[25]MD20000.18-DEC'!$O$2</f>
        <v>0</v>
      </c>
      <c r="M28" s="19">
        <f>'[25]MD20000.18-DEC'!$O$1</f>
        <v>12000</v>
      </c>
      <c r="N28" s="33"/>
    </row>
    <row r="29" spans="2:15" ht="22.5" customHeight="1" x14ac:dyDescent="0.2">
      <c r="B29" s="17">
        <v>95</v>
      </c>
      <c r="C29" s="18" t="s">
        <v>127</v>
      </c>
      <c r="D29" s="18" t="s">
        <v>128</v>
      </c>
      <c r="E29" s="19">
        <f>'[26]MD20000.18-DEC'!$C$1</f>
        <v>35000</v>
      </c>
      <c r="F29" s="20">
        <f>'[26]MD20000.18-DEC'!$K$1</f>
        <v>88</v>
      </c>
      <c r="G29" s="20">
        <f>'[26]MD20000.18-DEC'!$K$2</f>
        <v>32</v>
      </c>
      <c r="H29" s="20"/>
      <c r="I29" s="20"/>
      <c r="J29" s="21" t="s">
        <v>12</v>
      </c>
      <c r="K29" s="22">
        <f>'[26]MD20000.18-DEC'!$B$3</f>
        <v>45696</v>
      </c>
      <c r="L29" s="19"/>
      <c r="M29" s="19"/>
      <c r="N29" s="33">
        <f>'[26]MD20000.18-DEC'!$G$2</f>
        <v>45815</v>
      </c>
    </row>
    <row r="30" spans="2:15" ht="22.5" customHeight="1" x14ac:dyDescent="0.2">
      <c r="B30" s="17">
        <v>96</v>
      </c>
      <c r="C30" s="18" t="s">
        <v>129</v>
      </c>
      <c r="D30" s="18" t="s">
        <v>90</v>
      </c>
      <c r="E30" s="19">
        <f>'[27]MD20000.18-DEC'!$C$1</f>
        <v>20000</v>
      </c>
      <c r="F30" s="20">
        <f>'[27]MD20000.18-DEC'!$K$1</f>
        <v>0</v>
      </c>
      <c r="G30" s="20">
        <f>'[27]MD20000.18-DEC'!$K$2</f>
        <v>120</v>
      </c>
      <c r="H30" s="20"/>
      <c r="I30" s="20"/>
      <c r="J30" s="21" t="s">
        <v>125</v>
      </c>
      <c r="K30" s="22">
        <f>'[27]MD20000.18-DEC'!$B$3</f>
        <v>45699</v>
      </c>
      <c r="L30" s="19">
        <f>'[27]MD20000.18-DEC'!$O$2</f>
        <v>0</v>
      </c>
      <c r="M30" s="19">
        <f>'[27]MD20000.18-DEC'!$O$1</f>
        <v>24000</v>
      </c>
      <c r="N30" s="33"/>
    </row>
    <row r="31" spans="2:15" ht="22.5" customHeight="1" x14ac:dyDescent="0.2">
      <c r="B31" s="17">
        <v>97</v>
      </c>
      <c r="C31" s="18" t="s">
        <v>55</v>
      </c>
      <c r="D31" s="18" t="s">
        <v>130</v>
      </c>
      <c r="E31" s="19">
        <f>'[28]MD50000.15-DEC'!$C$1</f>
        <v>20000</v>
      </c>
      <c r="F31" s="20"/>
      <c r="G31" s="20"/>
      <c r="H31" s="20">
        <f>'[28]MD50000.15-DEC'!$K$1</f>
        <v>0</v>
      </c>
      <c r="I31" s="20">
        <f>'[28]MD50000.15-DEC'!$K$2</f>
        <v>17</v>
      </c>
      <c r="J31" s="21" t="s">
        <v>12</v>
      </c>
      <c r="K31" s="22">
        <f>'[28]MD50000.15-DEC'!$B$3</f>
        <v>45726</v>
      </c>
      <c r="L31" s="19">
        <f>'[28]MD50000.15-DEC'!$O$2</f>
        <v>0</v>
      </c>
      <c r="M31" s="19">
        <f>'[28]MD50000.15-DEC'!$O$1</f>
        <v>23800</v>
      </c>
      <c r="N31" s="33"/>
    </row>
    <row r="32" spans="2:15" ht="22.5" customHeight="1" x14ac:dyDescent="0.2">
      <c r="B32" s="17">
        <v>98</v>
      </c>
      <c r="C32" s="18" t="s">
        <v>131</v>
      </c>
      <c r="D32" s="18" t="s">
        <v>90</v>
      </c>
      <c r="E32" s="19">
        <f>'[29]MD20000.18-DEC'!$C$1</f>
        <v>20000</v>
      </c>
      <c r="F32" s="20">
        <f>'[29]MD20000.18-DEC'!$K$1</f>
        <v>0</v>
      </c>
      <c r="G32" s="20">
        <f>'[29]MD20000.18-DEC'!$K$2</f>
        <v>120</v>
      </c>
      <c r="H32" s="20"/>
      <c r="I32" s="20"/>
      <c r="J32" s="21" t="s">
        <v>12</v>
      </c>
      <c r="K32" s="22">
        <f>'[29]MD20000.18-DEC'!$B$3</f>
        <v>45716</v>
      </c>
      <c r="L32" s="19">
        <f>'[29]MD20000.18-DEC'!$O$2</f>
        <v>0</v>
      </c>
      <c r="M32" s="19">
        <f>'[29]MD20000.18-DEC'!$O$1</f>
        <v>24000</v>
      </c>
      <c r="N32" s="33"/>
    </row>
    <row r="33" spans="2:15" ht="22.5" customHeight="1" x14ac:dyDescent="0.2">
      <c r="B33" s="17">
        <v>99</v>
      </c>
      <c r="C33" s="18" t="s">
        <v>132</v>
      </c>
      <c r="D33" s="18" t="s">
        <v>122</v>
      </c>
      <c r="E33" s="19">
        <f>'[30]MD50000.15-DEC'!$C$1</f>
        <v>20000</v>
      </c>
      <c r="F33" s="20"/>
      <c r="G33" s="20"/>
      <c r="H33" s="20">
        <f>'[30]MD50000.15-DEC'!$K$1</f>
        <v>0</v>
      </c>
      <c r="I33" s="20">
        <f>'[30]MD50000.15-DEC'!$K$2</f>
        <v>17</v>
      </c>
      <c r="J33" s="21" t="s">
        <v>12</v>
      </c>
      <c r="K33" s="22">
        <f>'[30]MD50000.15-DEC'!$B$3</f>
        <v>45726</v>
      </c>
      <c r="L33" s="19">
        <f>'[30]MD50000.15-DEC'!$O$2</f>
        <v>0</v>
      </c>
      <c r="M33" s="19">
        <f>'[30]MD50000.15-DEC'!$O$1</f>
        <v>23800</v>
      </c>
      <c r="N33" s="33"/>
    </row>
    <row r="34" spans="2:15" ht="22.5" customHeight="1" x14ac:dyDescent="0.2">
      <c r="B34" s="17">
        <v>100</v>
      </c>
      <c r="C34" s="18" t="s">
        <v>133</v>
      </c>
      <c r="D34" s="18" t="s">
        <v>90</v>
      </c>
      <c r="E34" s="19">
        <f>'[31]MD10000.1-OCT'!$C$1</f>
        <v>20000</v>
      </c>
      <c r="F34" s="20">
        <f>'[31]MD10000.1-OCT'!$K$1</f>
        <v>0</v>
      </c>
      <c r="G34" s="20">
        <f>'[31]MD10000.1-OCT'!$K$2</f>
        <v>120</v>
      </c>
      <c r="H34" s="20"/>
      <c r="I34" s="20"/>
      <c r="J34" s="21" t="s">
        <v>12</v>
      </c>
      <c r="K34" s="22">
        <f>'[31]MD10000.1-OCT'!$B$3</f>
        <v>45727</v>
      </c>
      <c r="L34" s="19">
        <f>'[31]MD10000.1-OCT'!$O$2</f>
        <v>0</v>
      </c>
      <c r="M34" s="19">
        <f>'[31]MD10000.1-OCT'!$O$1</f>
        <v>24000</v>
      </c>
      <c r="N34" s="33">
        <f>'[31]MD10000.1-OCT'!$G$2</f>
        <v>45846</v>
      </c>
    </row>
    <row r="35" spans="2:15" ht="22.5" customHeight="1" x14ac:dyDescent="0.2">
      <c r="B35" s="17">
        <v>101</v>
      </c>
      <c r="C35" s="18" t="s">
        <v>57</v>
      </c>
      <c r="D35" s="18" t="s">
        <v>134</v>
      </c>
      <c r="E35" s="19">
        <f>'[32]MD10000.1-OCT'!$C$1</f>
        <v>20000</v>
      </c>
      <c r="F35" s="20"/>
      <c r="G35" s="20"/>
      <c r="H35" s="20">
        <f>'[32]MD10000.1-OCT'!$K$1</f>
        <v>0</v>
      </c>
      <c r="I35" s="20">
        <f>'[32]MD10000.1-OCT'!$K$2</f>
        <v>17</v>
      </c>
      <c r="J35" s="21" t="s">
        <v>12</v>
      </c>
      <c r="K35" s="22">
        <f>'[32]MD10000.1-OCT'!$B$3</f>
        <v>45718</v>
      </c>
      <c r="L35" s="19">
        <f>'[32]MD10000.1-OCT'!$O$2</f>
        <v>0</v>
      </c>
      <c r="M35" s="19">
        <f>'[32]MD10000.1-OCT'!$O$1</f>
        <v>23800</v>
      </c>
      <c r="N35" s="33"/>
    </row>
    <row r="36" spans="2:15" ht="22.5" customHeight="1" x14ac:dyDescent="0.2">
      <c r="B36" s="17">
        <v>102</v>
      </c>
      <c r="C36" s="18" t="s">
        <v>112</v>
      </c>
      <c r="D36" s="18" t="s">
        <v>135</v>
      </c>
      <c r="E36" s="19">
        <f>'[33]MD20000.18-DEC'!$C$1</f>
        <v>30000</v>
      </c>
      <c r="F36" s="20">
        <f>'[33]MD20000.18-DEC'!$K$1</f>
        <v>0</v>
      </c>
      <c r="G36" s="20">
        <f>'[33]MD20000.18-DEC'!$K$2</f>
        <v>120</v>
      </c>
      <c r="H36" s="20"/>
      <c r="I36" s="20"/>
      <c r="J36" s="21" t="s">
        <v>12</v>
      </c>
      <c r="K36" s="22">
        <f>'[33]MD20000.18-DEC'!$B$3</f>
        <v>45762</v>
      </c>
      <c r="L36" s="19">
        <f>'[33]MD20000.18-DEC'!$O$2</f>
        <v>0</v>
      </c>
      <c r="M36" s="19">
        <f>'[33]MD20000.18-DEC'!$O$1</f>
        <v>36000</v>
      </c>
      <c r="N36" s="33">
        <f>'[33]MD20000.18-DEC'!$G$2</f>
        <v>45881</v>
      </c>
    </row>
    <row r="37" spans="2:15" ht="22.5" customHeight="1" x14ac:dyDescent="0.2">
      <c r="B37" s="17">
        <v>103</v>
      </c>
      <c r="C37" s="18" t="s">
        <v>136</v>
      </c>
      <c r="D37" s="18" t="s">
        <v>68</v>
      </c>
      <c r="E37" s="19">
        <f>'[34]MD20000.18-DEC'!$C$1</f>
        <v>10000</v>
      </c>
      <c r="F37" s="20">
        <f>'[34]MD20000.18-DEC'!$K$1</f>
        <v>0</v>
      </c>
      <c r="G37" s="20">
        <f>'[34]MD20000.18-DEC'!$K$2</f>
        <v>120</v>
      </c>
      <c r="H37" s="20"/>
      <c r="I37" s="20"/>
      <c r="J37" s="21" t="s">
        <v>12</v>
      </c>
      <c r="K37" s="22">
        <f>'[34]MD20000.18-DEC'!$B$3</f>
        <v>45772</v>
      </c>
      <c r="L37" s="19">
        <f>'[34]MD20000.18-DEC'!$O$2</f>
        <v>0</v>
      </c>
      <c r="M37" s="19">
        <f>'[34]MD20000.18-DEC'!$O$1</f>
        <v>12000</v>
      </c>
      <c r="N37" s="33">
        <f>'[34]MD20000.18-DEC'!$G$2</f>
        <v>45891</v>
      </c>
    </row>
    <row r="38" spans="2:15" ht="22.5" customHeight="1" x14ac:dyDescent="0.2">
      <c r="B38" s="17">
        <v>104</v>
      </c>
      <c r="C38" s="18" t="s">
        <v>137</v>
      </c>
      <c r="D38" s="18" t="s">
        <v>68</v>
      </c>
      <c r="E38" s="19">
        <f>'[35]MD20000.18-DEC'!$C$1</f>
        <v>10000</v>
      </c>
      <c r="F38" s="20">
        <f>'[35]MD20000.18-DEC'!$K$1</f>
        <v>0</v>
      </c>
      <c r="G38" s="20">
        <f>'[35]MD20000.18-DEC'!$K$2</f>
        <v>120</v>
      </c>
      <c r="H38" s="20"/>
      <c r="I38" s="20"/>
      <c r="J38" s="21" t="s">
        <v>12</v>
      </c>
      <c r="K38" s="22">
        <f>'[35]MD20000.18-DEC'!$B$3</f>
        <v>45772</v>
      </c>
      <c r="L38" s="19">
        <f>'[35]MD20000.18-DEC'!$O$2</f>
        <v>0</v>
      </c>
      <c r="M38" s="19">
        <f>'[35]MD20000.18-DEC'!$O$1</f>
        <v>12000</v>
      </c>
      <c r="N38" s="33">
        <f>'[35]MD20000.18-DEC'!$G$2</f>
        <v>45891</v>
      </c>
    </row>
    <row r="39" spans="2:15" ht="22.5" customHeight="1" x14ac:dyDescent="0.2">
      <c r="B39" s="17">
        <v>105</v>
      </c>
      <c r="C39" s="18" t="s">
        <v>138</v>
      </c>
      <c r="D39" s="18" t="s">
        <v>68</v>
      </c>
      <c r="E39" s="19">
        <f>'[36]MD20000.18-DEC'!$C$1</f>
        <v>10000</v>
      </c>
      <c r="F39" s="20">
        <f>'[36]MD20000.18-DEC'!$K$1</f>
        <v>0</v>
      </c>
      <c r="G39" s="20">
        <f>'[36]MD20000.18-DEC'!$K$2</f>
        <v>120</v>
      </c>
      <c r="H39" s="20"/>
      <c r="I39" s="20"/>
      <c r="J39" s="21" t="s">
        <v>12</v>
      </c>
      <c r="K39" s="22">
        <f>'[36]MD20000.18-DEC'!$B$3</f>
        <v>45772</v>
      </c>
      <c r="L39" s="19">
        <f>'[36]MD20000.18-DEC'!$O$2</f>
        <v>0</v>
      </c>
      <c r="M39" s="19">
        <f>'[36]MD20000.18-DEC'!$O$1</f>
        <v>12000</v>
      </c>
      <c r="N39" s="33">
        <f>'[36]MD20000.18-DEC'!$G$2</f>
        <v>45891</v>
      </c>
    </row>
    <row r="40" spans="2:15" ht="22.5" customHeight="1" x14ac:dyDescent="0.2">
      <c r="B40" s="6">
        <v>106</v>
      </c>
      <c r="C40" s="8" t="s">
        <v>120</v>
      </c>
      <c r="D40" s="14" t="s">
        <v>96</v>
      </c>
      <c r="E40" s="7">
        <f>'[37]MD50000.15-DEC'!$C$1</f>
        <v>50000</v>
      </c>
      <c r="F40" s="8">
        <f>'[37]MD50000.15-DEC'!$K$1</f>
        <v>63</v>
      </c>
      <c r="G40" s="8">
        <f>'[37]MD50000.15-DEC'!$K$2</f>
        <v>57</v>
      </c>
      <c r="H40" s="8"/>
      <c r="I40" s="8"/>
      <c r="J40" s="9" t="s">
        <v>12</v>
      </c>
      <c r="K40" s="10">
        <f>'[37]MD50000.15-DEC'!$B$3</f>
        <v>45769</v>
      </c>
      <c r="L40" s="7">
        <f>'[37]MD50000.15-DEC'!$O$2</f>
        <v>31500</v>
      </c>
      <c r="M40" s="7">
        <f>'[37]MD50000.15-DEC'!$O$1</f>
        <v>28500</v>
      </c>
      <c r="N40" s="10">
        <f>'[37]MD50000.15-DEC'!$G$2</f>
        <v>45888</v>
      </c>
      <c r="O40" s="1">
        <v>3500</v>
      </c>
    </row>
    <row r="41" spans="2:15" ht="22.5" customHeight="1" x14ac:dyDescent="0.2">
      <c r="B41" s="17">
        <v>107</v>
      </c>
      <c r="C41" s="18" t="s">
        <v>91</v>
      </c>
      <c r="D41" s="18" t="s">
        <v>90</v>
      </c>
      <c r="E41" s="19">
        <f>'[38]MD10000.1-OCT'!$C$1</f>
        <v>20000</v>
      </c>
      <c r="F41" s="20">
        <f>'[38]MD10000.1-OCT'!$K$1</f>
        <v>0</v>
      </c>
      <c r="G41" s="20">
        <f>'[38]MD10000.1-OCT'!$K$2</f>
        <v>120</v>
      </c>
      <c r="H41" s="20"/>
      <c r="I41" s="20"/>
      <c r="J41" s="21" t="s">
        <v>12</v>
      </c>
      <c r="K41" s="22">
        <f>'[38]MD10000.1-OCT'!$B$3</f>
        <v>45770</v>
      </c>
      <c r="L41" s="19">
        <f>'[38]MD10000.1-OCT'!$O$2</f>
        <v>0</v>
      </c>
      <c r="M41" s="19">
        <f>'[38]MD10000.1-OCT'!$O$1</f>
        <v>24000</v>
      </c>
      <c r="N41" s="33">
        <f>'[38]MD10000.1-OCT'!$G$2</f>
        <v>45889</v>
      </c>
    </row>
    <row r="42" spans="2:15" ht="22.5" customHeight="1" x14ac:dyDescent="0.2">
      <c r="B42" s="6">
        <v>108</v>
      </c>
      <c r="C42" s="8" t="s">
        <v>118</v>
      </c>
      <c r="D42" s="14" t="s">
        <v>139</v>
      </c>
      <c r="E42" s="7">
        <f>'[39]MD20000.15-DEc'!$C$1</f>
        <v>10000</v>
      </c>
      <c r="F42" s="8"/>
      <c r="G42" s="8"/>
      <c r="H42" s="8">
        <f>'[39]MD20000.15-DEc'!$K$1</f>
        <v>3</v>
      </c>
      <c r="I42" s="8">
        <f>'[39]MD20000.15-DEc'!$K$2</f>
        <v>14</v>
      </c>
      <c r="J42" s="9" t="s">
        <v>12</v>
      </c>
      <c r="K42" s="10">
        <f>'[39]MD20000.15-DEc'!$B$3</f>
        <v>45804</v>
      </c>
      <c r="L42" s="7">
        <f>'[39]MD20000.15-DEc'!$O$2</f>
        <v>2100</v>
      </c>
      <c r="M42" s="7">
        <f>'[39]MD20000.15-DEc'!$O$1</f>
        <v>9800</v>
      </c>
      <c r="N42" s="10">
        <f>'[39]MD20000.15-DEc'!$G$2</f>
        <v>45923</v>
      </c>
      <c r="O42" s="1">
        <v>700</v>
      </c>
    </row>
    <row r="43" spans="2:15" ht="22.5" customHeight="1" x14ac:dyDescent="0.2">
      <c r="B43" s="17">
        <v>109</v>
      </c>
      <c r="C43" s="18" t="s">
        <v>107</v>
      </c>
      <c r="D43" s="18" t="s">
        <v>140</v>
      </c>
      <c r="E43" s="19">
        <f>'[40]MD20000.15-DEc'!$C$1</f>
        <v>5000</v>
      </c>
      <c r="F43" s="20"/>
      <c r="G43" s="20"/>
      <c r="H43" s="20">
        <f>'[40]MD20000.15-DEc'!$K$1</f>
        <v>0</v>
      </c>
      <c r="I43" s="20">
        <f>'[40]MD20000.15-DEc'!$K$2</f>
        <v>17</v>
      </c>
      <c r="J43" s="21" t="s">
        <v>12</v>
      </c>
      <c r="K43" s="22">
        <f>'[40]MD20000.15-DEc'!$B$3</f>
        <v>45770</v>
      </c>
      <c r="L43" s="19">
        <f>'[40]MD20000.15-DEc'!$O$2</f>
        <v>0</v>
      </c>
      <c r="M43" s="19">
        <f>'[40]MD20000.15-DEc'!$O$1</f>
        <v>5950</v>
      </c>
      <c r="N43" s="33">
        <f>'[40]MD20000.15-DEc'!$G$2</f>
        <v>45889</v>
      </c>
    </row>
    <row r="44" spans="2:15" ht="22.5" customHeight="1" x14ac:dyDescent="0.2">
      <c r="B44" s="17">
        <v>110</v>
      </c>
      <c r="C44" s="18" t="s">
        <v>141</v>
      </c>
      <c r="D44" s="18" t="s">
        <v>142</v>
      </c>
      <c r="E44" s="19">
        <f>'[41]MD50000.15-DEC'!$C$1</f>
        <v>20000</v>
      </c>
      <c r="F44" s="20"/>
      <c r="G44" s="20"/>
      <c r="H44" s="20">
        <f>'[41]MD50000.15-DEC'!$K$1</f>
        <v>0</v>
      </c>
      <c r="I44" s="20">
        <f>'[41]MD50000.15-DEC'!$K$2</f>
        <v>17</v>
      </c>
      <c r="J44" s="21" t="s">
        <v>12</v>
      </c>
      <c r="K44" s="22">
        <f>'[41]MD50000.15-DEC'!$B$3</f>
        <v>45779</v>
      </c>
      <c r="L44" s="19">
        <f>'[41]MD50000.15-DEC'!$O$2</f>
        <v>0</v>
      </c>
      <c r="M44" s="19">
        <f>'[41]MD50000.15-DEC'!$O$1</f>
        <v>23800</v>
      </c>
      <c r="N44" s="33">
        <f>'[41]MD50000.15-DEC'!$G$2</f>
        <v>45898</v>
      </c>
    </row>
    <row r="45" spans="2:15" ht="22.5" customHeight="1" x14ac:dyDescent="0.2">
      <c r="B45" s="17">
        <v>111</v>
      </c>
      <c r="C45" s="18" t="s">
        <v>143</v>
      </c>
      <c r="D45" s="18" t="s">
        <v>142</v>
      </c>
      <c r="E45" s="19">
        <f>'[42]MD50000.15-DEC'!$C$1</f>
        <v>20000</v>
      </c>
      <c r="F45" s="20"/>
      <c r="G45" s="20"/>
      <c r="H45" s="20">
        <f>'[42]MD50000.15-DEC'!$K$1</f>
        <v>0</v>
      </c>
      <c r="I45" s="20">
        <f>'[42]MD50000.15-DEC'!$K$2</f>
        <v>17</v>
      </c>
      <c r="J45" s="21" t="s">
        <v>12</v>
      </c>
      <c r="K45" s="22">
        <f>'[42]MD50000.15-DEC'!$B$3</f>
        <v>45777</v>
      </c>
      <c r="L45" s="19">
        <f>'[42]MD50000.15-DEC'!$O$2</f>
        <v>0</v>
      </c>
      <c r="M45" s="19">
        <f>'[42]MD50000.15-DEC'!$O$1</f>
        <v>23800</v>
      </c>
      <c r="N45" s="33">
        <f>'[42]MD50000.15-DEC'!$G$2</f>
        <v>45896</v>
      </c>
    </row>
    <row r="46" spans="2:15" ht="22.5" customHeight="1" x14ac:dyDescent="0.2">
      <c r="B46" s="17">
        <v>112</v>
      </c>
      <c r="C46" s="18" t="s">
        <v>121</v>
      </c>
      <c r="D46" s="18" t="s">
        <v>142</v>
      </c>
      <c r="E46" s="19">
        <f>'[43]MD50000.15-DEC'!$C$1</f>
        <v>20000</v>
      </c>
      <c r="F46" s="20"/>
      <c r="G46" s="20"/>
      <c r="H46" s="20">
        <f>'[43]MD50000.15-DEC'!$K$1</f>
        <v>0</v>
      </c>
      <c r="I46" s="20">
        <f>'[43]MD50000.15-DEC'!$K$2</f>
        <v>17</v>
      </c>
      <c r="J46" s="21" t="s">
        <v>12</v>
      </c>
      <c r="K46" s="22">
        <f>'[43]MD50000.15-DEC'!$B$3</f>
        <v>45777</v>
      </c>
      <c r="L46" s="19">
        <f>'[43]MD50000.15-DEC'!$O$2</f>
        <v>0</v>
      </c>
      <c r="M46" s="19">
        <f>'[43]MD50000.15-DEC'!$O$1</f>
        <v>23800</v>
      </c>
      <c r="N46" s="33">
        <f>'[43]MD50000.15-DEC'!$G$2</f>
        <v>45896</v>
      </c>
    </row>
    <row r="47" spans="2:15" ht="22.5" customHeight="1" x14ac:dyDescent="0.2">
      <c r="B47" s="17">
        <v>113</v>
      </c>
      <c r="C47" s="18" t="s">
        <v>144</v>
      </c>
      <c r="D47" s="18" t="s">
        <v>90</v>
      </c>
      <c r="E47" s="19">
        <f>'[44]MD20000.18-DEC'!$C$1</f>
        <v>20000</v>
      </c>
      <c r="F47" s="20">
        <f>'[44]MD20000.18-DEC'!$K$1</f>
        <v>0</v>
      </c>
      <c r="G47" s="20">
        <f>'[44]MD20000.18-DEC'!$K$2</f>
        <v>120</v>
      </c>
      <c r="H47" s="20"/>
      <c r="I47" s="20"/>
      <c r="J47" s="21" t="s">
        <v>125</v>
      </c>
      <c r="K47" s="22">
        <f>'[44]MD20000.18-DEC'!$B$3</f>
        <v>45773</v>
      </c>
      <c r="L47" s="19">
        <f>'[44]MD20000.18-DEC'!$O$2</f>
        <v>0</v>
      </c>
      <c r="M47" s="19">
        <f>'[44]MD20000.18-DEC'!$O$1</f>
        <v>24000</v>
      </c>
      <c r="N47" s="33">
        <f>'[44]MD20000.18-DEC'!$G$2</f>
        <v>45892</v>
      </c>
    </row>
    <row r="48" spans="2:15" ht="22.5" customHeight="1" x14ac:dyDescent="0.2">
      <c r="B48" s="17">
        <v>114</v>
      </c>
      <c r="C48" s="18" t="s">
        <v>145</v>
      </c>
      <c r="D48" s="18" t="s">
        <v>146</v>
      </c>
      <c r="E48" s="19">
        <f>'[45]MD50000.15-DEC'!$C$1</f>
        <v>10000</v>
      </c>
      <c r="F48" s="20"/>
      <c r="G48" s="20"/>
      <c r="H48" s="20">
        <f>'[45]MD50000.15-DEC'!$K$1</f>
        <v>0</v>
      </c>
      <c r="I48" s="20">
        <f>'[45]MD50000.15-DEC'!$K$2</f>
        <v>17</v>
      </c>
      <c r="J48" s="21" t="s">
        <v>125</v>
      </c>
      <c r="K48" s="22">
        <f>'[45]MD50000.15-DEC'!$B$3</f>
        <v>45784</v>
      </c>
      <c r="L48" s="19">
        <f>'[45]MD50000.15-DEC'!$O$2</f>
        <v>0</v>
      </c>
      <c r="M48" s="19">
        <f>'[45]MD50000.15-DEC'!$O$1</f>
        <v>11900</v>
      </c>
      <c r="N48" s="33">
        <f>'[45]MD50000.15-DEC'!$G$2</f>
        <v>45903</v>
      </c>
    </row>
    <row r="49" spans="2:15" ht="22.5" customHeight="1" x14ac:dyDescent="0.2">
      <c r="B49" s="17">
        <v>115</v>
      </c>
      <c r="C49" s="18" t="s">
        <v>147</v>
      </c>
      <c r="D49" s="18" t="s">
        <v>146</v>
      </c>
      <c r="E49" s="19">
        <f>'[45]MD50000.15-DEC'!$C$1</f>
        <v>10000</v>
      </c>
      <c r="F49" s="20"/>
      <c r="G49" s="20"/>
      <c r="H49" s="20">
        <f>'[45]MD50000.15-DEC'!$K$1</f>
        <v>0</v>
      </c>
      <c r="I49" s="20">
        <f>'[45]MD50000.15-DEC'!$K$2</f>
        <v>17</v>
      </c>
      <c r="J49" s="21" t="s">
        <v>125</v>
      </c>
      <c r="K49" s="22">
        <f>'[45]MD50000.15-DEC'!$B$3</f>
        <v>45784</v>
      </c>
      <c r="L49" s="19">
        <f>'[45]MD50000.15-DEC'!$O$2</f>
        <v>0</v>
      </c>
      <c r="M49" s="19">
        <f>'[45]MD50000.15-DEC'!$O$1</f>
        <v>11900</v>
      </c>
      <c r="N49" s="33">
        <f>'[46]MD50000.15-DEC'!$G$2</f>
        <v>45903</v>
      </c>
    </row>
    <row r="50" spans="2:15" ht="22.5" customHeight="1" x14ac:dyDescent="0.2">
      <c r="B50" s="17">
        <v>116</v>
      </c>
      <c r="C50" s="18" t="s">
        <v>148</v>
      </c>
      <c r="D50" s="18" t="s">
        <v>142</v>
      </c>
      <c r="E50" s="19">
        <f>'[47]MD50000.15-DEC'!$C$1</f>
        <v>20000</v>
      </c>
      <c r="F50" s="20"/>
      <c r="G50" s="20"/>
      <c r="H50" s="20">
        <f>'[47]MD50000.15-DEC'!$K$1</f>
        <v>0</v>
      </c>
      <c r="I50" s="20">
        <f>'[47]MD50000.15-DEC'!$K$2</f>
        <v>17</v>
      </c>
      <c r="J50" s="21" t="s">
        <v>125</v>
      </c>
      <c r="K50" s="22">
        <f>'[47]MD50000.15-DEC'!$B$3</f>
        <v>45787</v>
      </c>
      <c r="L50" s="19">
        <f>'[47]MD50000.15-DEC'!$O$2</f>
        <v>0</v>
      </c>
      <c r="M50" s="19">
        <f>'[47]MD50000.15-DEC'!$O$1</f>
        <v>23800</v>
      </c>
      <c r="N50" s="33">
        <f>'[47]MD50000.15-DEC'!$G$2</f>
        <v>45906</v>
      </c>
    </row>
    <row r="51" spans="2:15" ht="22.5" customHeight="1" x14ac:dyDescent="0.2">
      <c r="B51" s="17">
        <v>117</v>
      </c>
      <c r="C51" s="18" t="s">
        <v>149</v>
      </c>
      <c r="D51" s="18" t="s">
        <v>146</v>
      </c>
      <c r="E51" s="19">
        <f>'[48]MD50000.15-DEC'!$C$1</f>
        <v>10000</v>
      </c>
      <c r="F51" s="20"/>
      <c r="G51" s="20"/>
      <c r="H51" s="20">
        <f>'[48]MD50000.15-DEC'!$K$1</f>
        <v>0</v>
      </c>
      <c r="I51" s="20">
        <f>'[48]MD50000.15-DEC'!$K$2</f>
        <v>17</v>
      </c>
      <c r="J51" s="21" t="s">
        <v>12</v>
      </c>
      <c r="K51" s="22">
        <f>'[48]MD50000.15-DEC'!$B$3</f>
        <v>45810</v>
      </c>
      <c r="L51" s="19">
        <f>'[48]MD50000.15-DEC'!$O$2</f>
        <v>0</v>
      </c>
      <c r="M51" s="19">
        <f>'[48]MD50000.15-DEC'!$O$1</f>
        <v>11900</v>
      </c>
      <c r="N51" s="33">
        <f>'[48]MD50000.15-DEC'!$G$2</f>
        <v>45929</v>
      </c>
    </row>
    <row r="52" spans="2:15" ht="22.5" customHeight="1" x14ac:dyDescent="0.2">
      <c r="B52" s="17">
        <v>118</v>
      </c>
      <c r="C52" s="18" t="s">
        <v>150</v>
      </c>
      <c r="D52" s="18" t="s">
        <v>146</v>
      </c>
      <c r="E52" s="19">
        <f>'[49]MD50000.15-DEC'!$C$1</f>
        <v>10000</v>
      </c>
      <c r="F52" s="20"/>
      <c r="G52" s="20"/>
      <c r="H52" s="20">
        <f>'[49]MD50000.15-DEC'!$K$1</f>
        <v>0</v>
      </c>
      <c r="I52" s="20">
        <f>'[49]MD50000.15-DEC'!$K$2</f>
        <v>17</v>
      </c>
      <c r="J52" s="21" t="s">
        <v>125</v>
      </c>
      <c r="K52" s="22">
        <f>'[49]MD50000.15-DEC'!$B$3</f>
        <v>45810</v>
      </c>
      <c r="L52" s="19">
        <f>'[49]MD50000.15-DEC'!$O$2</f>
        <v>0</v>
      </c>
      <c r="M52" s="19">
        <f>'[49]MD50000.15-DEC'!$O$1</f>
        <v>11900</v>
      </c>
      <c r="N52" s="33">
        <f>'[49]MD50000.15-DEC'!$G$2</f>
        <v>45929</v>
      </c>
    </row>
    <row r="53" spans="2:15" ht="22.5" customHeight="1" x14ac:dyDescent="0.2">
      <c r="B53" s="17">
        <v>119</v>
      </c>
      <c r="C53" s="18" t="s">
        <v>151</v>
      </c>
      <c r="D53" s="18" t="s">
        <v>146</v>
      </c>
      <c r="E53" s="19">
        <f>'[50]MD50000.15-DEC'!$C$1</f>
        <v>10000</v>
      </c>
      <c r="F53" s="20"/>
      <c r="G53" s="20"/>
      <c r="H53" s="20">
        <f>'[50]MD50000.15-DEC'!$K$1</f>
        <v>0</v>
      </c>
      <c r="I53" s="20">
        <f>'[50]MD50000.15-DEC'!$K$2</f>
        <v>17</v>
      </c>
      <c r="J53" s="21" t="s">
        <v>12</v>
      </c>
      <c r="K53" s="22">
        <f>'[50]MD50000.15-DEC'!$B$3</f>
        <v>45810</v>
      </c>
      <c r="L53" s="19">
        <f>'[50]MD50000.15-DEC'!$O$2</f>
        <v>0</v>
      </c>
      <c r="M53" s="19">
        <f>'[50]MD50000.15-DEC'!$O$1</f>
        <v>11900</v>
      </c>
      <c r="N53" s="33">
        <f>'[50]MD50000.15-DEC'!$G$2</f>
        <v>45929</v>
      </c>
    </row>
    <row r="54" spans="2:15" ht="22.5" customHeight="1" x14ac:dyDescent="0.2">
      <c r="B54" s="17">
        <v>120</v>
      </c>
      <c r="C54" s="18" t="s">
        <v>152</v>
      </c>
      <c r="D54" s="18" t="s">
        <v>142</v>
      </c>
      <c r="E54" s="19">
        <f>'[51]MD50000.15-DEC'!$C$1</f>
        <v>20000</v>
      </c>
      <c r="F54" s="20"/>
      <c r="G54" s="20"/>
      <c r="H54" s="20">
        <f>'[51]MD50000.15-DEC'!$K$1</f>
        <v>0</v>
      </c>
      <c r="I54" s="20">
        <f>'[51]MD50000.15-DEC'!$K$2</f>
        <v>17</v>
      </c>
      <c r="J54" s="21" t="s">
        <v>125</v>
      </c>
      <c r="K54" s="22">
        <f>'[51]MD50000.15-DEC'!$B$3</f>
        <v>45814</v>
      </c>
      <c r="L54" s="19">
        <f>'[51]MD50000.15-DEC'!$O$2</f>
        <v>0</v>
      </c>
      <c r="M54" s="19">
        <f>'[51]MD50000.15-DEC'!$O$1</f>
        <v>23800</v>
      </c>
      <c r="N54" s="33">
        <f>'[51]MD50000.15-DEC'!$G$2</f>
        <v>45933</v>
      </c>
    </row>
    <row r="55" spans="2:15" ht="22.5" customHeight="1" x14ac:dyDescent="0.2">
      <c r="B55" s="17">
        <v>121</v>
      </c>
      <c r="C55" s="18" t="s">
        <v>153</v>
      </c>
      <c r="D55" s="18" t="s">
        <v>142</v>
      </c>
      <c r="E55" s="19">
        <f>'[52]MD50000.15-DEC'!$C$1</f>
        <v>20000</v>
      </c>
      <c r="F55" s="20"/>
      <c r="G55" s="20"/>
      <c r="H55" s="20">
        <f>'[52]MD50000.15-DEC'!$K$1</f>
        <v>0</v>
      </c>
      <c r="I55" s="20">
        <f>'[52]MD50000.15-DEC'!$K$2</f>
        <v>17</v>
      </c>
      <c r="J55" s="21" t="s">
        <v>125</v>
      </c>
      <c r="K55" s="22">
        <f>'[52]MD50000.15-DEC'!$B$3</f>
        <v>45814</v>
      </c>
      <c r="L55" s="19">
        <f>'[52]MD50000.15-DEC'!$O$2</f>
        <v>0</v>
      </c>
      <c r="M55" s="19">
        <f>'[52]MD50000.15-DEC'!$O$1</f>
        <v>23800</v>
      </c>
      <c r="N55" s="33">
        <f>'[52]MD50000.15-DEC'!$G$2</f>
        <v>45933</v>
      </c>
    </row>
    <row r="56" spans="2:15" ht="22.5" customHeight="1" x14ac:dyDescent="0.2">
      <c r="B56" s="17">
        <v>122</v>
      </c>
      <c r="C56" s="18" t="s">
        <v>155</v>
      </c>
      <c r="D56" s="18" t="s">
        <v>156</v>
      </c>
      <c r="E56" s="19">
        <f>'[53]MD20000.18-DEC'!$C$1</f>
        <v>20000</v>
      </c>
      <c r="F56" s="20">
        <f>'[53]MD20000.18-DEC'!$K$1</f>
        <v>0</v>
      </c>
      <c r="G56" s="20">
        <f>'[53]MD20000.18-DEC'!$K$2</f>
        <v>120</v>
      </c>
      <c r="H56" s="20"/>
      <c r="I56" s="20"/>
      <c r="J56" s="21" t="s">
        <v>125</v>
      </c>
      <c r="K56" s="22">
        <f>'[53]MD20000.18-DEC'!$B$3</f>
        <v>45832</v>
      </c>
      <c r="L56" s="19">
        <f>'[53]MD20000.18-DEC'!$O$2</f>
        <v>0</v>
      </c>
      <c r="M56" s="19">
        <f>'[53]MD20000.18-DEC'!$O$1</f>
        <v>24000</v>
      </c>
      <c r="N56" s="33">
        <f>'[53]MD20000.18-DEC'!$G$2</f>
        <v>45951</v>
      </c>
    </row>
    <row r="57" spans="2:15" ht="19.5" customHeight="1" x14ac:dyDescent="0.2">
      <c r="B57" s="17">
        <v>123</v>
      </c>
      <c r="C57" s="18" t="s">
        <v>131</v>
      </c>
      <c r="D57" s="18" t="s">
        <v>156</v>
      </c>
      <c r="E57" s="19">
        <f>'[54]MD20000.18-DEC'!$C$1</f>
        <v>20000</v>
      </c>
      <c r="F57" s="20">
        <f>'[54]MD20000.18-DEC'!$K$1</f>
        <v>0</v>
      </c>
      <c r="G57" s="20">
        <f>'[54]MD20000.18-DEC'!$K$2</f>
        <v>120</v>
      </c>
      <c r="H57" s="20"/>
      <c r="I57" s="20"/>
      <c r="J57" s="21" t="s">
        <v>125</v>
      </c>
      <c r="K57" s="22">
        <f>'[54]MD20000.18-DEC'!$B$3</f>
        <v>45845</v>
      </c>
      <c r="L57" s="19">
        <f>'[54]MD20000.18-DEC'!$O$2</f>
        <v>0</v>
      </c>
      <c r="M57" s="19">
        <f>'[54]MD20000.18-DEC'!$O$1</f>
        <v>24000</v>
      </c>
      <c r="N57" s="33">
        <f>'[54]MD20000.18-DEC'!$G$2</f>
        <v>45964</v>
      </c>
    </row>
    <row r="58" spans="2:15" ht="19.5" customHeight="1" x14ac:dyDescent="0.2">
      <c r="B58" s="17">
        <v>124</v>
      </c>
      <c r="C58" s="18" t="s">
        <v>157</v>
      </c>
      <c r="D58" s="18" t="s">
        <v>142</v>
      </c>
      <c r="E58" s="19">
        <f>'[55]MD50000.15-DEC'!$C$1</f>
        <v>20000</v>
      </c>
      <c r="F58" s="20"/>
      <c r="G58" s="20"/>
      <c r="H58" s="20">
        <f>'[55]MD50000.15-DEC'!$K$1</f>
        <v>0</v>
      </c>
      <c r="I58" s="20">
        <f>'[55]MD50000.15-DEC'!$K$2</f>
        <v>17</v>
      </c>
      <c r="J58" s="21" t="s">
        <v>125</v>
      </c>
      <c r="K58" s="22">
        <f>'[55]MD50000.15-DEC'!$B$3</f>
        <v>45854</v>
      </c>
      <c r="L58" s="19">
        <f>'[55]MD50000.15-DEC'!$O$2</f>
        <v>0</v>
      </c>
      <c r="M58" s="19">
        <f>'[55]MD50000.15-DEC'!$O$1</f>
        <v>23800</v>
      </c>
      <c r="N58" s="33">
        <f>'[55]MD50000.15-DEC'!$G$2</f>
        <v>45973</v>
      </c>
    </row>
    <row r="59" spans="2:15" ht="22.5" customHeight="1" x14ac:dyDescent="0.2">
      <c r="B59" s="6">
        <v>125</v>
      </c>
      <c r="C59" s="8" t="s">
        <v>158</v>
      </c>
      <c r="D59" s="14" t="s">
        <v>159</v>
      </c>
      <c r="E59" s="7">
        <f>'[56]MD20000.18-DEC'!$C$1</f>
        <v>50000</v>
      </c>
      <c r="F59" s="8"/>
      <c r="G59" s="8"/>
      <c r="H59" s="8">
        <f>'[56]MD20000.18-DEC'!$K$1</f>
        <v>19</v>
      </c>
      <c r="I59" s="8">
        <f>'[56]MD20000.18-DEC'!$K$2</f>
        <v>21</v>
      </c>
      <c r="J59" s="9" t="s">
        <v>12</v>
      </c>
      <c r="K59" s="10">
        <f>'[56]MD20000.18-DEC'!$B$3</f>
        <v>45857</v>
      </c>
      <c r="L59" s="7">
        <f>'[56]MD20000.18-DEC'!$O$2</f>
        <v>38000</v>
      </c>
      <c r="M59" s="7">
        <f>'[56]MD20000.18-DEC'!$O$1</f>
        <v>42000</v>
      </c>
      <c r="N59" s="10">
        <f>'[56]MD20000.18-DEC'!$G$2</f>
        <v>46137</v>
      </c>
      <c r="O59" s="1">
        <v>2000</v>
      </c>
    </row>
    <row r="60" spans="2:15" ht="22.5" customHeight="1" x14ac:dyDescent="0.2">
      <c r="B60" s="17">
        <v>126</v>
      </c>
      <c r="C60" s="18" t="s">
        <v>160</v>
      </c>
      <c r="D60" s="18" t="s">
        <v>161</v>
      </c>
      <c r="E60" s="19">
        <f>'[57]MD20000.18-DEC'!$C$1</f>
        <v>10000</v>
      </c>
      <c r="F60" s="20">
        <f>'[57]MD20000.18-DEC'!$K$1</f>
        <v>0</v>
      </c>
      <c r="G60" s="20">
        <f>'[57]MD20000.18-DEC'!$K$2</f>
        <v>120</v>
      </c>
      <c r="H60" s="20"/>
      <c r="I60" s="20"/>
      <c r="J60" s="21" t="s">
        <v>12</v>
      </c>
      <c r="K60" s="22">
        <f>'[57]MD20000.18-DEC'!$B$3</f>
        <v>45860</v>
      </c>
      <c r="L60" s="19">
        <f>'[57]MD20000.18-DEC'!$O$2</f>
        <v>0</v>
      </c>
      <c r="M60" s="19">
        <f>'[57]MD20000.18-DEC'!$O$1</f>
        <v>12000</v>
      </c>
      <c r="N60" s="33">
        <f>'[57]MD20000.18-DEC'!$G$2</f>
        <v>45979</v>
      </c>
    </row>
    <row r="61" spans="2:15" ht="22.5" customHeight="1" x14ac:dyDescent="0.2">
      <c r="B61" s="17">
        <v>127</v>
      </c>
      <c r="C61" s="18" t="s">
        <v>162</v>
      </c>
      <c r="D61" s="18" t="s">
        <v>142</v>
      </c>
      <c r="E61" s="19">
        <f>'[58]MD10000.1-OCT'!$C$1</f>
        <v>20000</v>
      </c>
      <c r="F61" s="20"/>
      <c r="G61" s="20"/>
      <c r="H61" s="20">
        <f>'[58]MD10000.1-OCT'!$K$1</f>
        <v>0</v>
      </c>
      <c r="I61" s="20">
        <f>'[58]MD10000.1-OCT'!$K$2</f>
        <v>17</v>
      </c>
      <c r="J61" s="21" t="s">
        <v>12</v>
      </c>
      <c r="K61" s="22">
        <f>'[58]MD10000.1-OCT'!$B$3</f>
        <v>45876</v>
      </c>
      <c r="L61" s="19">
        <f>'[58]MD10000.1-OCT'!$O$2</f>
        <v>0</v>
      </c>
      <c r="M61" s="19">
        <f>'[58]MD10000.1-OCT'!$O$1</f>
        <v>23800</v>
      </c>
      <c r="N61" s="33">
        <f>'[58]MD10000.1-OCT'!$G$2</f>
        <v>45995</v>
      </c>
    </row>
    <row r="62" spans="2:15" ht="22.5" customHeight="1" x14ac:dyDescent="0.2">
      <c r="B62" s="17">
        <v>128</v>
      </c>
      <c r="C62" s="18" t="s">
        <v>112</v>
      </c>
      <c r="D62" s="18" t="s">
        <v>164</v>
      </c>
      <c r="E62" s="19">
        <f>'[59]MD20000.18-DEC'!$C$1</f>
        <v>40000</v>
      </c>
      <c r="F62" s="20">
        <f>'[59]MD20000.18-DEC'!$K$1</f>
        <v>0</v>
      </c>
      <c r="G62" s="20">
        <f>'[59]MD20000.18-DEC'!$K$2</f>
        <v>120</v>
      </c>
      <c r="H62" s="20"/>
      <c r="I62" s="20"/>
      <c r="J62" s="21" t="s">
        <v>125</v>
      </c>
      <c r="K62" s="22">
        <f>'[59]MD20000.18-DEC'!$B$3</f>
        <v>45880</v>
      </c>
      <c r="L62" s="19">
        <f>'[59]MD20000.18-DEC'!$O$2</f>
        <v>0</v>
      </c>
      <c r="M62" s="19">
        <f>'[59]MD20000.18-DEC'!$O$1</f>
        <v>48000</v>
      </c>
      <c r="N62" s="33">
        <f>'[59]MD20000.18-DEC'!$G$2</f>
        <v>45999</v>
      </c>
    </row>
    <row r="63" spans="2:15" ht="22.5" customHeight="1" x14ac:dyDescent="0.2">
      <c r="B63" s="17">
        <v>129</v>
      </c>
      <c r="C63" s="18" t="s">
        <v>133</v>
      </c>
      <c r="D63" s="18" t="s">
        <v>165</v>
      </c>
      <c r="E63" s="19">
        <f>'[60]MD10000.1-OCT'!$C$1</f>
        <v>15000</v>
      </c>
      <c r="F63" s="20">
        <f>'[60]MD10000.1-OCT'!$K$1</f>
        <v>0</v>
      </c>
      <c r="G63" s="20">
        <f>'[60]MD10000.1-OCT'!$K$2</f>
        <v>120</v>
      </c>
      <c r="H63" s="20"/>
      <c r="I63" s="20"/>
      <c r="J63" s="21" t="s">
        <v>125</v>
      </c>
      <c r="K63" s="22">
        <f>'[60]MD10000.1-OCT'!$B$3</f>
        <v>45880</v>
      </c>
      <c r="L63" s="19">
        <f>'[60]MD10000.1-OCT'!$O$2</f>
        <v>0</v>
      </c>
      <c r="M63" s="19">
        <f>'[60]MD10000.1-OCT'!$O$1</f>
        <v>18000</v>
      </c>
      <c r="N63" s="33">
        <f>'[60]MD10000.1-OCT'!$G$2</f>
        <v>45999</v>
      </c>
    </row>
    <row r="64" spans="2:15" ht="22.5" customHeight="1" x14ac:dyDescent="0.2">
      <c r="B64" s="17">
        <v>130</v>
      </c>
      <c r="C64" s="18" t="s">
        <v>136</v>
      </c>
      <c r="D64" s="18" t="s">
        <v>161</v>
      </c>
      <c r="E64" s="19">
        <f>'[61]MD20000.18-DEC'!$C$1</f>
        <v>10000</v>
      </c>
      <c r="F64" s="20">
        <f>'[61]MD20000.18-DEC'!$K$1</f>
        <v>0</v>
      </c>
      <c r="G64" s="20">
        <f>'[61]MD20000.18-DEC'!$K$2</f>
        <v>120</v>
      </c>
      <c r="H64" s="20"/>
      <c r="I64" s="20"/>
      <c r="J64" s="21" t="s">
        <v>12</v>
      </c>
      <c r="K64" s="22">
        <f>'[61]MD20000.18-DEC'!$B$3</f>
        <v>45883</v>
      </c>
      <c r="L64" s="19">
        <f>'[61]MD20000.18-DEC'!$O$2</f>
        <v>0</v>
      </c>
      <c r="M64" s="19">
        <f>'[61]MD20000.18-DEC'!$O$1</f>
        <v>12000</v>
      </c>
      <c r="N64" s="33">
        <f>'[61]MD20000.18-DEC'!$G$2</f>
        <v>46002</v>
      </c>
    </row>
    <row r="65" spans="2:15" ht="22.5" customHeight="1" x14ac:dyDescent="0.2">
      <c r="B65" s="17">
        <v>131</v>
      </c>
      <c r="C65" s="18" t="s">
        <v>137</v>
      </c>
      <c r="D65" s="18" t="s">
        <v>161</v>
      </c>
      <c r="E65" s="19">
        <f>'[62]MD20000.18-DEC'!$C$1</f>
        <v>10000</v>
      </c>
      <c r="F65" s="20">
        <f>'[62]MD20000.18-DEC'!$K$1</f>
        <v>0</v>
      </c>
      <c r="G65" s="20">
        <f>'[62]MD20000.18-DEC'!$K$2</f>
        <v>120</v>
      </c>
      <c r="H65" s="20"/>
      <c r="I65" s="20"/>
      <c r="J65" s="21" t="s">
        <v>12</v>
      </c>
      <c r="K65" s="22">
        <f>'[62]MD20000.18-DEC'!$B$3</f>
        <v>45883</v>
      </c>
      <c r="L65" s="19">
        <f>'[62]MD20000.18-DEC'!$O$2</f>
        <v>0</v>
      </c>
      <c r="M65" s="19">
        <f>'[62]MD20000.18-DEC'!$O$1</f>
        <v>12000</v>
      </c>
      <c r="N65" s="33">
        <f>'[62]MD20000.18-DEC'!$G$2</f>
        <v>46002</v>
      </c>
    </row>
    <row r="66" spans="2:15" ht="22.5" customHeight="1" x14ac:dyDescent="0.2">
      <c r="B66" s="17">
        <v>132</v>
      </c>
      <c r="C66" s="18" t="s">
        <v>138</v>
      </c>
      <c r="D66" s="18" t="s">
        <v>161</v>
      </c>
      <c r="E66" s="19">
        <f>'[63]MD20000.18-DEC'!$C$1</f>
        <v>10000</v>
      </c>
      <c r="F66" s="20">
        <f>'[63]MD20000.18-DEC'!$K$1</f>
        <v>0</v>
      </c>
      <c r="G66" s="20">
        <f>'[63]MD20000.18-DEC'!$K$2</f>
        <v>120</v>
      </c>
      <c r="H66" s="20"/>
      <c r="I66" s="20"/>
      <c r="J66" s="21" t="s">
        <v>12</v>
      </c>
      <c r="K66" s="22">
        <f>'[63]MD20000.18-DEC'!$B$3</f>
        <v>45883</v>
      </c>
      <c r="L66" s="19">
        <f>'[63]MD20000.18-DEC'!$O$2</f>
        <v>0</v>
      </c>
      <c r="M66" s="19">
        <f>'[63]MD20000.18-DEC'!$O$1</f>
        <v>12000</v>
      </c>
      <c r="N66" s="33">
        <f>'[63]MD20000.18-DEC'!$G$2</f>
        <v>46002</v>
      </c>
    </row>
    <row r="67" spans="2:15" ht="22.5" customHeight="1" x14ac:dyDescent="0.2">
      <c r="B67" s="6">
        <v>133</v>
      </c>
      <c r="C67" s="8" t="s">
        <v>166</v>
      </c>
      <c r="D67" s="14" t="s">
        <v>142</v>
      </c>
      <c r="E67" s="7">
        <f>'[64]MD50000.15-DEC'!$C$1</f>
        <v>20000</v>
      </c>
      <c r="F67" s="8"/>
      <c r="G67" s="8"/>
      <c r="H67" s="8">
        <f>'[64]MD50000.15-DEC'!$K$1</f>
        <v>3</v>
      </c>
      <c r="I67" s="8">
        <f>'[64]MD50000.15-DEC'!$K$2</f>
        <v>14</v>
      </c>
      <c r="J67" s="9" t="s">
        <v>125</v>
      </c>
      <c r="K67" s="10">
        <f>'[64]MD50000.15-DEC'!$B$3</f>
        <v>45901</v>
      </c>
      <c r="L67" s="7">
        <f>'[64]MD50000.15-DEC'!$O$2</f>
        <v>4200</v>
      </c>
      <c r="M67" s="7">
        <f>'[64]MD50000.15-DEC'!$O$1</f>
        <v>19600</v>
      </c>
      <c r="N67" s="10">
        <f>'[64]MD50000.15-DEC'!$G$2</f>
        <v>46020</v>
      </c>
      <c r="O67" s="1">
        <v>1400</v>
      </c>
    </row>
    <row r="68" spans="2:15" ht="22.5" customHeight="1" x14ac:dyDescent="0.2">
      <c r="B68" s="6">
        <v>134</v>
      </c>
      <c r="C68" s="8" t="s">
        <v>167</v>
      </c>
      <c r="D68" s="14" t="s">
        <v>168</v>
      </c>
      <c r="E68" s="7">
        <f>'[65]MD50000.15-DEC'!$C$1</f>
        <v>10000</v>
      </c>
      <c r="F68" s="8"/>
      <c r="G68" s="8"/>
      <c r="H68" s="8">
        <f>'[65]MD50000.15-DEC'!$K$1</f>
        <v>3</v>
      </c>
      <c r="I68" s="8">
        <f>'[65]MD50000.15-DEC'!$K$2</f>
        <v>14</v>
      </c>
      <c r="J68" s="9" t="s">
        <v>125</v>
      </c>
      <c r="K68" s="10">
        <f>'[65]MD50000.15-DEC'!$B$3</f>
        <v>45901</v>
      </c>
      <c r="L68" s="7">
        <f>'[65]MD50000.15-DEC'!$O$2</f>
        <v>2100</v>
      </c>
      <c r="M68" s="7">
        <f>'[65]MD50000.15-DEC'!$O$1</f>
        <v>9800</v>
      </c>
      <c r="N68" s="10">
        <f>'[65]MD50000.15-DEC'!$G$2</f>
        <v>46020</v>
      </c>
      <c r="O68" s="1">
        <v>700</v>
      </c>
    </row>
    <row r="69" spans="2:15" ht="22.5" customHeight="1" x14ac:dyDescent="0.2">
      <c r="B69" s="6">
        <v>135</v>
      </c>
      <c r="C69" s="8" t="s">
        <v>107</v>
      </c>
      <c r="D69" s="14" t="s">
        <v>139</v>
      </c>
      <c r="E69" s="7">
        <f>'[66]MD20000.15-DEc'!$C$1</f>
        <v>10000</v>
      </c>
      <c r="F69" s="8"/>
      <c r="G69" s="8"/>
      <c r="H69" s="8">
        <f>'[66]MD20000.15-DEc'!$K$1</f>
        <v>8</v>
      </c>
      <c r="I69" s="8">
        <f>'[66]MD20000.15-DEc'!$K$2</f>
        <v>9</v>
      </c>
      <c r="J69" s="9" t="s">
        <v>125</v>
      </c>
      <c r="K69" s="10">
        <f>'[66]MD20000.15-DEc'!$B$3</f>
        <v>45901</v>
      </c>
      <c r="L69" s="7">
        <f>'[66]MD20000.15-DEc'!$O$2</f>
        <v>5600</v>
      </c>
      <c r="M69" s="7">
        <f>'[66]MD20000.15-DEc'!$O$1</f>
        <v>6300</v>
      </c>
      <c r="N69" s="10">
        <f>'[66]MD20000.15-DEc'!$G$2</f>
        <v>46020</v>
      </c>
      <c r="O69" s="1">
        <v>700</v>
      </c>
    </row>
    <row r="70" spans="2:15" ht="22.5" customHeight="1" x14ac:dyDescent="0.2">
      <c r="B70" s="6">
        <v>136</v>
      </c>
      <c r="C70" s="8" t="s">
        <v>86</v>
      </c>
      <c r="D70" s="14" t="s">
        <v>142</v>
      </c>
      <c r="E70" s="7">
        <f>'[67]MD50000.15-DEC'!$C$1</f>
        <v>20000</v>
      </c>
      <c r="F70" s="8"/>
      <c r="G70" s="8"/>
      <c r="H70" s="8">
        <f>'[67]MD50000.15-DEC'!$K$1</f>
        <v>17</v>
      </c>
      <c r="I70" s="8">
        <f>'[67]MD50000.15-DEC'!$K$2</f>
        <v>14</v>
      </c>
      <c r="J70" s="9" t="s">
        <v>125</v>
      </c>
      <c r="K70" s="10">
        <f>'[67]MD50000.15-DEC'!$B$3</f>
        <v>45910</v>
      </c>
      <c r="L70" s="7">
        <f>'[67]MD50000.15-DEC'!$O$2</f>
        <v>4200</v>
      </c>
      <c r="M70" s="7">
        <f>'[67]MD50000.15-DEC'!$O$1</f>
        <v>19600</v>
      </c>
      <c r="N70" s="10">
        <f>'[67]MD50000.15-DEC'!$G$2</f>
        <v>46029</v>
      </c>
      <c r="O70" s="1">
        <v>1400</v>
      </c>
    </row>
    <row r="71" spans="2:15" ht="22.5" customHeight="1" x14ac:dyDescent="0.2">
      <c r="B71" s="6">
        <v>137</v>
      </c>
      <c r="C71" s="8" t="s">
        <v>169</v>
      </c>
      <c r="D71" s="14" t="s">
        <v>142</v>
      </c>
      <c r="E71" s="7">
        <f>'[68]MD50000.15-DEC'!$C$1</f>
        <v>20000</v>
      </c>
      <c r="F71" s="8"/>
      <c r="G71" s="8"/>
      <c r="H71" s="8">
        <f>'[68]MD50000.15-DEC'!$K$1</f>
        <v>6</v>
      </c>
      <c r="I71" s="8">
        <f>'[68]MD50000.15-DEC'!$K$2</f>
        <v>11</v>
      </c>
      <c r="J71" s="9" t="s">
        <v>125</v>
      </c>
      <c r="K71" s="10">
        <f>'[68]MD50000.15-DEC'!$B$3</f>
        <v>45928</v>
      </c>
      <c r="L71" s="7">
        <f>'[68]MD50000.15-DEC'!$O$2</f>
        <v>8400</v>
      </c>
      <c r="M71" s="7">
        <f>'[68]MD50000.15-DEC'!$O$1</f>
        <v>15400</v>
      </c>
      <c r="N71" s="10">
        <f>'[68]MD50000.15-DEC'!$G$2</f>
        <v>46047</v>
      </c>
      <c r="O71" s="1">
        <v>1400</v>
      </c>
    </row>
    <row r="72" spans="2:15" ht="22.5" customHeight="1" x14ac:dyDescent="0.2">
      <c r="B72" s="6">
        <v>138</v>
      </c>
      <c r="C72" s="8" t="s">
        <v>105</v>
      </c>
      <c r="D72" s="14" t="s">
        <v>168</v>
      </c>
      <c r="E72" s="7">
        <f>'[69]MD50000.15-DEC'!$C$1</f>
        <v>10000</v>
      </c>
      <c r="F72" s="8"/>
      <c r="G72" s="8"/>
      <c r="H72" s="8">
        <f>'[69]MD50000.15-DEC'!$K$1</f>
        <v>5</v>
      </c>
      <c r="I72" s="8">
        <f>'[69]MD50000.15-DEC'!$K$2</f>
        <v>12</v>
      </c>
      <c r="J72" s="9" t="s">
        <v>125</v>
      </c>
      <c r="K72" s="10">
        <f>'[69]MD50000.15-DEC'!$B$3</f>
        <v>45928</v>
      </c>
      <c r="L72" s="7">
        <f>'[69]MD50000.15-DEC'!$O$2</f>
        <v>3500</v>
      </c>
      <c r="M72" s="7">
        <f>'[69]MD50000.15-DEC'!$O$1</f>
        <v>8400</v>
      </c>
      <c r="N72" s="10">
        <f>'[69]MD50000.15-DEC'!$G$2</f>
        <v>46047</v>
      </c>
      <c r="O72" s="1">
        <v>700</v>
      </c>
    </row>
    <row r="73" spans="2:15" ht="22.5" customHeight="1" x14ac:dyDescent="0.2">
      <c r="B73" s="6">
        <v>139</v>
      </c>
      <c r="C73" s="8" t="s">
        <v>170</v>
      </c>
      <c r="D73" s="14" t="s">
        <v>142</v>
      </c>
      <c r="E73" s="7">
        <f>'[70]MD50000.15-DEC'!$C$1</f>
        <v>20000</v>
      </c>
      <c r="F73" s="8"/>
      <c r="G73" s="8"/>
      <c r="H73" s="8">
        <f>'[70]MD50000.15-DEC'!$K$1</f>
        <v>6</v>
      </c>
      <c r="I73" s="8">
        <f>'[70]MD50000.15-DEC'!$K$2</f>
        <v>11</v>
      </c>
      <c r="J73" s="9" t="s">
        <v>125</v>
      </c>
      <c r="K73" s="10">
        <f>'[70]MD50000.15-DEC'!$B$3</f>
        <v>45933</v>
      </c>
      <c r="L73" s="7">
        <f>'[70]MD50000.15-DEC'!$O$2</f>
        <v>8400</v>
      </c>
      <c r="M73" s="7">
        <f>'[70]MD50000.15-DEC'!$O$1</f>
        <v>15400</v>
      </c>
      <c r="N73" s="10">
        <f>'[70]MD50000.15-DEC'!$G$2</f>
        <v>46052</v>
      </c>
      <c r="O73" s="1">
        <v>1400</v>
      </c>
    </row>
    <row r="74" spans="2:15" ht="22.5" customHeight="1" x14ac:dyDescent="0.2">
      <c r="B74" s="6">
        <v>140</v>
      </c>
      <c r="C74" s="8" t="s">
        <v>171</v>
      </c>
      <c r="D74" s="14" t="s">
        <v>172</v>
      </c>
      <c r="E74" s="7">
        <f>'[71]MD50000.15-DEC'!$C$1</f>
        <v>100000</v>
      </c>
      <c r="F74" s="8">
        <f>'[71]MD50000.15-DEC'!$K$1</f>
        <v>185</v>
      </c>
      <c r="G74" s="8">
        <f>'[71]MD50000.15-DEC'!$K$2</f>
        <v>15</v>
      </c>
      <c r="H74" s="8"/>
      <c r="I74" s="8"/>
      <c r="J74" s="9" t="s">
        <v>125</v>
      </c>
      <c r="K74" s="10">
        <f>'[71]MD50000.15-DEC'!$B$3</f>
        <v>45929</v>
      </c>
      <c r="L74" s="7">
        <f>'[71]MD50000.15-DEC'!$O$2</f>
        <v>92500</v>
      </c>
      <c r="M74" s="7">
        <f>'[71]MD50000.15-DEC'!$O$1</f>
        <v>7500</v>
      </c>
      <c r="N74" s="10">
        <f>'[71]MD50000.15-DEC'!$G$2</f>
        <v>46128</v>
      </c>
      <c r="O74" s="1">
        <v>3500</v>
      </c>
    </row>
    <row r="75" spans="2:15" ht="22.5" customHeight="1" x14ac:dyDescent="0.2">
      <c r="B75" s="6">
        <v>141</v>
      </c>
      <c r="C75" s="8" t="s">
        <v>116</v>
      </c>
      <c r="D75" s="14"/>
      <c r="E75" s="7">
        <v>300000</v>
      </c>
      <c r="F75" s="8"/>
      <c r="G75" s="8"/>
      <c r="H75" s="8"/>
      <c r="I75" s="8"/>
      <c r="J75" s="9"/>
      <c r="K75" s="10"/>
      <c r="L75" s="7">
        <v>300000</v>
      </c>
      <c r="M75" s="7"/>
      <c r="N75" s="10"/>
      <c r="O75" s="1">
        <v>1850</v>
      </c>
    </row>
    <row r="76" spans="2:15" ht="22.5" customHeight="1" x14ac:dyDescent="0.2">
      <c r="B76" s="6">
        <v>142</v>
      </c>
      <c r="C76" s="8" t="s">
        <v>173</v>
      </c>
      <c r="D76" s="14" t="s">
        <v>96</v>
      </c>
      <c r="E76" s="7">
        <f>'[72]MD20000.18-DEC'!$C$1</f>
        <v>50000</v>
      </c>
      <c r="F76" s="8">
        <f>'[72]MD20000.18-DEC'!$K$1</f>
        <v>57</v>
      </c>
      <c r="G76" s="8">
        <f>'[72]MD20000.18-DEC'!$K$2</f>
        <v>63</v>
      </c>
      <c r="H76" s="8"/>
      <c r="I76" s="8"/>
      <c r="J76" s="9" t="s">
        <v>125</v>
      </c>
      <c r="K76" s="10">
        <f>'[72]MD20000.18-DEC'!$B$3</f>
        <v>45947</v>
      </c>
      <c r="L76" s="7">
        <f>'[72]MD20000.18-DEC'!$O$2</f>
        <v>28500</v>
      </c>
      <c r="M76" s="7">
        <f>'[72]MD20000.18-DEC'!$O$1</f>
        <v>31500</v>
      </c>
      <c r="N76" s="10">
        <f>'[72]MD20000.18-DEC'!$G$2</f>
        <v>46066</v>
      </c>
      <c r="O76" s="1">
        <v>3500</v>
      </c>
    </row>
    <row r="77" spans="2:15" ht="22.5" customHeight="1" x14ac:dyDescent="0.2">
      <c r="B77" s="6">
        <v>143</v>
      </c>
      <c r="C77" s="8" t="s">
        <v>160</v>
      </c>
      <c r="D77" s="14" t="s">
        <v>94</v>
      </c>
      <c r="E77" s="7">
        <f>'[73]MD20000.18-DEC'!$C$1</f>
        <v>15000</v>
      </c>
      <c r="F77" s="8">
        <f>'[73]MD20000.18-DEC'!$K$1</f>
        <v>66</v>
      </c>
      <c r="G77" s="8">
        <f>'[73]MD20000.18-DEC'!$K$2</f>
        <v>54</v>
      </c>
      <c r="H77" s="8"/>
      <c r="I77" s="8"/>
      <c r="J77" s="9" t="s">
        <v>125</v>
      </c>
      <c r="K77" s="10">
        <f>'[73]MD20000.18-DEC'!$B$3</f>
        <v>45950</v>
      </c>
      <c r="L77" s="7">
        <f>'[73]MD20000.18-DEC'!$O$2</f>
        <v>9900</v>
      </c>
      <c r="M77" s="7">
        <f>'[73]MD20000.18-DEC'!$O$1</f>
        <v>8100</v>
      </c>
      <c r="N77" s="10">
        <f>'[73]MD20000.18-DEC'!$G$2</f>
        <v>46069</v>
      </c>
      <c r="O77" s="1">
        <v>1050</v>
      </c>
    </row>
    <row r="78" spans="2:15" ht="22.5" customHeight="1" x14ac:dyDescent="0.2">
      <c r="B78" s="6">
        <v>144</v>
      </c>
      <c r="C78" s="8" t="s">
        <v>174</v>
      </c>
      <c r="D78" s="14" t="s">
        <v>175</v>
      </c>
      <c r="E78" s="7">
        <f>'[74]MD20000.18-DEC'!$C$1</f>
        <v>20000</v>
      </c>
      <c r="F78" s="8">
        <f>'[74]MD20000.18-DEC'!$K$1</f>
        <v>74</v>
      </c>
      <c r="G78" s="8">
        <f>'[74]MD20000.18-DEC'!$K$2</f>
        <v>46</v>
      </c>
      <c r="H78" s="8"/>
      <c r="I78" s="8"/>
      <c r="J78" s="9" t="s">
        <v>125</v>
      </c>
      <c r="K78" s="10">
        <f>'[74]MD20000.18-DEC'!$B$3</f>
        <v>45961</v>
      </c>
      <c r="L78" s="7">
        <f>'[74]MD20000.18-DEC'!$O$2</f>
        <v>14800</v>
      </c>
      <c r="M78" s="7">
        <f>'[74]MD20000.18-DEC'!$O$1</f>
        <v>9200</v>
      </c>
      <c r="N78" s="10">
        <f>'[74]MD20000.18-DEC'!$G$2</f>
        <v>46080</v>
      </c>
      <c r="O78" s="1">
        <v>1400</v>
      </c>
    </row>
    <row r="79" spans="2:15" ht="22.5" customHeight="1" x14ac:dyDescent="0.2">
      <c r="B79" s="6">
        <v>145</v>
      </c>
      <c r="C79" s="8" t="s">
        <v>176</v>
      </c>
      <c r="D79" s="14" t="s">
        <v>142</v>
      </c>
      <c r="E79" s="7">
        <f>'[75]MD50000.15-DEC'!$C$1</f>
        <v>20000</v>
      </c>
      <c r="F79" s="8"/>
      <c r="G79" s="8"/>
      <c r="H79" s="8">
        <f>'[75]MD50000.15-DEC'!$K$1</f>
        <v>12</v>
      </c>
      <c r="I79" s="8">
        <f>'[75]MD50000.15-DEC'!$K$2</f>
        <v>5</v>
      </c>
      <c r="J79" s="9" t="s">
        <v>125</v>
      </c>
      <c r="K79" s="10">
        <f>'[75]MD50000.15-DEC'!$B$3</f>
        <v>45975</v>
      </c>
      <c r="L79" s="7">
        <f>'[75]MD50000.15-DEC'!$O$2</f>
        <v>16800</v>
      </c>
      <c r="M79" s="7">
        <f>'[75]MD50000.15-DEC'!$O$1</f>
        <v>7000</v>
      </c>
      <c r="N79" s="10">
        <f>'[75]MD50000.15-DEC'!$G$2</f>
        <v>46094</v>
      </c>
      <c r="O79" s="1">
        <v>1400</v>
      </c>
    </row>
    <row r="80" spans="2:15" ht="22.5" customHeight="1" x14ac:dyDescent="0.2">
      <c r="B80" s="6">
        <v>146</v>
      </c>
      <c r="C80" s="8" t="s">
        <v>177</v>
      </c>
      <c r="D80" s="14" t="s">
        <v>175</v>
      </c>
      <c r="E80" s="7">
        <f>'[76]MD20000.18-DEC'!$C$1</f>
        <v>20000</v>
      </c>
      <c r="F80" s="8">
        <f>'[76]MD20000.18-DEC'!$K$1</f>
        <v>75</v>
      </c>
      <c r="G80" s="8">
        <f>'[76]MD20000.18-DEC'!$K$2</f>
        <v>45</v>
      </c>
      <c r="H80" s="8"/>
      <c r="I80" s="8"/>
      <c r="J80" s="9" t="s">
        <v>12</v>
      </c>
      <c r="K80" s="10">
        <f>'[76]MD20000.18-DEC'!$B$3</f>
        <v>45978</v>
      </c>
      <c r="L80" s="7">
        <f>'[76]MD20000.18-DEC'!$O$2</f>
        <v>15000</v>
      </c>
      <c r="M80" s="7">
        <f>'[76]MD20000.18-DEC'!$O$1</f>
        <v>9000</v>
      </c>
      <c r="N80" s="10">
        <f>'[76]MD20000.18-DEC'!$G$2</f>
        <v>46097</v>
      </c>
      <c r="O80" s="1">
        <v>1400</v>
      </c>
    </row>
    <row r="81" spans="2:15" ht="22.5" customHeight="1" x14ac:dyDescent="0.2">
      <c r="B81" s="6">
        <v>147</v>
      </c>
      <c r="C81" s="8" t="s">
        <v>152</v>
      </c>
      <c r="D81" s="14" t="s">
        <v>175</v>
      </c>
      <c r="E81" s="7">
        <f>'[77]MD50000.15-DEC'!$C$1</f>
        <v>20000</v>
      </c>
      <c r="F81" s="8">
        <f>'[77]MD50000.15-DEC'!$K$1</f>
        <v>92</v>
      </c>
      <c r="G81" s="8">
        <f>'[77]MD50000.15-DEC'!$K$2</f>
        <v>28</v>
      </c>
      <c r="H81" s="8"/>
      <c r="I81" s="8"/>
      <c r="J81" s="9" t="s">
        <v>125</v>
      </c>
      <c r="K81" s="10">
        <f>'[77]MD50000.15-DEC'!$B$3</f>
        <v>45981</v>
      </c>
      <c r="L81" s="7">
        <f>'[77]MD50000.15-DEC'!$O$2</f>
        <v>18400</v>
      </c>
      <c r="M81" s="7">
        <f>'[77]MD50000.15-DEC'!$O$1</f>
        <v>5600</v>
      </c>
      <c r="N81" s="10">
        <f>'[77]MD50000.15-DEC'!$G$2</f>
        <v>46100</v>
      </c>
      <c r="O81" s="1">
        <v>1400</v>
      </c>
    </row>
    <row r="82" spans="2:15" ht="22.5" customHeight="1" x14ac:dyDescent="0.2">
      <c r="B82" s="6">
        <v>148</v>
      </c>
      <c r="C82" s="8" t="s">
        <v>112</v>
      </c>
      <c r="D82" s="8" t="s">
        <v>164</v>
      </c>
      <c r="E82" s="7">
        <f>'[78]MD20000.18-DEC'!$C$1</f>
        <v>40000</v>
      </c>
      <c r="F82" s="8">
        <f>'[78]MD20000.18-DEC'!$K$1</f>
        <v>82</v>
      </c>
      <c r="G82" s="8">
        <f>'[78]MD20000.18-DEC'!$K$2</f>
        <v>38</v>
      </c>
      <c r="H82" s="8"/>
      <c r="I82" s="8"/>
      <c r="J82" s="9" t="s">
        <v>125</v>
      </c>
      <c r="K82" s="10">
        <f>'[78]MD20000.18-DEC'!$B$3</f>
        <v>45983</v>
      </c>
      <c r="L82" s="7">
        <f>'[78]MD20000.18-DEC'!$O$2</f>
        <v>32800</v>
      </c>
      <c r="M82" s="7">
        <f>'[78]MD20000.18-DEC'!$O$1</f>
        <v>15200</v>
      </c>
      <c r="N82" s="10">
        <f>'[78]MD20000.18-DEC'!$G$2</f>
        <v>46102</v>
      </c>
      <c r="O82" s="1">
        <v>2800</v>
      </c>
    </row>
    <row r="83" spans="2:15" ht="22.5" customHeight="1" x14ac:dyDescent="0.2">
      <c r="B83" s="6">
        <v>149</v>
      </c>
      <c r="C83" s="8" t="s">
        <v>162</v>
      </c>
      <c r="D83" s="8" t="s">
        <v>142</v>
      </c>
      <c r="E83" s="7">
        <f>'[79]MD10000.1-OCT'!$C$1</f>
        <v>20000</v>
      </c>
      <c r="F83" s="8"/>
      <c r="G83" s="8"/>
      <c r="H83" s="8">
        <f>'[79]MD10000.1-OCT'!$K$1</f>
        <v>15</v>
      </c>
      <c r="I83" s="8">
        <f>'[79]MD10000.1-OCT'!$K$2</f>
        <v>2</v>
      </c>
      <c r="J83" s="9" t="s">
        <v>125</v>
      </c>
      <c r="K83" s="10">
        <f>'[79]MD10000.1-OCT'!$B$3</f>
        <v>45997</v>
      </c>
      <c r="L83" s="7">
        <f>'[79]MD10000.1-OCT'!$O$2</f>
        <v>21000</v>
      </c>
      <c r="M83" s="7">
        <f>'[79]MD10000.1-OCT'!$O$1</f>
        <v>2800</v>
      </c>
      <c r="N83" s="10">
        <f>'[79]MD10000.1-OCT'!$G$2</f>
        <v>46116</v>
      </c>
      <c r="O83" s="1">
        <v>1400</v>
      </c>
    </row>
    <row r="84" spans="2:15" ht="22.5" customHeight="1" x14ac:dyDescent="0.2">
      <c r="B84" s="6">
        <v>150</v>
      </c>
      <c r="C84" s="8" t="s">
        <v>178</v>
      </c>
      <c r="D84" s="14" t="s">
        <v>175</v>
      </c>
      <c r="E84" s="7">
        <f>'[80]MD10000.1-OCT'!$C$1</f>
        <v>20000</v>
      </c>
      <c r="F84" s="8">
        <f>'[80]MD10000.1-OCT'!$K$1</f>
        <v>112</v>
      </c>
      <c r="G84" s="8">
        <f>'[80]MD10000.1-OCT'!$K$2</f>
        <v>8</v>
      </c>
      <c r="H84" s="8"/>
      <c r="I84" s="8"/>
      <c r="J84" s="9" t="s">
        <v>125</v>
      </c>
      <c r="K84" s="10">
        <f>'[80]MD10000.1-OCT'!$B$3</f>
        <v>45992</v>
      </c>
      <c r="L84" s="7">
        <f>'[80]MD10000.1-OCT'!$O$2</f>
        <v>22400</v>
      </c>
      <c r="M84" s="7">
        <f>'[80]MD10000.1-OCT'!$O$1</f>
        <v>1600</v>
      </c>
      <c r="N84" s="10">
        <f>'[80]MD10000.1-OCT'!$G$2</f>
        <v>46111</v>
      </c>
      <c r="O84" s="1">
        <v>1400</v>
      </c>
    </row>
    <row r="85" spans="2:15" ht="22.5" customHeight="1" x14ac:dyDescent="0.2">
      <c r="B85" s="6">
        <v>151</v>
      </c>
      <c r="C85" s="8" t="s">
        <v>144</v>
      </c>
      <c r="D85" s="14" t="s">
        <v>179</v>
      </c>
      <c r="E85" s="7">
        <f>'[81]MD20000.18-DEC'!$C$1</f>
        <v>16000</v>
      </c>
      <c r="F85" s="8">
        <f>'[81]MD20000.18-DEC'!$K$1</f>
        <v>114</v>
      </c>
      <c r="G85" s="8">
        <f>'[81]MD20000.18-DEC'!$K$2</f>
        <v>6</v>
      </c>
      <c r="H85" s="8"/>
      <c r="I85" s="8"/>
      <c r="J85" s="9" t="s">
        <v>125</v>
      </c>
      <c r="K85" s="10">
        <f>'[81]MD20000.18-DEC'!$B$3</f>
        <v>45998</v>
      </c>
      <c r="L85" s="7">
        <f>'[81]MD20000.18-DEC'!$O$2</f>
        <v>18240</v>
      </c>
      <c r="M85" s="7">
        <f>'[81]MD20000.18-DEC'!$O$1</f>
        <v>960</v>
      </c>
      <c r="N85" s="10">
        <f>'[81]MD20000.18-DEC'!$G$2</f>
        <v>46117</v>
      </c>
      <c r="O85" s="1">
        <v>1120</v>
      </c>
    </row>
    <row r="86" spans="2:15" ht="22.5" customHeight="1" x14ac:dyDescent="0.2">
      <c r="B86" s="6">
        <v>152</v>
      </c>
      <c r="C86" s="8" t="s">
        <v>149</v>
      </c>
      <c r="D86" s="14" t="s">
        <v>175</v>
      </c>
      <c r="E86" s="7">
        <f>'[82]MD20000.18-DEC'!$C$1</f>
        <v>20000</v>
      </c>
      <c r="F86" s="8">
        <f>'[82]MD20000.18-DEC'!$K$1</f>
        <v>114</v>
      </c>
      <c r="G86" s="8">
        <f>'[82]MD20000.18-DEC'!$K$2</f>
        <v>6</v>
      </c>
      <c r="H86" s="8"/>
      <c r="I86" s="8"/>
      <c r="J86" s="9" t="s">
        <v>125</v>
      </c>
      <c r="K86" s="10">
        <f>'[82]MD20000.18-DEC'!$B$3</f>
        <v>46006</v>
      </c>
      <c r="L86" s="7">
        <f>'[82]MD20000.18-DEC'!$O$2</f>
        <v>22800</v>
      </c>
      <c r="M86" s="7">
        <f>'[82]MD20000.18-DEC'!$O$1</f>
        <v>1200</v>
      </c>
      <c r="N86" s="10">
        <f>'[82]MD20000.18-DEC'!$B$3</f>
        <v>46006</v>
      </c>
      <c r="O86" s="1">
        <v>1400</v>
      </c>
    </row>
    <row r="87" spans="2:15" ht="22.5" customHeight="1" x14ac:dyDescent="0.2">
      <c r="B87" s="6">
        <v>153</v>
      </c>
      <c r="C87" s="8" t="s">
        <v>180</v>
      </c>
      <c r="D87" s="14" t="s">
        <v>181</v>
      </c>
      <c r="E87" s="7">
        <f>'[83]MD50000.15-DEC'!$C$1</f>
        <v>15000</v>
      </c>
      <c r="F87" s="8"/>
      <c r="G87" s="8"/>
      <c r="H87" s="8">
        <f>'[83]MD50000.15-DEC'!$K$1</f>
        <v>16</v>
      </c>
      <c r="I87" s="8">
        <f>'[83]MD50000.15-DEC'!$K$2</f>
        <v>1</v>
      </c>
      <c r="J87" s="9" t="s">
        <v>125</v>
      </c>
      <c r="K87" s="10">
        <f>'[83]MD50000.15-DEC'!$B$3</f>
        <v>46012</v>
      </c>
      <c r="L87" s="7">
        <f>'[83]MD50000.15-DEC'!$O$2</f>
        <v>16800</v>
      </c>
      <c r="M87" s="7">
        <f>'[83]MD50000.15-DEC'!$O$1</f>
        <v>1050</v>
      </c>
      <c r="N87" s="10">
        <f>'[83]MD50000.15-DEC'!$G$2</f>
        <v>46131</v>
      </c>
      <c r="O87" s="1">
        <v>1050</v>
      </c>
    </row>
    <row r="88" spans="2:15" ht="22.5" customHeight="1" x14ac:dyDescent="0.2">
      <c r="B88" s="6">
        <v>154</v>
      </c>
      <c r="C88" s="8" t="s">
        <v>136</v>
      </c>
      <c r="D88" s="14" t="s">
        <v>183</v>
      </c>
      <c r="E88" s="7">
        <f>'[84]MD20000.18-DEC'!$C$1</f>
        <v>10000</v>
      </c>
      <c r="F88" s="8">
        <f>'[84]MD20000.18-DEC'!$K$1</f>
        <v>120</v>
      </c>
      <c r="G88" s="8">
        <f>'[84]MD20000.18-DEC'!$K$2</f>
        <v>0</v>
      </c>
      <c r="H88" s="8"/>
      <c r="I88" s="8"/>
      <c r="J88" s="9" t="s">
        <v>125</v>
      </c>
      <c r="K88" s="10">
        <f>'[84]MD20000.18-DEC'!$B$3</f>
        <v>0</v>
      </c>
      <c r="L88" s="7">
        <f>'[84]MD20000.18-DEC'!$O$2</f>
        <v>12000</v>
      </c>
      <c r="M88" s="7">
        <f>'[84]MD20000.18-DEC'!$O$1</f>
        <v>0</v>
      </c>
      <c r="N88" s="10">
        <f>'[84]MD20000.18-DEC'!$B$3</f>
        <v>0</v>
      </c>
      <c r="O88" s="1">
        <v>700</v>
      </c>
    </row>
    <row r="89" spans="2:15" ht="22.5" customHeight="1" x14ac:dyDescent="0.2">
      <c r="B89" s="6">
        <v>155</v>
      </c>
      <c r="C89" s="8" t="s">
        <v>182</v>
      </c>
      <c r="D89" s="14" t="s">
        <v>161</v>
      </c>
      <c r="E89" s="7">
        <f>'[85]MD20000.18-DEC'!$C$1</f>
        <v>10000</v>
      </c>
      <c r="F89" s="8">
        <f>'[85]MD20000.18-DEC'!$K$1</f>
        <v>120</v>
      </c>
      <c r="G89" s="8">
        <f>'[85]MD20000.18-DEC'!$K$2</f>
        <v>0</v>
      </c>
      <c r="H89" s="8"/>
      <c r="I89" s="8"/>
      <c r="J89" s="9" t="s">
        <v>125</v>
      </c>
      <c r="K89" s="10">
        <f>'[85]MD20000.18-DEC'!$B$3</f>
        <v>0</v>
      </c>
      <c r="L89" s="7">
        <f>'[85]MD20000.18-DEC'!$O$2</f>
        <v>12000</v>
      </c>
      <c r="M89" s="7">
        <f>'[85]MD20000.18-DEC'!$O$1</f>
        <v>0</v>
      </c>
      <c r="N89" s="10">
        <f>'[85]MD20000.18-DEC'!$G$2</f>
        <v>119</v>
      </c>
      <c r="O89" s="1">
        <v>700</v>
      </c>
    </row>
    <row r="90" spans="2:15" ht="22.5" customHeight="1" x14ac:dyDescent="0.2">
      <c r="B90" s="6">
        <v>156</v>
      </c>
      <c r="C90" s="8" t="s">
        <v>138</v>
      </c>
      <c r="D90" s="14" t="s">
        <v>161</v>
      </c>
      <c r="E90" s="7">
        <f>'[86]MD20000.18-DEC'!$C$1</f>
        <v>10000</v>
      </c>
      <c r="F90" s="8">
        <f>'[86]MD20000.18-DEC'!$K$1</f>
        <v>120</v>
      </c>
      <c r="G90" s="8">
        <f>'[86]MD20000.18-DEC'!$K$2</f>
        <v>0</v>
      </c>
      <c r="H90" s="8"/>
      <c r="I90" s="8"/>
      <c r="J90" s="9" t="s">
        <v>125</v>
      </c>
      <c r="K90" s="10">
        <f>'[86]MD20000.18-DEC'!$B$3</f>
        <v>0</v>
      </c>
      <c r="L90" s="7">
        <f>'[86]MD20000.18-DEC'!$O$2</f>
        <v>12000</v>
      </c>
      <c r="M90" s="7">
        <f>'[86]MD20000.18-DEC'!$O$1</f>
        <v>0</v>
      </c>
      <c r="N90" s="10">
        <f>'[86]MD20000.18-DEC'!$G$2</f>
        <v>119</v>
      </c>
      <c r="O90" s="1">
        <v>700</v>
      </c>
    </row>
    <row r="91" spans="2:15" ht="22.5" customHeight="1" x14ac:dyDescent="0.2">
      <c r="B91" s="6">
        <v>157</v>
      </c>
      <c r="C91" s="8" t="s">
        <v>133</v>
      </c>
      <c r="D91" s="14" t="s">
        <v>184</v>
      </c>
      <c r="E91" s="7">
        <f>'[87]MD20000.18-DEC'!$C$1</f>
        <v>20000</v>
      </c>
      <c r="F91" s="8">
        <f>'[87]MD20000.18-DEC'!$K$1</f>
        <v>120</v>
      </c>
      <c r="G91" s="8">
        <f>'[87]MD20000.18-DEC'!$K$2</f>
        <v>0</v>
      </c>
      <c r="H91" s="8"/>
      <c r="I91" s="8"/>
      <c r="J91" s="9" t="s">
        <v>125</v>
      </c>
      <c r="K91" s="10">
        <f>'[87]MD20000.18-DEC'!$B$3</f>
        <v>0</v>
      </c>
      <c r="L91" s="7">
        <f>'[87]MD20000.18-DEC'!$O$2</f>
        <v>24000</v>
      </c>
      <c r="M91" s="7">
        <f>'[87]MD20000.18-DEC'!$O$1</f>
        <v>0</v>
      </c>
      <c r="N91" s="10">
        <f>'[87]MD20000.18-DEC'!$G$2</f>
        <v>119</v>
      </c>
      <c r="O91" s="1">
        <v>1400</v>
      </c>
    </row>
    <row r="92" spans="2:15" ht="22.5" customHeight="1" x14ac:dyDescent="0.2">
      <c r="B92" s="6"/>
      <c r="C92" s="8"/>
      <c r="D92" s="14"/>
      <c r="E92" s="7"/>
      <c r="F92" s="8"/>
      <c r="G92" s="8"/>
      <c r="H92" s="8"/>
      <c r="I92" s="8"/>
      <c r="J92" s="9"/>
      <c r="K92" s="10"/>
      <c r="L92" s="7"/>
      <c r="M92" s="7"/>
      <c r="N92" s="10"/>
    </row>
    <row r="93" spans="2:15" ht="22.5" customHeight="1" x14ac:dyDescent="0.2">
      <c r="B93" s="6"/>
      <c r="C93" s="8"/>
      <c r="D93" s="14"/>
      <c r="E93" s="7"/>
      <c r="F93" s="8"/>
      <c r="G93" s="8"/>
      <c r="H93" s="8"/>
      <c r="I93" s="8"/>
      <c r="J93" s="9"/>
      <c r="K93" s="10"/>
      <c r="L93" s="7"/>
      <c r="M93" s="7"/>
      <c r="N93" s="10"/>
    </row>
    <row r="94" spans="2:15" ht="22.5" customHeight="1" x14ac:dyDescent="0.2">
      <c r="B94" s="6"/>
      <c r="C94" s="8"/>
      <c r="D94" s="14"/>
      <c r="E94" s="7"/>
      <c r="F94" s="8"/>
      <c r="G94" s="8"/>
      <c r="H94" s="8"/>
      <c r="I94" s="8"/>
      <c r="J94" s="9"/>
      <c r="K94" s="10"/>
      <c r="L94" s="7"/>
      <c r="M94" s="7"/>
      <c r="N94" s="10"/>
    </row>
    <row r="95" spans="2:15" ht="22.5" customHeight="1" x14ac:dyDescent="0.2">
      <c r="B95" s="6"/>
      <c r="C95" s="8"/>
      <c r="D95" s="14"/>
      <c r="E95" s="7"/>
      <c r="F95" s="8"/>
      <c r="G95" s="8"/>
      <c r="H95" s="8"/>
      <c r="I95" s="8"/>
      <c r="J95" s="9"/>
      <c r="K95" s="10"/>
      <c r="L95" s="7"/>
      <c r="M95" s="7"/>
      <c r="N95" s="10"/>
    </row>
    <row r="96" spans="2:15" ht="22.5" customHeight="1" x14ac:dyDescent="0.2">
      <c r="B96" s="6"/>
      <c r="C96" s="8"/>
      <c r="D96" s="14"/>
      <c r="E96" s="7"/>
      <c r="F96" s="8"/>
      <c r="G96" s="8"/>
      <c r="H96" s="8"/>
      <c r="I96" s="8"/>
      <c r="J96" s="9"/>
      <c r="K96" s="10"/>
      <c r="L96" s="7"/>
      <c r="M96" s="7"/>
      <c r="N96" s="10"/>
    </row>
    <row r="97" spans="2:14" ht="22.5" customHeight="1" x14ac:dyDescent="0.2">
      <c r="B97" s="6"/>
      <c r="C97" s="8"/>
      <c r="D97" s="14"/>
      <c r="E97" s="7"/>
      <c r="F97" s="8"/>
      <c r="G97" s="8"/>
      <c r="H97" s="8"/>
      <c r="I97" s="8"/>
      <c r="J97" s="9"/>
      <c r="K97" s="10"/>
      <c r="L97" s="7"/>
      <c r="M97" s="7"/>
      <c r="N97" s="10"/>
    </row>
    <row r="98" spans="2:14" ht="22.5" customHeight="1" x14ac:dyDescent="0.2">
      <c r="B98" s="6"/>
      <c r="C98" s="8"/>
      <c r="D98" s="14"/>
      <c r="E98" s="7"/>
      <c r="F98" s="8"/>
      <c r="G98" s="8"/>
      <c r="H98" s="8"/>
      <c r="I98" s="8"/>
      <c r="J98" s="9"/>
      <c r="K98" s="10"/>
      <c r="L98" s="7"/>
      <c r="M98" s="7"/>
      <c r="N98" s="10"/>
    </row>
    <row r="99" spans="2:14" ht="22.5" customHeight="1" x14ac:dyDescent="0.2">
      <c r="B99" s="6"/>
      <c r="C99" s="8"/>
      <c r="D99" s="14"/>
      <c r="E99" s="7"/>
      <c r="F99" s="8"/>
      <c r="G99" s="8"/>
      <c r="H99" s="8"/>
      <c r="I99" s="8"/>
      <c r="J99" s="9"/>
      <c r="K99" s="10"/>
      <c r="L99" s="7"/>
      <c r="M99" s="7"/>
      <c r="N99" s="10"/>
    </row>
    <row r="100" spans="2:14" ht="22.5" customHeight="1" x14ac:dyDescent="0.2">
      <c r="B100" s="6"/>
      <c r="C100" s="8"/>
      <c r="D100" s="14"/>
      <c r="E100" s="7"/>
      <c r="F100" s="8"/>
      <c r="G100" s="8"/>
      <c r="H100" s="8"/>
      <c r="I100" s="8"/>
      <c r="J100" s="9"/>
      <c r="K100" s="10"/>
      <c r="L100" s="7"/>
      <c r="M100" s="7"/>
      <c r="N100" s="10"/>
    </row>
  </sheetData>
  <mergeCells count="3">
    <mergeCell ref="B2:C2"/>
    <mergeCell ref="I2:K2"/>
    <mergeCell ref="L2:M2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100"/>
  <sheetViews>
    <sheetView topLeftCell="A82" zoomScale="70" zoomScaleNormal="70" workbookViewId="0">
      <selection activeCell="B89" sqref="B89:M89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3" width="15" style="1" customWidth="1"/>
    <col min="14" max="14" width="15.28515625" style="1" customWidth="1"/>
    <col min="15" max="15" width="11.85546875" style="1" customWidth="1"/>
    <col min="16" max="16" width="10.28515625" style="1" bestFit="1" customWidth="1"/>
    <col min="17" max="17" width="15.85546875" style="1" bestFit="1" customWidth="1"/>
    <col min="18" max="16384" width="9.140625" style="1"/>
  </cols>
  <sheetData>
    <row r="2" spans="2:17" ht="22.5" customHeight="1" x14ac:dyDescent="0.2">
      <c r="B2" s="34" t="s">
        <v>8</v>
      </c>
      <c r="C2" s="35"/>
      <c r="I2" s="36" t="s">
        <v>21</v>
      </c>
      <c r="J2" s="37"/>
      <c r="K2" s="38"/>
      <c r="L2" s="39">
        <f>SUM(L5:L108)</f>
        <v>491200</v>
      </c>
      <c r="M2" s="40"/>
      <c r="N2" s="1">
        <f>SUM(N5:N117)</f>
        <v>36900</v>
      </c>
      <c r="Q2" s="1">
        <f>14900+260750</f>
        <v>275650</v>
      </c>
    </row>
    <row r="3" spans="2:17" ht="18" x14ac:dyDescent="0.2">
      <c r="C3" s="2"/>
      <c r="D3" s="3"/>
      <c r="E3" s="4"/>
      <c r="F3" s="2"/>
      <c r="G3" s="4"/>
      <c r="H3" s="5"/>
      <c r="K3" s="3"/>
      <c r="M3" s="3"/>
    </row>
    <row r="4" spans="2:17" ht="40.5" customHeight="1" x14ac:dyDescent="0.2">
      <c r="B4" s="11" t="s">
        <v>6</v>
      </c>
      <c r="C4" s="11" t="s">
        <v>1</v>
      </c>
      <c r="D4" s="11" t="s">
        <v>0</v>
      </c>
      <c r="E4" s="11" t="s">
        <v>9</v>
      </c>
      <c r="F4" s="11" t="s">
        <v>3</v>
      </c>
      <c r="G4" s="11" t="s">
        <v>4</v>
      </c>
      <c r="H4" s="11" t="s">
        <v>16</v>
      </c>
      <c r="I4" s="11" t="s">
        <v>17</v>
      </c>
      <c r="J4" s="11" t="s">
        <v>5</v>
      </c>
      <c r="K4" s="11" t="s">
        <v>7</v>
      </c>
      <c r="L4" s="11" t="s">
        <v>10</v>
      </c>
      <c r="M4" s="11" t="s">
        <v>11</v>
      </c>
    </row>
    <row r="5" spans="2:17" ht="22.5" customHeight="1" x14ac:dyDescent="0.2">
      <c r="B5" s="17">
        <v>1</v>
      </c>
      <c r="C5" s="18" t="s">
        <v>2</v>
      </c>
      <c r="D5" s="18" t="s">
        <v>18</v>
      </c>
      <c r="E5" s="19">
        <f>'[88]SM5000.1-SEPT'!$C$1</f>
        <v>5000</v>
      </c>
      <c r="F5" s="20">
        <f>'[88]SM5000.1-SEPT'!$K$1</f>
        <v>0</v>
      </c>
      <c r="G5" s="20">
        <f>'[88]SM5000.1-SEPT'!$K$2</f>
        <v>60</v>
      </c>
      <c r="H5" s="20"/>
      <c r="I5" s="20"/>
      <c r="J5" s="21" t="s">
        <v>22</v>
      </c>
      <c r="K5" s="22">
        <f>'[88]SM5000.1-SEPT'!$B$3</f>
        <v>45180</v>
      </c>
      <c r="L5" s="19">
        <f>'[88]SM5000.1-SEPT'!$O$2</f>
        <v>0</v>
      </c>
      <c r="M5" s="19">
        <f>'[88]SM5000.1-SEPT'!$O$1</f>
        <v>6000</v>
      </c>
    </row>
    <row r="6" spans="2:17" ht="22.5" customHeight="1" x14ac:dyDescent="0.2">
      <c r="B6" s="17">
        <v>2</v>
      </c>
      <c r="C6" s="18" t="s">
        <v>2</v>
      </c>
      <c r="D6" s="18" t="s">
        <v>18</v>
      </c>
      <c r="E6" s="19">
        <f>'[88]SM5000.1-oct'!$C$1</f>
        <v>5000</v>
      </c>
      <c r="F6" s="20">
        <f>'[88]SM5000.1-oct'!$K$1</f>
        <v>0</v>
      </c>
      <c r="G6" s="20">
        <f>'[88]SM5000.1-oct'!$K$2</f>
        <v>60</v>
      </c>
      <c r="H6" s="20"/>
      <c r="I6" s="20"/>
      <c r="J6" s="21" t="s">
        <v>22</v>
      </c>
      <c r="K6" s="22">
        <f>'[88]SM5000.1-oct'!$B$3</f>
        <v>45201</v>
      </c>
      <c r="L6" s="19">
        <f>'[88]SM5000.1-oct'!$O$2</f>
        <v>0</v>
      </c>
      <c r="M6" s="19">
        <f>'[88]SM5000.1-oct'!$O$1</f>
        <v>6000</v>
      </c>
    </row>
    <row r="7" spans="2:17" ht="22.5" customHeight="1" x14ac:dyDescent="0.2">
      <c r="B7" s="17">
        <v>3</v>
      </c>
      <c r="C7" s="18" t="s">
        <v>13</v>
      </c>
      <c r="D7" s="18" t="s">
        <v>19</v>
      </c>
      <c r="E7" s="19">
        <f>'[89]MD10000.1-OCT'!$C$1</f>
        <v>10000</v>
      </c>
      <c r="F7" s="20">
        <f>'[89]MD10000.1-OCT'!$K$1</f>
        <v>0</v>
      </c>
      <c r="G7" s="20">
        <f>'[89]MD10000.1-OCT'!$K$2</f>
        <v>120</v>
      </c>
      <c r="H7" s="20"/>
      <c r="I7" s="20"/>
      <c r="J7" s="21" t="s">
        <v>22</v>
      </c>
      <c r="K7" s="22">
        <f>'[89]MD10000.1-OCT'!$B$3</f>
        <v>45212</v>
      </c>
      <c r="L7" s="19">
        <f>'[89]MD10000.1-OCT'!$O$2</f>
        <v>0</v>
      </c>
      <c r="M7" s="19">
        <f>'[89]MD10000.1-OCT'!$O$1</f>
        <v>12000</v>
      </c>
    </row>
    <row r="8" spans="2:17" ht="22.5" customHeight="1" x14ac:dyDescent="0.2">
      <c r="B8" s="17">
        <v>4</v>
      </c>
      <c r="C8" s="18" t="s">
        <v>14</v>
      </c>
      <c r="D8" s="18" t="s">
        <v>19</v>
      </c>
      <c r="E8" s="19">
        <f>'[90]MD10000.1-OCT'!$C$1</f>
        <v>10000</v>
      </c>
      <c r="F8" s="20">
        <f>'[90]MD10000.1-OCT'!$K$1</f>
        <v>0</v>
      </c>
      <c r="G8" s="20">
        <f>'[90]MD10000.1-OCT'!$K$2</f>
        <v>120</v>
      </c>
      <c r="H8" s="20"/>
      <c r="I8" s="20"/>
      <c r="J8" s="21" t="s">
        <v>22</v>
      </c>
      <c r="K8" s="22">
        <f>'[90]MD10000.1-OCT'!$B$3</f>
        <v>45213</v>
      </c>
      <c r="L8" s="19">
        <f>'[90]MD10000.1-OCT'!$O$2</f>
        <v>0</v>
      </c>
      <c r="M8" s="19">
        <f>'[90]MD10000.1-OCT'!$O$1</f>
        <v>12000</v>
      </c>
    </row>
    <row r="9" spans="2:17" ht="22.5" customHeight="1" x14ac:dyDescent="0.2">
      <c r="B9" s="17">
        <v>5</v>
      </c>
      <c r="C9" s="18" t="s">
        <v>15</v>
      </c>
      <c r="D9" s="18" t="s">
        <v>20</v>
      </c>
      <c r="E9" s="19">
        <f>'[91]MD10000.20-OCT'!$C$1</f>
        <v>10000</v>
      </c>
      <c r="F9" s="20"/>
      <c r="G9" s="20"/>
      <c r="H9" s="20">
        <f>'[91]MD10000.20-OCT'!$K$1</f>
        <v>0</v>
      </c>
      <c r="I9" s="20">
        <f>'[91]MD10000.20-OCT'!$K$2</f>
        <v>17</v>
      </c>
      <c r="J9" s="21" t="s">
        <v>51</v>
      </c>
      <c r="K9" s="22">
        <f>'[91]MD10000.20-OCT'!$B$3</f>
        <v>45226</v>
      </c>
      <c r="L9" s="19">
        <f>'[91]MD10000.20-OCT'!$O$2</f>
        <v>0</v>
      </c>
      <c r="M9" s="19">
        <f>'[91]MD10000.20-OCT'!$O$1</f>
        <v>12000</v>
      </c>
    </row>
    <row r="10" spans="2:17" ht="22.5" customHeight="1" x14ac:dyDescent="0.2">
      <c r="B10" s="17">
        <v>6</v>
      </c>
      <c r="C10" s="18" t="s">
        <v>2</v>
      </c>
      <c r="D10" s="18" t="s">
        <v>18</v>
      </c>
      <c r="E10" s="19">
        <f>'[92]SM5000.1-SEPT (2)'!$C$1</f>
        <v>5000</v>
      </c>
      <c r="F10" s="20">
        <f>'[92]SM5000.1-SEPT (2)'!$K$1</f>
        <v>0</v>
      </c>
      <c r="G10" s="20">
        <f>'[92]SM5000.1-SEPT (2)'!$K$2</f>
        <v>60</v>
      </c>
      <c r="H10" s="20"/>
      <c r="I10" s="20"/>
      <c r="J10" s="21" t="s">
        <v>41</v>
      </c>
      <c r="K10" s="22">
        <f>'[92]SM5000.1-SEPT (2)'!$B$3</f>
        <v>45243</v>
      </c>
      <c r="L10" s="19">
        <f>'[92]SM5000.1-SEPT (2)'!$O$2</f>
        <v>0</v>
      </c>
      <c r="M10" s="19">
        <f>'[92]SM5000.1-SEPT (2)'!$O$1</f>
        <v>6000</v>
      </c>
    </row>
    <row r="11" spans="2:17" ht="22.5" customHeight="1" x14ac:dyDescent="0.2">
      <c r="B11" s="17">
        <v>7</v>
      </c>
      <c r="C11" s="18" t="s">
        <v>23</v>
      </c>
      <c r="D11" s="18" t="s">
        <v>20</v>
      </c>
      <c r="E11" s="19">
        <f>'[93]MD10000.20-OCT'!$C$1</f>
        <v>10000</v>
      </c>
      <c r="F11" s="20"/>
      <c r="G11" s="20"/>
      <c r="H11" s="20">
        <f>'[93]MD10000.20-OCT'!$K$1</f>
        <v>0</v>
      </c>
      <c r="I11" s="20">
        <f>'[93]MD10000.20-OCT'!$K$2</f>
        <v>17</v>
      </c>
      <c r="J11" s="21" t="s">
        <v>51</v>
      </c>
      <c r="K11" s="22">
        <f>'[93]MD10000.20-OCT'!$B$3</f>
        <v>45245</v>
      </c>
      <c r="L11" s="19">
        <f>'[93]MD10000.20-OCT'!$O$2</f>
        <v>0</v>
      </c>
      <c r="M11" s="19">
        <f>'[93]MD10000.20-OCT'!$O$1</f>
        <v>12000</v>
      </c>
    </row>
    <row r="12" spans="2:17" ht="22.5" customHeight="1" x14ac:dyDescent="0.2">
      <c r="B12" s="17">
        <v>8</v>
      </c>
      <c r="C12" s="18" t="s">
        <v>24</v>
      </c>
      <c r="D12" s="18" t="s">
        <v>25</v>
      </c>
      <c r="E12" s="19">
        <f>'[94]MD15000.27-NOV'!$C$1</f>
        <v>15000</v>
      </c>
      <c r="F12" s="20"/>
      <c r="G12" s="20"/>
      <c r="H12" s="20">
        <f>'[94]MD15000.27-NOV'!$K$1</f>
        <v>0</v>
      </c>
      <c r="I12" s="20">
        <f>'[94]MD15000.27-NOV'!$K$2</f>
        <v>17</v>
      </c>
      <c r="J12" s="21" t="s">
        <v>51</v>
      </c>
      <c r="K12" s="22">
        <f>'[94]MD15000.27-NOV'!$B$3</f>
        <v>45266</v>
      </c>
      <c r="L12" s="19">
        <f>'[94]MD15000.27-NOV'!$O$2</f>
        <v>0</v>
      </c>
      <c r="M12" s="19">
        <f>'[94]MD15000.27-NOV'!$O$1</f>
        <v>18000</v>
      </c>
    </row>
    <row r="13" spans="2:17" ht="22.5" customHeight="1" x14ac:dyDescent="0.2">
      <c r="B13" s="17">
        <v>9</v>
      </c>
      <c r="C13" s="18" t="s">
        <v>26</v>
      </c>
      <c r="D13" s="18" t="s">
        <v>29</v>
      </c>
      <c r="E13" s="19">
        <f>'[95]MD20000.15-DEC'!$C$1</f>
        <v>20000</v>
      </c>
      <c r="F13" s="20"/>
      <c r="G13" s="20"/>
      <c r="H13" s="20">
        <f>'[95]MD20000.15-DEC'!$K$1</f>
        <v>0</v>
      </c>
      <c r="I13" s="20">
        <f>'[95]MD20000.15-DEC'!$K$2</f>
        <v>17</v>
      </c>
      <c r="J13" s="21" t="s">
        <v>51</v>
      </c>
      <c r="K13" s="22">
        <f>'[95]MD20000.15-DEC'!$B$3</f>
        <v>45649</v>
      </c>
      <c r="L13" s="19">
        <f>'[95]MD20000.15-DEC'!$O$2</f>
        <v>0</v>
      </c>
      <c r="M13" s="19">
        <f>'[95]MD20000.15-DEC'!$O$1</f>
        <v>24000</v>
      </c>
    </row>
    <row r="14" spans="2:17" ht="22.5" customHeight="1" x14ac:dyDescent="0.2">
      <c r="B14" s="17">
        <v>10</v>
      </c>
      <c r="C14" s="18" t="s">
        <v>27</v>
      </c>
      <c r="D14" s="18" t="s">
        <v>28</v>
      </c>
      <c r="E14" s="19">
        <f>'[96]MD20000.15-DEc'!$C$1</f>
        <v>20000</v>
      </c>
      <c r="F14" s="20"/>
      <c r="G14" s="20"/>
      <c r="H14" s="20">
        <f>'[96]MD20000.15-DEc'!$K$1</f>
        <v>0</v>
      </c>
      <c r="I14" s="20">
        <f>'[96]MD20000.15-DEc'!$K$2</f>
        <v>17</v>
      </c>
      <c r="J14" s="21" t="s">
        <v>51</v>
      </c>
      <c r="K14" s="22">
        <f>'[96]MD20000.15-DEc'!$B$3</f>
        <v>45646</v>
      </c>
      <c r="L14" s="19">
        <f>'[96]MD20000.15-DEc'!$O$2</f>
        <v>0</v>
      </c>
      <c r="M14" s="19">
        <f>'[96]MD20000.15-DEc'!$O$1</f>
        <v>24000</v>
      </c>
    </row>
    <row r="15" spans="2:17" ht="22.5" customHeight="1" x14ac:dyDescent="0.2">
      <c r="B15" s="17">
        <v>11</v>
      </c>
      <c r="C15" s="18" t="s">
        <v>30</v>
      </c>
      <c r="D15" s="18" t="s">
        <v>31</v>
      </c>
      <c r="E15" s="19">
        <f>'[97]MD50000.15-DEC'!$C$1</f>
        <v>50000</v>
      </c>
      <c r="F15" s="20"/>
      <c r="G15" s="20"/>
      <c r="H15" s="20">
        <f>'[97]MD50000.15-DEC'!$K$1</f>
        <v>0</v>
      </c>
      <c r="I15" s="20">
        <f>'[97]MD50000.15-DEC'!$K$2</f>
        <v>48</v>
      </c>
      <c r="J15" s="21" t="s">
        <v>51</v>
      </c>
      <c r="K15" s="22">
        <f>'[97]MD50000.15-DEC'!$B$3</f>
        <v>45648</v>
      </c>
      <c r="L15" s="19">
        <f>'[97]MD50000.15-DEC'!$O$2</f>
        <v>0</v>
      </c>
      <c r="M15" s="19">
        <f>'[97]MD50000.15-DEC'!$O$1</f>
        <v>84000</v>
      </c>
    </row>
    <row r="16" spans="2:17" ht="22.5" customHeight="1" x14ac:dyDescent="0.2">
      <c r="B16" s="17">
        <v>12</v>
      </c>
      <c r="C16" s="18" t="s">
        <v>32</v>
      </c>
      <c r="D16" s="18" t="s">
        <v>33</v>
      </c>
      <c r="E16" s="19">
        <f>'[98]MD20000.18-DEC'!$C$1</f>
        <v>20000</v>
      </c>
      <c r="F16" s="20">
        <f>'[98]MD20000.18-DEC'!$K$1</f>
        <v>0</v>
      </c>
      <c r="G16" s="20">
        <f>'[98]MD20000.18-DEC'!$K$2</f>
        <v>120</v>
      </c>
      <c r="H16" s="20"/>
      <c r="I16" s="20"/>
      <c r="J16" s="21" t="s">
        <v>53</v>
      </c>
      <c r="K16" s="22">
        <f>'[98]MD20000.18-DEC'!$B$3</f>
        <v>45279</v>
      </c>
      <c r="L16" s="19">
        <f>'[98]MD20000.18-DEC'!$O$2</f>
        <v>0</v>
      </c>
      <c r="M16" s="19">
        <f>'[98]MD20000.18-DEC'!$O$1</f>
        <v>24000</v>
      </c>
    </row>
    <row r="17" spans="2:13" ht="22.5" customHeight="1" x14ac:dyDescent="0.2">
      <c r="B17" s="17">
        <v>13</v>
      </c>
      <c r="C17" s="18" t="s">
        <v>34</v>
      </c>
      <c r="D17" s="18" t="s">
        <v>33</v>
      </c>
      <c r="E17" s="19">
        <f>'[99]MD20000.22-DEC'!$C$1</f>
        <v>20000</v>
      </c>
      <c r="F17" s="20">
        <f>'[99]MD20000.22-DEC'!$K$1</f>
        <v>120</v>
      </c>
      <c r="G17" s="20">
        <f>'[99]MD20000.22-DEC'!$K$2</f>
        <v>0</v>
      </c>
      <c r="H17" s="20"/>
      <c r="I17" s="20"/>
      <c r="J17" s="21" t="s">
        <v>51</v>
      </c>
      <c r="K17" s="22">
        <f>'[99]MD20000.22-DEC'!$B$3</f>
        <v>0</v>
      </c>
      <c r="L17" s="19"/>
      <c r="M17" s="19">
        <f>'[99]MD20000.22-DEC'!$O$1</f>
        <v>0</v>
      </c>
    </row>
    <row r="18" spans="2:13" ht="22.5" customHeight="1" x14ac:dyDescent="0.2">
      <c r="B18" s="17">
        <v>14</v>
      </c>
      <c r="C18" s="18" t="s">
        <v>35</v>
      </c>
      <c r="D18" s="18" t="s">
        <v>36</v>
      </c>
      <c r="E18" s="19">
        <f>'[100]MD50000.15-DEC'!$C$1</f>
        <v>10000</v>
      </c>
      <c r="F18" s="20"/>
      <c r="G18" s="20"/>
      <c r="H18" s="20">
        <f>'[100]MD50000.15-DEC'!$K$1</f>
        <v>0</v>
      </c>
      <c r="I18" s="20">
        <f>'[100]MD50000.15-DEC'!$K$2</f>
        <v>48</v>
      </c>
      <c r="J18" s="21" t="s">
        <v>51</v>
      </c>
      <c r="K18" s="22">
        <f>'[100]MD50000.15-DEC'!$B$3</f>
        <v>45310</v>
      </c>
      <c r="L18" s="19">
        <f>'[100]MD50000.15-DEC'!$O$2</f>
        <v>0</v>
      </c>
      <c r="M18" s="19">
        <f>'[100]MD50000.15-DEC'!$O$1</f>
        <v>16800</v>
      </c>
    </row>
    <row r="19" spans="2:13" ht="22.5" customHeight="1" x14ac:dyDescent="0.2">
      <c r="B19" s="17">
        <v>15</v>
      </c>
      <c r="C19" s="18" t="s">
        <v>37</v>
      </c>
      <c r="D19" s="18" t="s">
        <v>18</v>
      </c>
      <c r="E19" s="19">
        <f>'[101]MD5000-Jan24'!$C$1</f>
        <v>5000</v>
      </c>
      <c r="F19" s="20">
        <f>'[101]MD5000-Jan24'!$K$1</f>
        <v>0</v>
      </c>
      <c r="G19" s="20">
        <f>'[101]MD5000-Jan24'!$K$2</f>
        <v>60</v>
      </c>
      <c r="H19" s="20"/>
      <c r="I19" s="20"/>
      <c r="J19" s="21" t="s">
        <v>51</v>
      </c>
      <c r="K19" s="22">
        <f>'[101]MD5000-Jan24'!$B$3</f>
        <v>45302</v>
      </c>
      <c r="L19" s="19">
        <f>'[101]MD5000-Jan24'!$O$2</f>
        <v>0</v>
      </c>
      <c r="M19" s="19">
        <f>'[101]MD5000-Jan24'!$O$1</f>
        <v>6000</v>
      </c>
    </row>
    <row r="20" spans="2:13" ht="22.5" customHeight="1" x14ac:dyDescent="0.2">
      <c r="B20" s="17">
        <v>16</v>
      </c>
      <c r="C20" s="18" t="s">
        <v>38</v>
      </c>
      <c r="D20" s="18" t="s">
        <v>39</v>
      </c>
      <c r="E20" s="19">
        <f>'[102]MD10000.10-JAN'!$C$1</f>
        <v>10000</v>
      </c>
      <c r="F20" s="20"/>
      <c r="G20" s="20"/>
      <c r="H20" s="20">
        <f>'[102]MD10000.10-JAN'!$K$1</f>
        <v>0</v>
      </c>
      <c r="I20" s="20">
        <f>'[102]MD10000.10-JAN'!$K$2</f>
        <v>48</v>
      </c>
      <c r="J20" s="21" t="s">
        <v>12</v>
      </c>
      <c r="K20" s="22">
        <f>'[102]MD10000.10-JAN'!$B$3</f>
        <v>45308</v>
      </c>
      <c r="L20" s="19">
        <f>'[102]MD10000.10-JAN'!$O$2</f>
        <v>0</v>
      </c>
      <c r="M20" s="19">
        <f>'[102]MD10000.10-JAN'!$O$1</f>
        <v>16800</v>
      </c>
    </row>
    <row r="21" spans="2:13" ht="22.5" customHeight="1" x14ac:dyDescent="0.2">
      <c r="B21" s="17">
        <v>17</v>
      </c>
      <c r="C21" s="18" t="s">
        <v>40</v>
      </c>
      <c r="D21" s="18" t="s">
        <v>39</v>
      </c>
      <c r="E21" s="19">
        <f>'[103]MD10000.10-JAN'!$C$1</f>
        <v>10000</v>
      </c>
      <c r="F21" s="20"/>
      <c r="G21" s="20"/>
      <c r="H21" s="20">
        <f>'[103]MD10000.10-JAN'!$K$1</f>
        <v>0</v>
      </c>
      <c r="I21" s="20">
        <f>'[103]MD10000.10-JAN'!$K$2</f>
        <v>48</v>
      </c>
      <c r="J21" s="21" t="s">
        <v>51</v>
      </c>
      <c r="K21" s="22">
        <f>'[103]MD10000.10-JAN'!$B$3</f>
        <v>45308</v>
      </c>
      <c r="L21" s="19">
        <f>'[103]MD10000.10-JAN'!$O$2</f>
        <v>0</v>
      </c>
      <c r="M21" s="19">
        <f>'[103]MD10000.10-JAN'!$O$1</f>
        <v>16800</v>
      </c>
    </row>
    <row r="22" spans="2:13" ht="22.5" customHeight="1" x14ac:dyDescent="0.2">
      <c r="B22" s="17">
        <v>18</v>
      </c>
      <c r="C22" s="18" t="s">
        <v>42</v>
      </c>
      <c r="D22" s="18" t="s">
        <v>43</v>
      </c>
      <c r="E22" s="19">
        <f>'[104]MD10000.20-OCT'!$C$1</f>
        <v>5000</v>
      </c>
      <c r="F22" s="20"/>
      <c r="G22" s="20"/>
      <c r="H22" s="20">
        <f>'[104]MD10000.20-OCT'!$K$1</f>
        <v>0</v>
      </c>
      <c r="I22" s="20">
        <f>'[104]MD10000.20-OCT'!$K$2</f>
        <v>17</v>
      </c>
      <c r="J22" s="21" t="s">
        <v>51</v>
      </c>
      <c r="K22" s="22">
        <f>'[104]MD10000.20-OCT'!$B$3</f>
        <v>45316</v>
      </c>
      <c r="L22" s="19">
        <f>'[104]MD10000.20-OCT'!$O$2</f>
        <v>0</v>
      </c>
      <c r="M22" s="19">
        <f>'[104]MD10000.20-OCT'!$O$1</f>
        <v>6000</v>
      </c>
    </row>
    <row r="23" spans="2:13" ht="22.5" customHeight="1" x14ac:dyDescent="0.2">
      <c r="B23" s="17">
        <v>19</v>
      </c>
      <c r="C23" s="18" t="s">
        <v>44</v>
      </c>
      <c r="D23" s="18" t="s">
        <v>36</v>
      </c>
      <c r="E23" s="19">
        <f>'[105]MD10000.20-OCT'!$C$1</f>
        <v>10000</v>
      </c>
      <c r="F23" s="20"/>
      <c r="G23" s="20"/>
      <c r="H23" s="20">
        <f>'[105]MD10000.20-OCT'!$K$1</f>
        <v>0</v>
      </c>
      <c r="I23" s="20">
        <f>'[105]MD10000.20-OCT'!$K$2</f>
        <v>48</v>
      </c>
      <c r="J23" s="21" t="s">
        <v>51</v>
      </c>
      <c r="K23" s="22">
        <f>'[105]MD10000.20-OCT'!$B$3</f>
        <v>45324</v>
      </c>
      <c r="L23" s="19">
        <f>'[105]MD10000.20-OCT'!$O$2</f>
        <v>0</v>
      </c>
      <c r="M23" s="19">
        <f>'[105]MD10000.20-OCT'!$O$1</f>
        <v>16800</v>
      </c>
    </row>
    <row r="24" spans="2:13" ht="22.5" customHeight="1" x14ac:dyDescent="0.2">
      <c r="B24" s="17">
        <v>20</v>
      </c>
      <c r="C24" s="18" t="s">
        <v>45</v>
      </c>
      <c r="D24" s="18" t="s">
        <v>46</v>
      </c>
      <c r="E24" s="19">
        <f>'[106]MD10000.20-OCT'!$C$1</f>
        <v>10000</v>
      </c>
      <c r="F24" s="20"/>
      <c r="G24" s="20"/>
      <c r="H24" s="20">
        <f>'[106]MD10000.20-OCT'!$K$1</f>
        <v>0</v>
      </c>
      <c r="I24" s="20">
        <f>'[106]MD10000.20-OCT'!$K$2</f>
        <v>48</v>
      </c>
      <c r="J24" s="21" t="s">
        <v>51</v>
      </c>
      <c r="K24" s="22">
        <f>'[106]MD10000.20-OCT'!$B$3</f>
        <v>45327</v>
      </c>
      <c r="L24" s="19">
        <f>'[106]MD10000.20-OCT'!$O$2</f>
        <v>0</v>
      </c>
      <c r="M24" s="19">
        <f>'[106]MD10000.20-OCT'!$O$1</f>
        <v>16800</v>
      </c>
    </row>
    <row r="25" spans="2:13" ht="22.5" customHeight="1" x14ac:dyDescent="0.2">
      <c r="B25" s="17">
        <v>21</v>
      </c>
      <c r="C25" s="18" t="s">
        <v>47</v>
      </c>
      <c r="D25" s="18" t="s">
        <v>18</v>
      </c>
      <c r="E25" s="19">
        <f>'[107]SM5000.1-oct'!$C$1</f>
        <v>5000</v>
      </c>
      <c r="F25" s="20">
        <f>'[107]SM5000.1-oct'!$K$1</f>
        <v>0</v>
      </c>
      <c r="G25" s="20">
        <f>'[107]SM5000.1-oct'!$K$2</f>
        <v>60</v>
      </c>
      <c r="H25" s="20"/>
      <c r="I25" s="20"/>
      <c r="J25" s="21" t="s">
        <v>12</v>
      </c>
      <c r="K25" s="22">
        <f>'[107]SM5000.1-oct'!$B$3</f>
        <v>45323</v>
      </c>
      <c r="L25" s="19">
        <f>'[107]SM5000.1-oct'!$O$2</f>
        <v>0</v>
      </c>
      <c r="M25" s="19">
        <f>'[107]SM5000.1-oct'!$O$1</f>
        <v>6000</v>
      </c>
    </row>
    <row r="26" spans="2:13" ht="22.5" customHeight="1" x14ac:dyDescent="0.2">
      <c r="B26" s="17">
        <v>22</v>
      </c>
      <c r="C26" s="18" t="s">
        <v>49</v>
      </c>
      <c r="D26" s="18" t="s">
        <v>48</v>
      </c>
      <c r="E26" s="19">
        <f>'[108]MD10000.20-OCT'!$C$1</f>
        <v>5000</v>
      </c>
      <c r="F26" s="20"/>
      <c r="G26" s="20"/>
      <c r="H26" s="20">
        <f>'[108]MD10000.20-OCT'!$K$1</f>
        <v>0</v>
      </c>
      <c r="I26" s="20">
        <f>'[108]MD10000.20-OCT'!$K$2</f>
        <v>17</v>
      </c>
      <c r="J26" s="21" t="s">
        <v>51</v>
      </c>
      <c r="K26" s="22">
        <f>'[108]MD10000.20-OCT'!$B$3</f>
        <v>45332</v>
      </c>
      <c r="L26" s="19">
        <f>'[108]MD10000.20-OCT'!$O$2</f>
        <v>0</v>
      </c>
      <c r="M26" s="19">
        <f>'[108]MD10000.20-OCT'!$O$1</f>
        <v>6000</v>
      </c>
    </row>
    <row r="27" spans="2:13" ht="22.5" customHeight="1" x14ac:dyDescent="0.2">
      <c r="B27" s="17">
        <v>23</v>
      </c>
      <c r="C27" s="18" t="s">
        <v>14</v>
      </c>
      <c r="D27" s="18" t="s">
        <v>19</v>
      </c>
      <c r="E27" s="19">
        <f>'[109]MD10000.1-OCT'!$C$1</f>
        <v>10000</v>
      </c>
      <c r="F27" s="20">
        <f>'[109]MD10000.1-OCT'!$K$1</f>
        <v>0</v>
      </c>
      <c r="G27" s="20">
        <f>'[109]MD10000.1-OCT'!$K$2</f>
        <v>120</v>
      </c>
      <c r="H27" s="20"/>
      <c r="I27" s="20"/>
      <c r="J27" s="21" t="s">
        <v>12</v>
      </c>
      <c r="K27" s="22">
        <f>'[109]MD10000.1-OCT'!$B$3</f>
        <v>45339</v>
      </c>
      <c r="L27" s="19">
        <f>'[109]MD10000.1-OCT'!$O$2</f>
        <v>0</v>
      </c>
      <c r="M27" s="19">
        <f>'[109]MD10000.1-OCT'!$O$1</f>
        <v>12000</v>
      </c>
    </row>
    <row r="28" spans="2:13" ht="22.5" customHeight="1" x14ac:dyDescent="0.2">
      <c r="B28" s="17">
        <v>24</v>
      </c>
      <c r="C28" s="18" t="s">
        <v>13</v>
      </c>
      <c r="D28" s="18" t="s">
        <v>19</v>
      </c>
      <c r="E28" s="19">
        <f>'[110]MD10000.1-OCT'!$C$1</f>
        <v>10000</v>
      </c>
      <c r="F28" s="20">
        <f>'[110]MD10000.1-OCT'!$K$1</f>
        <v>0</v>
      </c>
      <c r="G28" s="20">
        <f>'[110]MD10000.1-OCT'!$K$2</f>
        <v>120</v>
      </c>
      <c r="H28" s="20"/>
      <c r="I28" s="20"/>
      <c r="J28" s="21" t="s">
        <v>51</v>
      </c>
      <c r="K28" s="22">
        <f>'[110]MD10000.1-OCT'!$B$3</f>
        <v>45334</v>
      </c>
      <c r="L28" s="19">
        <f>'[110]MD10000.1-OCT'!$O$2</f>
        <v>0</v>
      </c>
      <c r="M28" s="19">
        <f>'[110]MD10000.1-OCT'!$O$1</f>
        <v>12000</v>
      </c>
    </row>
    <row r="29" spans="2:13" ht="22.5" customHeight="1" x14ac:dyDescent="0.2">
      <c r="B29" s="17">
        <v>25</v>
      </c>
      <c r="C29" s="18" t="s">
        <v>23</v>
      </c>
      <c r="D29" s="18" t="s">
        <v>50</v>
      </c>
      <c r="E29" s="19">
        <f>'[111]MD20000.15-DEC'!$C$1</f>
        <v>20000</v>
      </c>
      <c r="F29" s="20"/>
      <c r="G29" s="20"/>
      <c r="H29" s="20">
        <f>'[111]MD20000.15-DEC'!$K$1</f>
        <v>5</v>
      </c>
      <c r="I29" s="20">
        <f>'[111]MD20000.15-DEC'!$K$2</f>
        <v>12</v>
      </c>
      <c r="J29" s="21" t="s">
        <v>51</v>
      </c>
      <c r="K29" s="22">
        <f>'[111]MD20000.15-DEC'!$B$3</f>
        <v>45337</v>
      </c>
      <c r="L29" s="19">
        <f>'[112]MD20000.15-DEC'!$O$2</f>
        <v>0</v>
      </c>
      <c r="M29" s="19">
        <f>'[112]MD20000.15-DEC'!$O$1</f>
        <v>24000</v>
      </c>
    </row>
    <row r="30" spans="2:13" ht="22.5" customHeight="1" x14ac:dyDescent="0.2">
      <c r="B30" s="17">
        <v>26</v>
      </c>
      <c r="C30" s="18" t="s">
        <v>15</v>
      </c>
      <c r="D30" s="18" t="s">
        <v>52</v>
      </c>
      <c r="E30" s="19">
        <f>'[113]MD20000.15-DEC'!$C$1</f>
        <v>20000</v>
      </c>
      <c r="F30" s="20"/>
      <c r="G30" s="20"/>
      <c r="H30" s="20">
        <f>'[113]MD20000.15-DEC'!$K$1</f>
        <v>0</v>
      </c>
      <c r="I30" s="20">
        <f>'[113]MD20000.15-DEC'!$K$2</f>
        <v>17</v>
      </c>
      <c r="J30" s="21" t="s">
        <v>51</v>
      </c>
      <c r="K30" s="22">
        <f>'[113]MD20000.15-DEC'!$B$3</f>
        <v>45345</v>
      </c>
      <c r="L30" s="19">
        <f>'[113]MD20000.15-DEC'!$O$2</f>
        <v>0</v>
      </c>
      <c r="M30" s="19">
        <f>'[113]MD20000.15-DEC'!$O$1</f>
        <v>24000</v>
      </c>
    </row>
    <row r="31" spans="2:13" ht="22.5" customHeight="1" x14ac:dyDescent="0.2">
      <c r="B31" s="17">
        <v>27</v>
      </c>
      <c r="C31" s="18" t="s">
        <v>32</v>
      </c>
      <c r="D31" s="18" t="s">
        <v>33</v>
      </c>
      <c r="E31" s="19">
        <f>'[114]MD20000.18-DEC'!$C$1</f>
        <v>30000</v>
      </c>
      <c r="F31" s="20">
        <f>'[114]MD20000.18-DEC'!$K$1</f>
        <v>0</v>
      </c>
      <c r="G31" s="20">
        <f>'[114]MD20000.18-DEC'!$K$2</f>
        <v>120</v>
      </c>
      <c r="H31" s="20"/>
      <c r="I31" s="20"/>
      <c r="J31" s="21" t="s">
        <v>51</v>
      </c>
      <c r="K31" s="22">
        <f>'[114]MD20000.18-DEC'!$B$3</f>
        <v>45354</v>
      </c>
      <c r="L31" s="19">
        <f>'[114]MD20000.18-DEC'!$O$2</f>
        <v>0</v>
      </c>
      <c r="M31" s="19">
        <f>'[114]MD20000.18-DEC'!$O$1</f>
        <v>36000</v>
      </c>
    </row>
    <row r="32" spans="2:13" ht="22.5" customHeight="1" x14ac:dyDescent="0.2">
      <c r="B32" s="17">
        <v>28</v>
      </c>
      <c r="C32" s="18" t="s">
        <v>54</v>
      </c>
      <c r="D32" s="18" t="s">
        <v>36</v>
      </c>
      <c r="E32" s="19">
        <f>'[115]MD10000.10-JAN'!$C$1</f>
        <v>10000</v>
      </c>
      <c r="F32" s="20"/>
      <c r="G32" s="20"/>
      <c r="H32" s="20">
        <f>'[115]MD10000.10-JAN'!$K$1</f>
        <v>0</v>
      </c>
      <c r="I32" s="20">
        <f>'[115]MD10000.10-JAN'!$K$2</f>
        <v>48</v>
      </c>
      <c r="J32" s="21" t="s">
        <v>12</v>
      </c>
      <c r="K32" s="22">
        <f>'[115]MD10000.10-JAN'!$B$3</f>
        <v>45366</v>
      </c>
      <c r="L32" s="19">
        <f>'[115]MD10000.10-JAN'!$O$2</f>
        <v>0</v>
      </c>
      <c r="M32" s="19">
        <f>'[115]MD10000.10-JAN'!$O$1</f>
        <v>16800</v>
      </c>
    </row>
    <row r="33" spans="2:14" ht="22.5" customHeight="1" x14ac:dyDescent="0.2">
      <c r="B33" s="17">
        <v>29</v>
      </c>
      <c r="C33" s="18" t="s">
        <v>13</v>
      </c>
      <c r="D33" s="18" t="s">
        <v>52</v>
      </c>
      <c r="E33" s="19">
        <f>'[116]MD20000.15-DEc'!$C$1</f>
        <v>20000</v>
      </c>
      <c r="F33" s="20"/>
      <c r="G33" s="20"/>
      <c r="H33" s="20">
        <f>'[116]MD20000.15-DEc'!$K$1</f>
        <v>0</v>
      </c>
      <c r="I33" s="20">
        <f>'[116]MD20000.15-DEc'!$K$2</f>
        <v>17</v>
      </c>
      <c r="J33" s="21" t="s">
        <v>51</v>
      </c>
      <c r="K33" s="22">
        <f>'[116]MD20000.15-DEc'!$B$3</f>
        <v>45380</v>
      </c>
      <c r="L33" s="19">
        <f>'[116]MD20000.15-DEc'!$O$2</f>
        <v>0</v>
      </c>
      <c r="M33" s="19">
        <f>'[116]MD20000.15-DEc'!$O$1</f>
        <v>24000</v>
      </c>
    </row>
    <row r="34" spans="2:14" ht="22.5" customHeight="1" x14ac:dyDescent="0.2">
      <c r="B34" s="17">
        <v>30</v>
      </c>
      <c r="C34" s="18" t="s">
        <v>55</v>
      </c>
      <c r="D34" s="18" t="s">
        <v>36</v>
      </c>
      <c r="E34" s="19">
        <f>'[117]MD10000.10-JAN'!$C$1</f>
        <v>10000</v>
      </c>
      <c r="F34" s="20"/>
      <c r="G34" s="20"/>
      <c r="H34" s="20">
        <f>'[117]MD10000.10-JAN'!$K$1</f>
        <v>0</v>
      </c>
      <c r="I34" s="20">
        <f>'[117]MD10000.10-JAN'!$K$2</f>
        <v>48</v>
      </c>
      <c r="J34" s="21" t="s">
        <v>12</v>
      </c>
      <c r="K34" s="22">
        <f>'[117]MD10000.10-JAN'!$B$3</f>
        <v>45389</v>
      </c>
      <c r="L34" s="19">
        <f>'[117]MD10000.10-JAN'!$O$2</f>
        <v>0</v>
      </c>
      <c r="M34" s="19">
        <f>'[117]MD10000.10-JAN'!$O$1</f>
        <v>16800</v>
      </c>
    </row>
    <row r="35" spans="2:14" ht="22.5" customHeight="1" x14ac:dyDescent="0.2">
      <c r="B35" s="17">
        <v>31</v>
      </c>
      <c r="C35" s="18" t="s">
        <v>56</v>
      </c>
      <c r="D35" s="18" t="s">
        <v>52</v>
      </c>
      <c r="E35" s="19">
        <f>'[118]MD20000.15-DEc'!$C$1</f>
        <v>20000</v>
      </c>
      <c r="F35" s="20"/>
      <c r="G35" s="20"/>
      <c r="H35" s="20">
        <f>'[118]MD20000.15-DEc'!$G$1</f>
        <v>17</v>
      </c>
      <c r="I35" s="20">
        <f>'[118]MD20000.15-DEc'!$K$2</f>
        <v>17</v>
      </c>
      <c r="J35" s="21" t="s">
        <v>77</v>
      </c>
      <c r="K35" s="22">
        <f>'[118]MD20000.15-DEc'!$B$3</f>
        <v>45394</v>
      </c>
      <c r="L35" s="19">
        <f>'[118]MD20000.15-DEc'!$O$2</f>
        <v>0</v>
      </c>
      <c r="M35" s="19">
        <f>'[118]MD20000.15-DEc'!$O$1</f>
        <v>24000</v>
      </c>
    </row>
    <row r="36" spans="2:14" ht="22.5" customHeight="1" x14ac:dyDescent="0.2">
      <c r="B36" s="12">
        <v>32</v>
      </c>
      <c r="C36" s="8" t="s">
        <v>57</v>
      </c>
      <c r="D36" s="14" t="s">
        <v>39</v>
      </c>
      <c r="E36" s="15">
        <f>'[1]MD10000.10-JAN'!$C$1</f>
        <v>10000</v>
      </c>
      <c r="F36" s="13"/>
      <c r="G36" s="13"/>
      <c r="H36" s="13">
        <f>'[1]MD10000.10-JAN'!$G$1</f>
        <v>48</v>
      </c>
      <c r="I36" s="13">
        <f>'[1]MD10000.10-JAN'!$K$2</f>
        <v>48</v>
      </c>
      <c r="J36" s="16" t="s">
        <v>12</v>
      </c>
      <c r="K36" s="14">
        <f>'[1]MD10000.10-JAN'!$B$3</f>
        <v>45399</v>
      </c>
      <c r="L36" s="15">
        <f>'[1]MD10000.10-JAN'!$O$2</f>
        <v>0</v>
      </c>
      <c r="M36" s="15">
        <f>'[1]MD10000.10-JAN'!$O$1</f>
        <v>16800</v>
      </c>
      <c r="N36" s="1">
        <v>350</v>
      </c>
    </row>
    <row r="37" spans="2:14" ht="22.5" customHeight="1" x14ac:dyDescent="0.2">
      <c r="B37" s="17">
        <v>33</v>
      </c>
      <c r="C37" s="18" t="s">
        <v>58</v>
      </c>
      <c r="D37" s="18" t="s">
        <v>52</v>
      </c>
      <c r="E37" s="19">
        <f>'[119]MD20000.15-DEc'!$C$1</f>
        <v>20000</v>
      </c>
      <c r="F37" s="20"/>
      <c r="G37" s="20"/>
      <c r="H37" s="20">
        <f>'[119]MD20000.15-DEc'!$G$1</f>
        <v>17</v>
      </c>
      <c r="I37" s="20">
        <f>'[119]MD20000.15-DEc'!$K$2</f>
        <v>17</v>
      </c>
      <c r="J37" s="21" t="s">
        <v>12</v>
      </c>
      <c r="K37" s="22">
        <f>'[119]MD20000.15-DEc'!$B$3</f>
        <v>45406</v>
      </c>
      <c r="L37" s="19">
        <f>'[119]MD20000.15-DEc'!$O$2</f>
        <v>0</v>
      </c>
      <c r="M37" s="19">
        <f>'[119]MD20000.15-DEc'!$O$1</f>
        <v>24000</v>
      </c>
    </row>
    <row r="38" spans="2:14" ht="22.5" customHeight="1" x14ac:dyDescent="0.2">
      <c r="B38" s="17">
        <v>34</v>
      </c>
      <c r="C38" s="18" t="s">
        <v>59</v>
      </c>
      <c r="D38" s="18" t="s">
        <v>60</v>
      </c>
      <c r="E38" s="19">
        <f>'[120]MD10000.20-OCT'!$C$1</f>
        <v>5000</v>
      </c>
      <c r="F38" s="20"/>
      <c r="G38" s="20"/>
      <c r="H38" s="20">
        <f>'[120]MD10000.20-OCT'!$G$1</f>
        <v>17</v>
      </c>
      <c r="I38" s="20">
        <f>'[120]MD10000.20-OCT'!$K$2</f>
        <v>17</v>
      </c>
      <c r="J38" s="21" t="s">
        <v>77</v>
      </c>
      <c r="K38" s="22">
        <f>'[120]MD10000.20-OCT'!$B$3</f>
        <v>45406</v>
      </c>
      <c r="L38" s="19">
        <f>'[120]MD10000.20-OCT'!$O$2</f>
        <v>0</v>
      </c>
      <c r="M38" s="19">
        <f>'[120]MD10000.20-OCT'!$O$1</f>
        <v>5950</v>
      </c>
    </row>
    <row r="39" spans="2:14" ht="22.5" customHeight="1" x14ac:dyDescent="0.2">
      <c r="B39" s="17">
        <v>35</v>
      </c>
      <c r="C39" s="18" t="s">
        <v>61</v>
      </c>
      <c r="D39" s="18" t="s">
        <v>62</v>
      </c>
      <c r="E39" s="19">
        <f>'[121]MD50000.15-DEC'!$C$1</f>
        <v>40000</v>
      </c>
      <c r="F39" s="20"/>
      <c r="G39" s="20"/>
      <c r="H39" s="20">
        <f>'[121]MD50000.15-DEC'!$K$1</f>
        <v>47</v>
      </c>
      <c r="I39" s="20">
        <f>'[121]MD50000.15-DEC'!$K$2</f>
        <v>1</v>
      </c>
      <c r="J39" s="21" t="s">
        <v>12</v>
      </c>
      <c r="K39" s="22">
        <f>'[121]MD50000.15-DEC'!$B$3</f>
        <v>45416</v>
      </c>
      <c r="L39" s="19">
        <f>'[122]MD50000.15-DEC'!$O$2</f>
        <v>0</v>
      </c>
      <c r="M39" s="19">
        <f>'[121]MD50000.15-DEC'!$O$1</f>
        <v>1400</v>
      </c>
    </row>
    <row r="40" spans="2:14" ht="22.5" customHeight="1" x14ac:dyDescent="0.2">
      <c r="B40" s="17">
        <v>36</v>
      </c>
      <c r="C40" s="18" t="s">
        <v>63</v>
      </c>
      <c r="D40" s="18" t="s">
        <v>85</v>
      </c>
      <c r="E40" s="19">
        <f>'[123]MD10000.20-OCT'!$C$1</f>
        <v>5000</v>
      </c>
      <c r="F40" s="20"/>
      <c r="G40" s="20"/>
      <c r="H40" s="20">
        <f>'[123]MD10000.20-OCT'!$K$1</f>
        <v>0</v>
      </c>
      <c r="I40" s="20">
        <f>'[123]MD10000.20-OCT'!$K$2</f>
        <v>17</v>
      </c>
      <c r="J40" s="21" t="s">
        <v>51</v>
      </c>
      <c r="K40" s="22">
        <f>'[123]MD10000.20-OCT'!$B$3</f>
        <v>45427</v>
      </c>
      <c r="L40" s="19">
        <f>'[123]MD10000.20-OCT'!$O$2</f>
        <v>0</v>
      </c>
      <c r="M40" s="19">
        <f>'[123]MD10000.20-OCT'!$O$1</f>
        <v>6000</v>
      </c>
    </row>
    <row r="41" spans="2:14" ht="22.5" customHeight="1" x14ac:dyDescent="0.2">
      <c r="B41" s="17">
        <v>37</v>
      </c>
      <c r="C41" s="18" t="s">
        <v>64</v>
      </c>
      <c r="D41" s="18" t="s">
        <v>33</v>
      </c>
      <c r="E41" s="19">
        <f>'[124]MD20000.18-DEC'!$C$1</f>
        <v>20000</v>
      </c>
      <c r="F41" s="20">
        <f>'[124]MD20000.18-DEC'!$K$1</f>
        <v>0</v>
      </c>
      <c r="G41" s="20">
        <f>'[124]MD20000.18-DEC'!$K$2</f>
        <v>120</v>
      </c>
      <c r="H41" s="20"/>
      <c r="I41" s="20"/>
      <c r="J41" s="21" t="s">
        <v>77</v>
      </c>
      <c r="K41" s="22">
        <f>'[124]MD20000.18-DEC'!$B$3</f>
        <v>45425</v>
      </c>
      <c r="L41" s="19">
        <f>'[124]MD20000.18-DEC'!$O$2</f>
        <v>0</v>
      </c>
      <c r="M41" s="19">
        <f>'[124]MD20000.18-DEC'!$O$1</f>
        <v>24000</v>
      </c>
    </row>
    <row r="42" spans="2:14" ht="22.5" customHeight="1" x14ac:dyDescent="0.2">
      <c r="B42" s="17">
        <v>38</v>
      </c>
      <c r="C42" s="18" t="s">
        <v>65</v>
      </c>
      <c r="D42" s="18" t="s">
        <v>66</v>
      </c>
      <c r="E42" s="19">
        <f>'[125]MD10000.20-OCT'!$C$1</f>
        <v>5000</v>
      </c>
      <c r="F42" s="20"/>
      <c r="G42" s="20"/>
      <c r="H42" s="20">
        <f>'[125]MD10000.20-OCT'!$K$1</f>
        <v>0</v>
      </c>
      <c r="I42" s="20">
        <f>'[125]MD10000.20-OCT'!$K$2</f>
        <v>17</v>
      </c>
      <c r="J42" s="21" t="s">
        <v>51</v>
      </c>
      <c r="K42" s="22">
        <f>'[125]MD10000.20-OCT'!$B$3</f>
        <v>45436</v>
      </c>
      <c r="L42" s="19">
        <f>'[125]MD10000.20-OCT'!$O$2</f>
        <v>0</v>
      </c>
      <c r="M42" s="19">
        <f>'[125]MD10000.20-OCT'!$O$1</f>
        <v>6000</v>
      </c>
    </row>
    <row r="43" spans="2:14" ht="22.5" customHeight="1" x14ac:dyDescent="0.2">
      <c r="B43" s="17">
        <v>39</v>
      </c>
      <c r="C43" s="18" t="s">
        <v>34</v>
      </c>
      <c r="D43" s="18" t="s">
        <v>33</v>
      </c>
      <c r="E43" s="19">
        <f>'[126]MD20000.22-DEC'!$C$1</f>
        <v>20000</v>
      </c>
      <c r="F43" s="20">
        <f>'[126]MD20000.22-DEC'!$K$1</f>
        <v>0</v>
      </c>
      <c r="G43" s="20">
        <f>'[126]MD20000.22-DEC'!$K$2</f>
        <v>120</v>
      </c>
      <c r="H43" s="20"/>
      <c r="I43" s="20"/>
      <c r="J43" s="21" t="s">
        <v>12</v>
      </c>
      <c r="K43" s="22">
        <f>'[126]MD20000.22-DEC'!$B$3</f>
        <v>45432</v>
      </c>
      <c r="L43" s="19">
        <f>'[126]MD20000.22-DEC'!$O$2</f>
        <v>0</v>
      </c>
      <c r="M43" s="19">
        <f>'[126]MD20000.22-DEC'!$O$1</f>
        <v>24000</v>
      </c>
    </row>
    <row r="44" spans="2:14" ht="22.5" customHeight="1" x14ac:dyDescent="0.2">
      <c r="B44" s="17">
        <v>40</v>
      </c>
      <c r="C44" s="18" t="s">
        <v>67</v>
      </c>
      <c r="D44" s="18" t="s">
        <v>68</v>
      </c>
      <c r="E44" s="19">
        <f>'[127]MD10000.1-OCT'!$C$1</f>
        <v>10000</v>
      </c>
      <c r="F44" s="20">
        <f>'[127]MD10000.1-OCT'!$G$1</f>
        <v>120</v>
      </c>
      <c r="G44" s="20">
        <f>'[127]MD10000.1-OCT'!$K$1</f>
        <v>0</v>
      </c>
      <c r="H44" s="20"/>
      <c r="I44" s="20"/>
      <c r="J44" s="21" t="s">
        <v>77</v>
      </c>
      <c r="K44" s="22">
        <f>'[127]MD10000.1-OCT'!$B$3</f>
        <v>45437</v>
      </c>
      <c r="L44" s="19">
        <f>'[127]MD10000.1-OCT'!$O$2</f>
        <v>0</v>
      </c>
      <c r="M44" s="19">
        <f>'[127]MD10000.1-OCT'!$O$1</f>
        <v>12000</v>
      </c>
    </row>
    <row r="45" spans="2:14" ht="22.5" customHeight="1" x14ac:dyDescent="0.2">
      <c r="B45" s="17">
        <v>41</v>
      </c>
      <c r="C45" s="18" t="s">
        <v>69</v>
      </c>
      <c r="D45" s="18" t="s">
        <v>48</v>
      </c>
      <c r="E45" s="19">
        <f>'[128]MD10000.20-OCT'!$C$1</f>
        <v>5000</v>
      </c>
      <c r="F45" s="20"/>
      <c r="G45" s="20"/>
      <c r="H45" s="20">
        <f>'[128]MD10000.20-OCT'!$K$1</f>
        <v>0</v>
      </c>
      <c r="I45" s="20">
        <f>'[128]MD10000.20-OCT'!$K$2</f>
        <v>17</v>
      </c>
      <c r="J45" s="21" t="s">
        <v>51</v>
      </c>
      <c r="K45" s="22">
        <f>'[128]MD10000.20-OCT'!$B$3</f>
        <v>45444</v>
      </c>
      <c r="L45" s="19"/>
      <c r="M45" s="19">
        <f>'[128]MD10000.20-OCT'!$O$1</f>
        <v>5950</v>
      </c>
    </row>
    <row r="46" spans="2:14" ht="22.5" customHeight="1" x14ac:dyDescent="0.2">
      <c r="B46" s="17">
        <v>42</v>
      </c>
      <c r="C46" s="18" t="s">
        <v>70</v>
      </c>
      <c r="D46" s="18" t="s">
        <v>71</v>
      </c>
      <c r="E46" s="19">
        <f>'[129]MD10000.1-OCT'!$C$1</f>
        <v>10000</v>
      </c>
      <c r="F46" s="20"/>
      <c r="G46" s="20"/>
      <c r="H46" s="20">
        <f>'[130]MD10000.1-OCT'!$K$1</f>
        <v>0</v>
      </c>
      <c r="I46" s="20">
        <f>'[130]MD10000.1-OCT'!$K$2</f>
        <v>17</v>
      </c>
      <c r="J46" s="21" t="s">
        <v>77</v>
      </c>
      <c r="K46" s="22">
        <f>'[129]MD10000.1-OCT'!$B$3</f>
        <v>45450</v>
      </c>
      <c r="L46" s="19">
        <f>'[130]MD10000.1-OCT'!$O$2</f>
        <v>0</v>
      </c>
      <c r="M46" s="19">
        <f>'[130]MD10000.1-OCT'!$O$1</f>
        <v>12000</v>
      </c>
    </row>
    <row r="47" spans="2:14" ht="22.5" customHeight="1" x14ac:dyDescent="0.2">
      <c r="B47" s="17">
        <v>43</v>
      </c>
      <c r="C47" s="18" t="s">
        <v>72</v>
      </c>
      <c r="D47" s="18" t="s">
        <v>33</v>
      </c>
      <c r="E47" s="19">
        <f>'[131]MD20000.22-DEC'!$C$1</f>
        <v>20000</v>
      </c>
      <c r="F47" s="20">
        <f>'[131]MD20000.22-DEC'!$K$1</f>
        <v>0</v>
      </c>
      <c r="G47" s="20">
        <f>'[131]MD20000.22-DEC'!$K$2</f>
        <v>120</v>
      </c>
      <c r="H47" s="20"/>
      <c r="I47" s="20"/>
      <c r="J47" s="21" t="s">
        <v>77</v>
      </c>
      <c r="K47" s="22">
        <f>'[131]MD20000.22-DEC'!$B$3</f>
        <v>45446</v>
      </c>
      <c r="L47" s="19">
        <f>'[131]MD20000.22-DEC'!$O$2</f>
        <v>0</v>
      </c>
      <c r="M47" s="19">
        <f>'[131]MD20000.22-DEC'!$O$1</f>
        <v>24000</v>
      </c>
    </row>
    <row r="48" spans="2:14" ht="22.5" customHeight="1" x14ac:dyDescent="0.2">
      <c r="B48" s="17">
        <v>44</v>
      </c>
      <c r="C48" s="18" t="s">
        <v>73</v>
      </c>
      <c r="D48" s="18" t="s">
        <v>68</v>
      </c>
      <c r="E48" s="19">
        <f>'[132]MD20000.22-DEC'!$C$1</f>
        <v>10000</v>
      </c>
      <c r="F48" s="20">
        <f>'[132]MD20000.22-DEC'!$K$1</f>
        <v>0</v>
      </c>
      <c r="G48" s="20">
        <f>'[132]MD20000.22-DEC'!$K$2</f>
        <v>120</v>
      </c>
      <c r="H48" s="20"/>
      <c r="I48" s="20"/>
      <c r="J48" s="21" t="s">
        <v>77</v>
      </c>
      <c r="K48" s="22">
        <f>'[132]MD20000.22-DEC'!$B$3</f>
        <v>45473</v>
      </c>
      <c r="L48" s="19">
        <f>'[132]MD20000.22-DEC'!$O$2</f>
        <v>0</v>
      </c>
      <c r="M48" s="19">
        <f>'[132]MD20000.22-DEC'!$O$1</f>
        <v>12000</v>
      </c>
    </row>
    <row r="49" spans="2:13" ht="22.5" customHeight="1" x14ac:dyDescent="0.2">
      <c r="B49" s="17">
        <v>45</v>
      </c>
      <c r="C49" s="18" t="s">
        <v>15</v>
      </c>
      <c r="D49" s="18" t="s">
        <v>50</v>
      </c>
      <c r="E49" s="19">
        <f>'[133]MD20000.15-DEc'!$C$1</f>
        <v>20000</v>
      </c>
      <c r="F49" s="20"/>
      <c r="G49" s="20"/>
      <c r="H49" s="20">
        <f>'[133]MD20000.15-DEc'!$K$1</f>
        <v>0</v>
      </c>
      <c r="I49" s="20">
        <f>'[133]MD20000.15-DEc'!$K$2</f>
        <v>17</v>
      </c>
      <c r="J49" s="21" t="s">
        <v>12</v>
      </c>
      <c r="K49" s="22">
        <f>'[133]MD20000.15-DEc'!$B$3</f>
        <v>45495</v>
      </c>
      <c r="L49" s="19">
        <f>'[133]MD20000.15-DEc'!$O$2</f>
        <v>0</v>
      </c>
      <c r="M49" s="19">
        <f>'[133]MD20000.15-DEc'!$O$1</f>
        <v>24000</v>
      </c>
    </row>
    <row r="50" spans="2:13" ht="22.5" customHeight="1" x14ac:dyDescent="0.2">
      <c r="B50" s="17">
        <v>46</v>
      </c>
      <c r="C50" s="18" t="s">
        <v>74</v>
      </c>
      <c r="D50" s="18" t="s">
        <v>75</v>
      </c>
      <c r="E50" s="19">
        <f>'[134]MD20000.15-DEc'!$C$1</f>
        <v>10000</v>
      </c>
      <c r="F50" s="20"/>
      <c r="G50" s="20"/>
      <c r="H50" s="20">
        <f>'[134]MD20000.15-DEc'!$K$1</f>
        <v>0</v>
      </c>
      <c r="I50" s="20">
        <f>'[134]MD20000.15-DEc'!$K$2</f>
        <v>17</v>
      </c>
      <c r="J50" s="21" t="s">
        <v>12</v>
      </c>
      <c r="K50" s="22">
        <f>'[134]MD20000.15-DEc'!$B$3</f>
        <v>45496</v>
      </c>
      <c r="L50" s="19">
        <f>'[134]MD20000.15-DEc'!$O$2</f>
        <v>0</v>
      </c>
      <c r="M50" s="19">
        <f>'[134]MD20000.15-DEc'!$O$1</f>
        <v>12000</v>
      </c>
    </row>
    <row r="51" spans="2:13" ht="22.5" customHeight="1" x14ac:dyDescent="0.2">
      <c r="B51" s="17">
        <v>47</v>
      </c>
      <c r="C51" s="18" t="s">
        <v>32</v>
      </c>
      <c r="D51" s="18" t="s">
        <v>33</v>
      </c>
      <c r="E51" s="19">
        <f>'[135]MD20000.18-DEC'!$C$1</f>
        <v>20000</v>
      </c>
      <c r="F51" s="20">
        <f>'[135]MD20000.18-DEC'!$K$1</f>
        <v>0</v>
      </c>
      <c r="G51" s="20">
        <f>'[135]MD20000.18-DEC'!$K$2</f>
        <v>120</v>
      </c>
      <c r="H51" s="20"/>
      <c r="I51" s="20"/>
      <c r="J51" s="21" t="s">
        <v>12</v>
      </c>
      <c r="K51" s="22">
        <f>'[135]MD20000.18-DEC'!$B$3</f>
        <v>45493</v>
      </c>
      <c r="L51" s="19">
        <f>'[135]MD20000.18-DEC'!$O$2</f>
        <v>0</v>
      </c>
      <c r="M51" s="19">
        <f>'[135]MD20000.18-DEC'!$O$1</f>
        <v>24000</v>
      </c>
    </row>
    <row r="52" spans="2:13" ht="22.5" customHeight="1" x14ac:dyDescent="0.2">
      <c r="B52" s="17">
        <v>48</v>
      </c>
      <c r="C52" s="18" t="s">
        <v>13</v>
      </c>
      <c r="D52" s="18" t="s">
        <v>76</v>
      </c>
      <c r="E52" s="19">
        <f>'[136]MD20000.15-DEc'!$C$1</f>
        <v>10000</v>
      </c>
      <c r="F52" s="20"/>
      <c r="G52" s="20"/>
      <c r="H52" s="20">
        <f>'[136]MD20000.15-DEc'!$K$1</f>
        <v>0</v>
      </c>
      <c r="I52" s="20">
        <f>'[136]MD20000.15-DEc'!$K$2</f>
        <v>17</v>
      </c>
      <c r="J52" s="21" t="s">
        <v>12</v>
      </c>
      <c r="K52" s="22">
        <f>'[136]MD20000.15-DEc'!$B$3</f>
        <v>45502</v>
      </c>
      <c r="L52" s="19">
        <f>'[136]MD20000.15-DEc'!$O$2</f>
        <v>0</v>
      </c>
      <c r="M52" s="19">
        <f>'[136]MD20000.15-DEc'!$O$1</f>
        <v>12000</v>
      </c>
    </row>
    <row r="53" spans="2:13" ht="22.5" customHeight="1" x14ac:dyDescent="0.2">
      <c r="B53" s="17">
        <v>49</v>
      </c>
      <c r="C53" s="18" t="s">
        <v>23</v>
      </c>
      <c r="D53" s="18" t="s">
        <v>50</v>
      </c>
      <c r="E53" s="19">
        <f>'[137]MD50000.15-DEC'!$C$1</f>
        <v>20000</v>
      </c>
      <c r="F53" s="20"/>
      <c r="G53" s="20"/>
      <c r="H53" s="20">
        <f>'[137]MD50000.15-DEC'!$K$1</f>
        <v>0</v>
      </c>
      <c r="I53" s="20">
        <f>'[137]MD50000.15-DEC'!$K$2</f>
        <v>17</v>
      </c>
      <c r="J53" s="21" t="s">
        <v>12</v>
      </c>
      <c r="K53" s="22">
        <f>'[137]MD50000.15-DEC'!$B$3</f>
        <v>45504</v>
      </c>
      <c r="L53" s="19">
        <f>'[137]MD50000.15-DEC'!$O$2</f>
        <v>0</v>
      </c>
      <c r="M53" s="19">
        <f>'[137]MD50000.15-DEC'!$O$1</f>
        <v>24000</v>
      </c>
    </row>
    <row r="54" spans="2:13" ht="22.5" customHeight="1" x14ac:dyDescent="0.2">
      <c r="B54" s="17">
        <v>50</v>
      </c>
      <c r="C54" s="18" t="s">
        <v>78</v>
      </c>
      <c r="D54" s="18" t="s">
        <v>79</v>
      </c>
      <c r="E54" s="19">
        <f>'[138]MD10000.20-OCT'!$C$1</f>
        <v>5000</v>
      </c>
      <c r="F54" s="20"/>
      <c r="G54" s="20"/>
      <c r="H54" s="20">
        <f>'[138]MD10000.20-OCT'!$K$1</f>
        <v>0</v>
      </c>
      <c r="I54" s="20">
        <f>'[138]MD10000.20-OCT'!$K$2</f>
        <v>17</v>
      </c>
      <c r="J54" s="21" t="s">
        <v>51</v>
      </c>
      <c r="K54" s="22">
        <f>'[138]MD10000.20-OCT'!$B$3</f>
        <v>45511</v>
      </c>
      <c r="L54" s="19">
        <f>'[138]MD10000.20-OCT'!$O$2</f>
        <v>0</v>
      </c>
      <c r="M54" s="19">
        <f>'[138]MD10000.20-OCT'!$O$1</f>
        <v>5950</v>
      </c>
    </row>
    <row r="55" spans="2:13" ht="22.5" customHeight="1" x14ac:dyDescent="0.2">
      <c r="B55" s="17">
        <v>51</v>
      </c>
      <c r="C55" s="18" t="s">
        <v>64</v>
      </c>
      <c r="D55" s="18" t="s">
        <v>80</v>
      </c>
      <c r="E55" s="19">
        <f>'[139]MD20000.18-DEC'!$C$1</f>
        <v>30000</v>
      </c>
      <c r="F55" s="20">
        <f>'[139]MD20000.18-DEC'!$K$1</f>
        <v>0</v>
      </c>
      <c r="G55" s="20">
        <f>'[139]MD20000.18-DEC'!$K$2</f>
        <v>120</v>
      </c>
      <c r="H55" s="20"/>
      <c r="I55" s="20"/>
      <c r="J55" s="21" t="s">
        <v>51</v>
      </c>
      <c r="K55" s="22">
        <f>'[139]MD20000.18-DEC'!$B$3</f>
        <v>45508</v>
      </c>
      <c r="L55" s="19">
        <f>'[139]MD20000.18-DEC'!$O$2</f>
        <v>0</v>
      </c>
      <c r="M55" s="19">
        <f>'[139]MD20000.18-DEC'!$O$1</f>
        <v>36000</v>
      </c>
    </row>
    <row r="56" spans="2:13" ht="22.5" customHeight="1" x14ac:dyDescent="0.2">
      <c r="B56" s="17">
        <v>52</v>
      </c>
      <c r="C56" s="18" t="s">
        <v>81</v>
      </c>
      <c r="D56" s="18" t="s">
        <v>82</v>
      </c>
      <c r="E56" s="19">
        <f>'[140]MD20000.18-DEC'!$C$1</f>
        <v>10000</v>
      </c>
      <c r="F56" s="20">
        <f>'[140]MD20000.18-DEC'!$K$1</f>
        <v>0</v>
      </c>
      <c r="G56" s="20">
        <f>'[140]MD20000.18-DEC'!$K$2</f>
        <v>120</v>
      </c>
      <c r="H56" s="20"/>
      <c r="I56" s="20"/>
      <c r="J56" s="21" t="s">
        <v>12</v>
      </c>
      <c r="K56" s="22">
        <f>'[140]MD20000.18-DEC'!$B$3</f>
        <v>45514</v>
      </c>
      <c r="L56" s="19">
        <f>'[140]MD20000.18-DEC'!$O$2</f>
        <v>0</v>
      </c>
      <c r="M56" s="19">
        <f>'[140]MD20000.18-DEC'!$O$1</f>
        <v>12000</v>
      </c>
    </row>
    <row r="57" spans="2:13" ht="22.5" customHeight="1" x14ac:dyDescent="0.2">
      <c r="B57" s="17">
        <v>53</v>
      </c>
      <c r="C57" s="18" t="s">
        <v>58</v>
      </c>
      <c r="D57" s="18" t="s">
        <v>52</v>
      </c>
      <c r="E57" s="19">
        <f>'[141]MD20000.15-DEc'!$C$1</f>
        <v>20000</v>
      </c>
      <c r="F57" s="20"/>
      <c r="G57" s="20"/>
      <c r="H57" s="20">
        <f>'[141]MD20000.15-DEc'!$K$1</f>
        <v>0</v>
      </c>
      <c r="I57" s="20">
        <f>'[141]MD20000.15-DEc'!$K$2</f>
        <v>17</v>
      </c>
      <c r="J57" s="21" t="s">
        <v>12</v>
      </c>
      <c r="K57" s="22">
        <f>'[141]MD20000.15-DEc'!$B$3</f>
        <v>45527</v>
      </c>
      <c r="L57" s="19">
        <f>'[141]MD20000.15-DEc'!$O$2</f>
        <v>0</v>
      </c>
      <c r="M57" s="19">
        <f>'[141]MD20000.15-DEc'!$O$1</f>
        <v>24000</v>
      </c>
    </row>
    <row r="58" spans="2:13" ht="22.5" customHeight="1" x14ac:dyDescent="0.2">
      <c r="B58" s="17">
        <v>54</v>
      </c>
      <c r="C58" s="18" t="s">
        <v>83</v>
      </c>
      <c r="D58" s="18" t="s">
        <v>76</v>
      </c>
      <c r="E58" s="19">
        <f>'[142]MD20000.15-DEc'!$C$1</f>
        <v>10000</v>
      </c>
      <c r="F58" s="20"/>
      <c r="G58" s="20"/>
      <c r="H58" s="20">
        <f>'[142]MD20000.15-DEc'!$K$1</f>
        <v>0</v>
      </c>
      <c r="I58" s="20">
        <f>'[142]MD20000.15-DEc'!$K$2</f>
        <v>17</v>
      </c>
      <c r="J58" s="21" t="s">
        <v>12</v>
      </c>
      <c r="K58" s="22">
        <f>'[142]MD20000.15-DEc'!$B$3</f>
        <v>45531</v>
      </c>
      <c r="L58" s="19">
        <f>'[142]MD20000.15-DEc'!$O$2</f>
        <v>0</v>
      </c>
      <c r="M58" s="19">
        <f>'[142]MD20000.15-DEc'!$O$1</f>
        <v>12000</v>
      </c>
    </row>
    <row r="59" spans="2:13" ht="22.5" customHeight="1" x14ac:dyDescent="0.2">
      <c r="B59" s="17">
        <v>55</v>
      </c>
      <c r="C59" s="18" t="s">
        <v>84</v>
      </c>
      <c r="D59" s="18" t="s">
        <v>85</v>
      </c>
      <c r="E59" s="19">
        <f>'[143]MD10000.20-OCT'!$C$1</f>
        <v>5000</v>
      </c>
      <c r="F59" s="20"/>
      <c r="G59" s="20"/>
      <c r="H59" s="20">
        <f>'[143]MD10000.20-OCT'!$K$1</f>
        <v>0</v>
      </c>
      <c r="I59" s="20">
        <f>'[143]MD10000.20-OCT'!$K$2</f>
        <v>17</v>
      </c>
      <c r="J59" s="21" t="s">
        <v>51</v>
      </c>
      <c r="K59" s="22">
        <f>'[143]MD10000.20-OCT'!$B$3</f>
        <v>45532</v>
      </c>
      <c r="L59" s="19">
        <f>'[143]MD10000.20-OCT'!$O$2</f>
        <v>0</v>
      </c>
      <c r="M59" s="19">
        <f>'[143]MD10000.20-OCT'!$O$1</f>
        <v>6000</v>
      </c>
    </row>
    <row r="60" spans="2:13" ht="22.5" customHeight="1" x14ac:dyDescent="0.2">
      <c r="B60" s="17">
        <v>56</v>
      </c>
      <c r="C60" s="18" t="s">
        <v>86</v>
      </c>
      <c r="D60" s="18" t="s">
        <v>76</v>
      </c>
      <c r="E60" s="19">
        <f>'[144]MD20000.15-DEc'!$C$1</f>
        <v>10000</v>
      </c>
      <c r="F60" s="20"/>
      <c r="G60" s="20"/>
      <c r="H60" s="20">
        <f>'[144]MD20000.15-DEc'!$K$1</f>
        <v>0</v>
      </c>
      <c r="I60" s="20">
        <f>'[144]MD20000.15-DEc'!$K$2</f>
        <v>17</v>
      </c>
      <c r="J60" s="21" t="s">
        <v>12</v>
      </c>
      <c r="K60" s="22">
        <f>'[144]MD20000.15-DEc'!$B$3</f>
        <v>45534</v>
      </c>
      <c r="L60" s="19">
        <f>'[144]MD20000.15-DEc'!$O$2</f>
        <v>0</v>
      </c>
      <c r="M60" s="19">
        <f>'[144]MD20000.15-DEc'!$O$1</f>
        <v>12000</v>
      </c>
    </row>
    <row r="61" spans="2:13" ht="22.5" customHeight="1" x14ac:dyDescent="0.2">
      <c r="B61" s="17">
        <v>57</v>
      </c>
      <c r="C61" s="18" t="s">
        <v>65</v>
      </c>
      <c r="D61" s="18" t="s">
        <v>87</v>
      </c>
      <c r="E61" s="19">
        <f>'[145]MD10000.20-OCT'!$C$1</f>
        <v>5000</v>
      </c>
      <c r="F61" s="20"/>
      <c r="G61" s="20"/>
      <c r="H61" s="20">
        <f>'[145]MD10000.20-OCT'!$K$1</f>
        <v>0</v>
      </c>
      <c r="I61" s="20">
        <f>'[145]MD10000.20-OCT'!$K$2</f>
        <v>17</v>
      </c>
      <c r="J61" s="21" t="s">
        <v>51</v>
      </c>
      <c r="K61" s="22">
        <f>'[145]MD10000.20-OCT'!$B$3</f>
        <v>45536</v>
      </c>
      <c r="L61" s="19">
        <f>'[145]MD10000.20-OCT'!$O$2</f>
        <v>0</v>
      </c>
      <c r="M61" s="19">
        <f>'[145]MD10000.20-OCT'!$O$1</f>
        <v>6000</v>
      </c>
    </row>
    <row r="62" spans="2:13" ht="22.5" customHeight="1" x14ac:dyDescent="0.2">
      <c r="B62" s="17">
        <v>58</v>
      </c>
      <c r="C62" s="18" t="s">
        <v>34</v>
      </c>
      <c r="D62" s="18" t="s">
        <v>33</v>
      </c>
      <c r="E62" s="19">
        <f>'[146]MD20000.22-DEC'!$C$1</f>
        <v>20000</v>
      </c>
      <c r="F62" s="20">
        <f>'[146]MD20000.22-DEC'!$K$1</f>
        <v>0</v>
      </c>
      <c r="G62" s="20">
        <f>'[146]MD20000.22-DEC'!$K$2</f>
        <v>120</v>
      </c>
      <c r="H62" s="20"/>
      <c r="I62" s="20"/>
      <c r="J62" s="21" t="s">
        <v>51</v>
      </c>
      <c r="K62" s="22">
        <f>'[146]MD20000.22-DEC'!$B$3</f>
        <v>45535</v>
      </c>
      <c r="L62" s="19">
        <f>'[146]MD20000.22-DEC'!$O$2</f>
        <v>0</v>
      </c>
      <c r="M62" s="19">
        <f>'[146]MD20000.22-DEC'!$O$1</f>
        <v>24000</v>
      </c>
    </row>
    <row r="63" spans="2:13" ht="22.5" customHeight="1" x14ac:dyDescent="0.2">
      <c r="B63" s="17">
        <v>59</v>
      </c>
      <c r="C63" s="18" t="s">
        <v>88</v>
      </c>
      <c r="D63" s="18" t="s">
        <v>48</v>
      </c>
      <c r="E63" s="19">
        <f>'[147]MD10000.20-OCT'!$C$1</f>
        <v>5000</v>
      </c>
      <c r="F63" s="20"/>
      <c r="G63" s="20"/>
      <c r="H63" s="20">
        <f>'[147]MD10000.20-OCT'!$K$1</f>
        <v>0</v>
      </c>
      <c r="I63" s="20">
        <f>'[147]MD10000.20-OCT'!$K$2</f>
        <v>17</v>
      </c>
      <c r="J63" s="21" t="s">
        <v>51</v>
      </c>
      <c r="K63" s="22">
        <f>'[147]MD10000.20-OCT'!$B$3</f>
        <v>45549</v>
      </c>
      <c r="L63" s="19">
        <f>'[147]MD10000.20-OCT'!$O$2</f>
        <v>0</v>
      </c>
      <c r="M63" s="19">
        <f>'[147]MD10000.20-OCT'!$O$1</f>
        <v>6000</v>
      </c>
    </row>
    <row r="64" spans="2:13" ht="22.5" customHeight="1" x14ac:dyDescent="0.2">
      <c r="B64" s="17">
        <v>60</v>
      </c>
      <c r="C64" s="18" t="s">
        <v>89</v>
      </c>
      <c r="D64" s="18" t="s">
        <v>90</v>
      </c>
      <c r="E64" s="19">
        <f>'[148]MD20000.22-DEC'!$C$1</f>
        <v>20000</v>
      </c>
      <c r="F64" s="20">
        <f>'[148]MD20000.22-DEC'!$K$1</f>
        <v>0</v>
      </c>
      <c r="G64" s="20">
        <f>'[148]MD20000.22-DEC'!$K$2</f>
        <v>120</v>
      </c>
      <c r="H64" s="20"/>
      <c r="I64" s="20"/>
      <c r="J64" s="21" t="s">
        <v>12</v>
      </c>
      <c r="K64" s="22">
        <f>'[148]MD20000.22-DEC'!$B$13</f>
        <v>45562</v>
      </c>
      <c r="L64" s="19">
        <f>'[148]MD20000.22-DEC'!$O$2</f>
        <v>0</v>
      </c>
      <c r="M64" s="19">
        <f>'[148]MD20000.22-DEC'!$O$1</f>
        <v>24000</v>
      </c>
    </row>
    <row r="65" spans="2:14" ht="22.5" customHeight="1" x14ac:dyDescent="0.2">
      <c r="B65" s="17">
        <v>61</v>
      </c>
      <c r="C65" s="18" t="s">
        <v>78</v>
      </c>
      <c r="D65" s="18" t="s">
        <v>68</v>
      </c>
      <c r="E65" s="19">
        <f>'[149]MD10000.1-OCT'!$C$1</f>
        <v>10000</v>
      </c>
      <c r="F65" s="20">
        <f>'[149]MD10000.1-OCT'!$K$1</f>
        <v>0</v>
      </c>
      <c r="G65" s="20">
        <f>'[149]MD10000.1-OCT'!$K$2</f>
        <v>120</v>
      </c>
      <c r="H65" s="20"/>
      <c r="I65" s="20"/>
      <c r="J65" s="21" t="s">
        <v>12</v>
      </c>
      <c r="K65" s="22">
        <f>'[149]MD10000.1-OCT'!$B$3</f>
        <v>45557</v>
      </c>
      <c r="L65" s="19">
        <f>'[149]MD10000.1-OCT'!$O$2</f>
        <v>0</v>
      </c>
      <c r="M65" s="19">
        <f>'[149]MD10000.1-OCT'!$O$1</f>
        <v>12000</v>
      </c>
    </row>
    <row r="66" spans="2:14" ht="22.5" customHeight="1" x14ac:dyDescent="0.2">
      <c r="B66" s="6">
        <v>62</v>
      </c>
      <c r="C66" s="8" t="s">
        <v>91</v>
      </c>
      <c r="D66" s="14" t="s">
        <v>68</v>
      </c>
      <c r="E66" s="7">
        <f>'[2]MD10000.1-OCT'!$C$1</f>
        <v>10000</v>
      </c>
      <c r="F66" s="8">
        <f>'[2]MD10000.1-OCT'!$K$1</f>
        <v>0</v>
      </c>
      <c r="G66" s="8">
        <f>'[2]MD10000.1-OCT'!$K$2</f>
        <v>120</v>
      </c>
      <c r="H66" s="8"/>
      <c r="I66" s="8"/>
      <c r="J66" s="9" t="s">
        <v>12</v>
      </c>
      <c r="K66" s="10">
        <f>'[2]MD10000.1-OCT'!$B$3</f>
        <v>45557</v>
      </c>
      <c r="L66" s="7">
        <f>'[2]MD10000.1-OCT'!$O$2</f>
        <v>0</v>
      </c>
      <c r="M66" s="7">
        <f>'[2]MD10000.1-OCT'!$O$1</f>
        <v>12000</v>
      </c>
      <c r="N66" s="1">
        <v>700</v>
      </c>
    </row>
    <row r="67" spans="2:14" ht="22.5" customHeight="1" x14ac:dyDescent="0.2">
      <c r="B67" s="6">
        <v>63</v>
      </c>
      <c r="C67" s="8" t="s">
        <v>92</v>
      </c>
      <c r="D67" s="14" t="s">
        <v>68</v>
      </c>
      <c r="E67" s="7">
        <f>'[3]MD10000.1-OCT'!$C$1</f>
        <v>10000</v>
      </c>
      <c r="F67" s="8">
        <f>'[3]MD10000.1-OCT'!$K$1</f>
        <v>0</v>
      </c>
      <c r="G67" s="8">
        <f>'[3]MD10000.1-OCT'!$K$2</f>
        <v>120</v>
      </c>
      <c r="H67" s="8"/>
      <c r="I67" s="8"/>
      <c r="J67" s="9" t="s">
        <v>12</v>
      </c>
      <c r="K67" s="10">
        <f>'[3]MD10000.1-OCT'!$B$3</f>
        <v>45561</v>
      </c>
      <c r="L67" s="7">
        <f>'[3]MD10000.1-OCT'!$O$2</f>
        <v>0</v>
      </c>
      <c r="M67" s="7">
        <f>'[3]MD10000.1-OCT'!$O$1</f>
        <v>12000</v>
      </c>
      <c r="N67" s="1">
        <v>700</v>
      </c>
    </row>
    <row r="68" spans="2:14" ht="22.5" customHeight="1" x14ac:dyDescent="0.2">
      <c r="B68" s="17">
        <v>64</v>
      </c>
      <c r="C68" s="18" t="s">
        <v>32</v>
      </c>
      <c r="D68" s="18" t="s">
        <v>33</v>
      </c>
      <c r="E68" s="19">
        <f>'[150]MD20000.18-DEC'!$C$1</f>
        <v>20000</v>
      </c>
      <c r="F68" s="20">
        <f>'[150]MD20000.18-DEC'!$K$1</f>
        <v>0</v>
      </c>
      <c r="G68" s="20">
        <f>'[150]MD20000.18-DEC'!$K$2</f>
        <v>120</v>
      </c>
      <c r="H68" s="20"/>
      <c r="I68" s="20"/>
      <c r="J68" s="21" t="s">
        <v>12</v>
      </c>
      <c r="K68" s="22">
        <f>'[150]MD20000.18-DEC'!$B$3</f>
        <v>45562</v>
      </c>
      <c r="L68" s="19">
        <f>'[150]MD20000.18-DEC'!$O$2</f>
        <v>0</v>
      </c>
      <c r="M68" s="19">
        <f>'[150]MD20000.18-DEC'!$O$1</f>
        <v>24000</v>
      </c>
    </row>
    <row r="69" spans="2:14" ht="22.5" customHeight="1" x14ac:dyDescent="0.2">
      <c r="B69" s="6">
        <v>65</v>
      </c>
      <c r="C69" s="13" t="s">
        <v>70</v>
      </c>
      <c r="D69" s="14" t="s">
        <v>68</v>
      </c>
      <c r="E69" s="7">
        <f>'[4]MD10000.1-OCT'!$C$1</f>
        <v>10000</v>
      </c>
      <c r="F69" s="8">
        <f>'[4]MD10000.1-OCT'!$K$1</f>
        <v>0</v>
      </c>
      <c r="G69" s="8">
        <f>'[4]MD10000.1-OCT'!$K$2</f>
        <v>120</v>
      </c>
      <c r="H69" s="8"/>
      <c r="I69" s="8"/>
      <c r="J69" s="9" t="s">
        <v>12</v>
      </c>
      <c r="K69" s="10">
        <f>'[4]MD10000.1-OCT'!$B$3</f>
        <v>45563</v>
      </c>
      <c r="L69" s="7">
        <f>'[4]MD10000.1-OCT'!$O$2</f>
        <v>0</v>
      </c>
      <c r="M69" s="7">
        <f>'[4]MD10000.1-OCT'!$O$1</f>
        <v>12000</v>
      </c>
      <c r="N69" s="1">
        <v>700</v>
      </c>
    </row>
    <row r="70" spans="2:14" ht="22.5" customHeight="1" x14ac:dyDescent="0.2">
      <c r="B70" s="6">
        <v>66</v>
      </c>
      <c r="C70" s="8" t="s">
        <v>93</v>
      </c>
      <c r="D70" s="14" t="s">
        <v>94</v>
      </c>
      <c r="E70" s="7">
        <f>'[5]MD10000.1-OCT'!$C$1</f>
        <v>15000</v>
      </c>
      <c r="F70" s="8">
        <f>'[5]MD10000.1-OCT'!$K$1</f>
        <v>0</v>
      </c>
      <c r="G70" s="8">
        <f>'[5]MD10000.1-OCT'!$K$2</f>
        <v>120</v>
      </c>
      <c r="H70" s="8"/>
      <c r="I70" s="8"/>
      <c r="J70" s="9" t="s">
        <v>12</v>
      </c>
      <c r="K70" s="10">
        <f>'[5]MD10000.1-OCT'!$B$3</f>
        <v>45570</v>
      </c>
      <c r="L70" s="7">
        <f>'[5]MD10000.1-OCT'!$O$2</f>
        <v>0</v>
      </c>
      <c r="M70" s="7">
        <f>'[5]MD10000.1-OCT'!$O$1</f>
        <v>18000</v>
      </c>
      <c r="N70" s="1">
        <v>1050</v>
      </c>
    </row>
    <row r="71" spans="2:14" ht="22.5" customHeight="1" x14ac:dyDescent="0.2">
      <c r="B71" s="23">
        <v>67</v>
      </c>
      <c r="C71" s="24" t="s">
        <v>95</v>
      </c>
      <c r="D71" s="25" t="s">
        <v>96</v>
      </c>
      <c r="E71" s="26">
        <f>'[151]MD20000.18-DEC'!$C$1</f>
        <v>50000</v>
      </c>
      <c r="F71" s="24">
        <f>'[151]MD20000.18-DEC'!$K$1</f>
        <v>66</v>
      </c>
      <c r="G71" s="24">
        <f>'[151]MD20000.18-DEC'!$K$2</f>
        <v>54</v>
      </c>
      <c r="H71" s="24"/>
      <c r="I71" s="24"/>
      <c r="J71" s="27" t="s">
        <v>12</v>
      </c>
      <c r="K71" s="25">
        <f>'[151]MD20000.18-DEC'!$B$3</f>
        <v>45579</v>
      </c>
      <c r="L71" s="26">
        <f>'[151]MD20000.18-DEC'!$O$2</f>
        <v>33000</v>
      </c>
      <c r="M71" s="26">
        <f>'[151]MD20000.18-DEC'!$O$1</f>
        <v>27000</v>
      </c>
    </row>
    <row r="72" spans="2:14" ht="22.5" customHeight="1" x14ac:dyDescent="0.2">
      <c r="B72" s="6">
        <v>68</v>
      </c>
      <c r="C72" s="8" t="s">
        <v>97</v>
      </c>
      <c r="D72" s="14" t="s">
        <v>98</v>
      </c>
      <c r="E72" s="7">
        <f>'[6]MD20000.18-DEC'!$C$1</f>
        <v>100000</v>
      </c>
      <c r="F72" s="8"/>
      <c r="G72" s="8"/>
      <c r="H72" s="8">
        <f>'[6]MD20000.18-DEC'!$K$1</f>
        <v>0</v>
      </c>
      <c r="I72" s="8">
        <f>'[6]MD20000.18-DEC'!$K$2</f>
        <v>40</v>
      </c>
      <c r="J72" s="9" t="s">
        <v>12</v>
      </c>
      <c r="K72" s="10">
        <f>'[6]MD20000.18-DEC'!$B$3</f>
        <v>45590</v>
      </c>
      <c r="L72" s="7">
        <f>'[6]MD20000.18-DEC'!$O$2</f>
        <v>0</v>
      </c>
      <c r="M72" s="7">
        <f>'[6]MD20000.18-DEC'!$O$1</f>
        <v>160000</v>
      </c>
      <c r="N72" s="1">
        <v>4000</v>
      </c>
    </row>
    <row r="73" spans="2:14" ht="22.5" customHeight="1" x14ac:dyDescent="0.2">
      <c r="B73" s="17">
        <v>69</v>
      </c>
      <c r="C73" s="18" t="s">
        <v>99</v>
      </c>
      <c r="D73" s="18" t="s">
        <v>96</v>
      </c>
      <c r="E73" s="19">
        <f>'[152]MD20000.18-DEC'!$C$1</f>
        <v>50000</v>
      </c>
      <c r="F73" s="20">
        <f>'[152]MD20000.18-DEC'!$K$1</f>
        <v>0</v>
      </c>
      <c r="G73" s="20">
        <f>'[152]MD20000.18-DEC'!$K$2</f>
        <v>120</v>
      </c>
      <c r="H73" s="20"/>
      <c r="I73" s="20"/>
      <c r="J73" s="21" t="s">
        <v>12</v>
      </c>
      <c r="K73" s="22">
        <f>'[152]MD20000.18-DEC'!$B$3</f>
        <v>45584</v>
      </c>
      <c r="L73" s="19">
        <f>'[152]MD20000.18-DEC'!$O$2</f>
        <v>0</v>
      </c>
      <c r="M73" s="19">
        <f>'[152]MD20000.18-DEC'!$O$1</f>
        <v>60000</v>
      </c>
    </row>
    <row r="74" spans="2:14" ht="22.5" customHeight="1" x14ac:dyDescent="0.2">
      <c r="B74" s="17">
        <v>70</v>
      </c>
      <c r="C74" s="18" t="s">
        <v>100</v>
      </c>
      <c r="D74" s="18" t="s">
        <v>90</v>
      </c>
      <c r="E74" s="19">
        <f>'[153]MD20000.18-DEC'!$C$1</f>
        <v>20000</v>
      </c>
      <c r="F74" s="20">
        <f>'[153]MD20000.18-DEC'!$K$1</f>
        <v>0</v>
      </c>
      <c r="G74" s="20">
        <f>'[153]MD20000.18-DEC'!$K$2</f>
        <v>120</v>
      </c>
      <c r="H74" s="20"/>
      <c r="I74" s="20"/>
      <c r="J74" s="21" t="s">
        <v>12</v>
      </c>
      <c r="K74" s="22">
        <f>'[153]MD20000.18-DEC'!$B$3</f>
        <v>45584</v>
      </c>
      <c r="L74" s="19">
        <f>'[153]MD20000.18-DEC'!$O$2</f>
        <v>0</v>
      </c>
      <c r="M74" s="19">
        <f>'[153]MD20000.18-DEC'!$O$1</f>
        <v>24000</v>
      </c>
    </row>
    <row r="75" spans="2:14" ht="22.5" customHeight="1" x14ac:dyDescent="0.2">
      <c r="B75" s="6">
        <v>71</v>
      </c>
      <c r="C75" s="8" t="s">
        <v>101</v>
      </c>
      <c r="D75" s="14" t="s">
        <v>90</v>
      </c>
      <c r="E75" s="7">
        <f>'[7]MD20000.18-DEC'!$C$1</f>
        <v>20000</v>
      </c>
      <c r="F75" s="8">
        <f>'[7]MD20000.18-DEC'!$K$1</f>
        <v>82</v>
      </c>
      <c r="G75" s="8">
        <f>'[7]MD20000.18-DEC'!$K$2</f>
        <v>38</v>
      </c>
      <c r="H75" s="8"/>
      <c r="I75" s="8"/>
      <c r="J75" s="9" t="s">
        <v>12</v>
      </c>
      <c r="K75" s="10">
        <f>'[7]MD20000.18-DEC'!$B$3</f>
        <v>45584</v>
      </c>
      <c r="L75" s="7">
        <f>'[7]MD20000.18-DEC'!$O$2</f>
        <v>16400</v>
      </c>
      <c r="M75" s="7">
        <f>'[7]MD20000.18-DEC'!$O$1</f>
        <v>7600</v>
      </c>
      <c r="N75" s="1">
        <v>1400</v>
      </c>
    </row>
    <row r="76" spans="2:14" ht="22.5" customHeight="1" x14ac:dyDescent="0.2">
      <c r="B76" s="17">
        <v>72</v>
      </c>
      <c r="C76" s="18" t="s">
        <v>81</v>
      </c>
      <c r="D76" s="18" t="s">
        <v>90</v>
      </c>
      <c r="E76" s="19">
        <f>'[154]MD20000.18-DEC'!$C$1</f>
        <v>20000</v>
      </c>
      <c r="F76" s="20">
        <f>'[154]MD20000.18-DEC'!$K$1</f>
        <v>0</v>
      </c>
      <c r="G76" s="20">
        <f>'[154]MD20000.18-DEC'!$K$2</f>
        <v>120</v>
      </c>
      <c r="H76" s="20"/>
      <c r="I76" s="20"/>
      <c r="J76" s="21" t="s">
        <v>12</v>
      </c>
      <c r="K76" s="22">
        <f>'[154]MD20000.18-DEC'!$B$3</f>
        <v>45584</v>
      </c>
      <c r="L76" s="19">
        <f>'[154]MD20000.18-DEC'!$O$2</f>
        <v>0</v>
      </c>
      <c r="M76" s="19">
        <f>'[154]MD20000.18-DEC'!$O$1</f>
        <v>24000</v>
      </c>
    </row>
    <row r="77" spans="2:14" ht="22.5" customHeight="1" x14ac:dyDescent="0.2">
      <c r="B77" s="6">
        <v>73</v>
      </c>
      <c r="C77" s="8" t="s">
        <v>74</v>
      </c>
      <c r="D77" s="14" t="s">
        <v>90</v>
      </c>
      <c r="E77" s="7">
        <f>'[9]MD20000.18-DEC'!$C$1</f>
        <v>20000</v>
      </c>
      <c r="F77" s="8">
        <f>'[9]MD20000.18-DEC'!$K$1</f>
        <v>0</v>
      </c>
      <c r="G77" s="8">
        <f>'[9]MD20000.18-DEC'!$K$2</f>
        <v>120</v>
      </c>
      <c r="H77" s="8"/>
      <c r="I77" s="8"/>
      <c r="J77" s="9" t="s">
        <v>12</v>
      </c>
      <c r="K77" s="10">
        <f>'[9]MD20000.18-DEC'!$B$7</f>
        <v>45587</v>
      </c>
      <c r="L77" s="7">
        <f>'[9]MD20000.18-DEC'!$O$2</f>
        <v>0</v>
      </c>
      <c r="M77" s="7">
        <f>'[9]MD20000.18-DEC'!$O$1</f>
        <v>24000</v>
      </c>
      <c r="N77" s="1">
        <v>1400</v>
      </c>
    </row>
    <row r="78" spans="2:14" ht="22.5" customHeight="1" x14ac:dyDescent="0.2">
      <c r="B78" s="6">
        <v>74</v>
      </c>
      <c r="C78" s="8" t="s">
        <v>102</v>
      </c>
      <c r="D78" s="14" t="s">
        <v>68</v>
      </c>
      <c r="E78" s="7">
        <f>'[10]MD20000.18-DEC'!$C$1</f>
        <v>10000</v>
      </c>
      <c r="F78" s="8">
        <f>'[10]MD20000.18-DEC'!$K$1</f>
        <v>0</v>
      </c>
      <c r="G78" s="8">
        <f>'[10]MD20000.18-DEC'!$K$2</f>
        <v>120</v>
      </c>
      <c r="H78" s="8"/>
      <c r="I78" s="8"/>
      <c r="J78" s="9" t="s">
        <v>12</v>
      </c>
      <c r="K78" s="10">
        <f>'[10]MD20000.18-DEC'!$B$3</f>
        <v>45584</v>
      </c>
      <c r="L78" s="7">
        <f>'[10]MD20000.18-DEC'!$O$2</f>
        <v>0</v>
      </c>
      <c r="M78" s="7">
        <f>'[10]MD20000.18-DEC'!$O$1</f>
        <v>12000</v>
      </c>
      <c r="N78" s="1">
        <v>700</v>
      </c>
    </row>
    <row r="79" spans="2:14" ht="22.5" customHeight="1" x14ac:dyDescent="0.2">
      <c r="B79" s="6">
        <v>75</v>
      </c>
      <c r="C79" s="8" t="s">
        <v>14</v>
      </c>
      <c r="D79" s="14" t="s">
        <v>68</v>
      </c>
      <c r="E79" s="7">
        <f>'[11]MD20000.18-DEC'!$C$1</f>
        <v>10000</v>
      </c>
      <c r="F79" s="8">
        <f>'[11]MD20000.18-DEC'!$K$1</f>
        <v>18</v>
      </c>
      <c r="G79" s="8">
        <f>'[11]MD20000.18-DEC'!$K$2</f>
        <v>102</v>
      </c>
      <c r="H79" s="8"/>
      <c r="I79" s="8"/>
      <c r="J79" s="9" t="s">
        <v>12</v>
      </c>
      <c r="K79" s="10">
        <f>'[11]MD20000.18-DEC'!$B$3</f>
        <v>45584</v>
      </c>
      <c r="L79" s="7">
        <f>'[11]MD20000.18-DEC'!$O$2</f>
        <v>1800</v>
      </c>
      <c r="M79" s="7">
        <f>'[11]MD20000.18-DEC'!$O$1</f>
        <v>10200</v>
      </c>
      <c r="N79" s="1">
        <v>700</v>
      </c>
    </row>
    <row r="80" spans="2:14" ht="22.5" customHeight="1" x14ac:dyDescent="0.2">
      <c r="B80" s="17">
        <v>76</v>
      </c>
      <c r="C80" s="18" t="s">
        <v>103</v>
      </c>
      <c r="D80" s="18" t="s">
        <v>68</v>
      </c>
      <c r="E80" s="19">
        <f>'[155]MD20000.18-DEC'!$C$1</f>
        <v>10000</v>
      </c>
      <c r="F80" s="20">
        <f>'[155]MD20000.18-DEC'!$K$1</f>
        <v>0</v>
      </c>
      <c r="G80" s="20">
        <f>'[155]MD20000.18-DEC'!$K$2</f>
        <v>120</v>
      </c>
      <c r="H80" s="20"/>
      <c r="I80" s="20"/>
      <c r="J80" s="21" t="s">
        <v>12</v>
      </c>
      <c r="K80" s="22">
        <f>'[155]MD20000.18-DEC'!$B$3</f>
        <v>45587</v>
      </c>
      <c r="L80" s="19">
        <f>'[155]MD20000.18-DEC'!$O$2</f>
        <v>0</v>
      </c>
      <c r="M80" s="19">
        <f>'[155]MD20000.18-DEC'!$O$1</f>
        <v>12000</v>
      </c>
    </row>
    <row r="81" spans="2:14" ht="22.5" customHeight="1" x14ac:dyDescent="0.2">
      <c r="B81" s="6">
        <v>77</v>
      </c>
      <c r="C81" s="8" t="s">
        <v>104</v>
      </c>
      <c r="D81" s="10" t="s">
        <v>52</v>
      </c>
      <c r="E81" s="7">
        <f>'[12]MD20000.15-DEc'!$C$1</f>
        <v>20000</v>
      </c>
      <c r="F81" s="8"/>
      <c r="G81" s="8"/>
      <c r="H81" s="8">
        <f>'[12]MD20000.15-DEc'!$K$1</f>
        <v>0</v>
      </c>
      <c r="I81" s="8">
        <f>'[12]MD20000.15-DEc'!$K$2</f>
        <v>17</v>
      </c>
      <c r="J81" s="9" t="s">
        <v>12</v>
      </c>
      <c r="K81" s="10">
        <f>'[12]MD20000.15-DEc'!$B$3</f>
        <v>45595</v>
      </c>
      <c r="L81" s="7">
        <f>'[12]MD20000.15-DEc'!$O$2</f>
        <v>0</v>
      </c>
      <c r="M81" s="7">
        <f>'[12]MD20000.15-DEc'!$O$1</f>
        <v>24000</v>
      </c>
      <c r="N81" s="1">
        <v>1400</v>
      </c>
    </row>
    <row r="82" spans="2:14" ht="22.5" customHeight="1" x14ac:dyDescent="0.2">
      <c r="B82" s="6">
        <v>78</v>
      </c>
      <c r="C82" s="8" t="s">
        <v>105</v>
      </c>
      <c r="D82" s="14" t="s">
        <v>106</v>
      </c>
      <c r="E82" s="7">
        <f>'[13]MD10000.10-JAN'!$C$1</f>
        <v>20000</v>
      </c>
      <c r="F82" s="8"/>
      <c r="G82" s="8"/>
      <c r="H82" s="8">
        <f>'[13]MD10000.10-JAN'!$K$1</f>
        <v>0</v>
      </c>
      <c r="I82" s="8">
        <f>'[13]MD10000.10-JAN'!$K$2</f>
        <v>17</v>
      </c>
      <c r="J82" s="9" t="s">
        <v>12</v>
      </c>
      <c r="K82" s="10">
        <f>'[13]MD10000.10-JAN'!$B$3</f>
        <v>45602</v>
      </c>
      <c r="L82" s="7">
        <f>'[13]MD10000.10-JAN'!$O$2</f>
        <v>0</v>
      </c>
      <c r="M82" s="7">
        <f>'[13]MD10000.10-JAN'!$O$1</f>
        <v>24000</v>
      </c>
      <c r="N82" s="1">
        <v>1400</v>
      </c>
    </row>
    <row r="83" spans="2:14" ht="22.5" customHeight="1" x14ac:dyDescent="0.2">
      <c r="B83" s="17">
        <v>79</v>
      </c>
      <c r="C83" s="18" t="s">
        <v>107</v>
      </c>
      <c r="D83" s="18" t="s">
        <v>90</v>
      </c>
      <c r="E83" s="19">
        <f>'[156]MD20000.22-DEC'!$C$1</f>
        <v>20000</v>
      </c>
      <c r="F83" s="20">
        <f>'[156]MD20000.22-DEC'!$K$1</f>
        <v>0</v>
      </c>
      <c r="G83" s="20">
        <f>'[156]MD20000.22-DEC'!$K$2</f>
        <v>120</v>
      </c>
      <c r="H83" s="20"/>
      <c r="I83" s="20"/>
      <c r="J83" s="21" t="s">
        <v>12</v>
      </c>
      <c r="K83" s="22">
        <f>'[156]MD20000.22-DEC'!$B$3</f>
        <v>45597</v>
      </c>
      <c r="L83" s="19">
        <f>'[156]MD20000.22-DEC'!$O$2</f>
        <v>0</v>
      </c>
      <c r="M83" s="19">
        <f>'[156]MD20000.22-DEC'!$O$1</f>
        <v>24000</v>
      </c>
    </row>
    <row r="84" spans="2:14" ht="22.5" customHeight="1" x14ac:dyDescent="0.2">
      <c r="B84" s="17">
        <v>80</v>
      </c>
      <c r="C84" s="18" t="s">
        <v>108</v>
      </c>
      <c r="D84" s="18" t="s">
        <v>80</v>
      </c>
      <c r="E84" s="19">
        <f>'[157]MD20000.18-DEC'!$C$1</f>
        <v>30000</v>
      </c>
      <c r="F84" s="20">
        <f>'[157]MD20000.18-DEC'!$K$1</f>
        <v>0</v>
      </c>
      <c r="G84" s="20">
        <f>'[157]MD20000.18-DEC'!$K$2</f>
        <v>120</v>
      </c>
      <c r="H84" s="20"/>
      <c r="I84" s="20"/>
      <c r="J84" s="21" t="s">
        <v>12</v>
      </c>
      <c r="K84" s="22">
        <f>'[157]MD20000.18-DEC'!$B$3</f>
        <v>45602</v>
      </c>
      <c r="L84" s="19">
        <f>'[157]MD20000.18-DEC'!$O$2</f>
        <v>0</v>
      </c>
      <c r="M84" s="19">
        <f>'[157]MD20000.18-DEC'!$O$1</f>
        <v>36000</v>
      </c>
    </row>
    <row r="85" spans="2:14" ht="22.5" customHeight="1" x14ac:dyDescent="0.2">
      <c r="B85" s="23">
        <v>81</v>
      </c>
      <c r="C85" s="24" t="s">
        <v>64</v>
      </c>
      <c r="D85" s="25" t="s">
        <v>109</v>
      </c>
      <c r="E85" s="26">
        <f>'[158]MD20000.18-DEC'!$C$1</f>
        <v>50000</v>
      </c>
      <c r="F85" s="24">
        <f>'[158]MD20000.18-DEC'!$K$1</f>
        <v>100</v>
      </c>
      <c r="G85" s="24">
        <f>'[158]MD20000.18-DEC'!$K$2</f>
        <v>20</v>
      </c>
      <c r="H85" s="24"/>
      <c r="I85" s="24"/>
      <c r="J85" s="27" t="s">
        <v>12</v>
      </c>
      <c r="K85" s="25">
        <f>'[158]MD20000.18-DEC'!$B$3</f>
        <v>45612</v>
      </c>
      <c r="L85" s="26">
        <f>'[158]MD20000.18-DEC'!$O$2</f>
        <v>50000</v>
      </c>
      <c r="M85" s="26">
        <f>'[158]MD20000.18-DEC'!$O$1</f>
        <v>10000</v>
      </c>
    </row>
    <row r="86" spans="2:14" ht="22.5" customHeight="1" x14ac:dyDescent="0.2">
      <c r="B86" s="6">
        <v>82</v>
      </c>
      <c r="C86" s="8" t="s">
        <v>110</v>
      </c>
      <c r="D86" s="14" t="s">
        <v>68</v>
      </c>
      <c r="E86" s="7">
        <f>'[14]MD20000.18-DEC'!$C$1</f>
        <v>10000</v>
      </c>
      <c r="F86" s="8">
        <f>'[14]MD20000.18-DEC'!$K$1</f>
        <v>0</v>
      </c>
      <c r="G86" s="8">
        <f>'[14]MD20000.18-DEC'!$K$2</f>
        <v>120</v>
      </c>
      <c r="H86" s="8"/>
      <c r="I86" s="8"/>
      <c r="J86" s="9" t="s">
        <v>12</v>
      </c>
      <c r="K86" s="10">
        <f>'[14]MD20000.18-DEC'!$B$3</f>
        <v>45612</v>
      </c>
      <c r="L86" s="7">
        <f>'[14]MD20000.18-DEC'!$O$2</f>
        <v>0</v>
      </c>
      <c r="M86" s="7">
        <f>'[14]MD20000.18-DEC'!$O$1</f>
        <v>12000</v>
      </c>
      <c r="N86" s="1">
        <v>700</v>
      </c>
    </row>
    <row r="87" spans="2:14" ht="22.5" customHeight="1" x14ac:dyDescent="0.2">
      <c r="B87" s="6">
        <v>83</v>
      </c>
      <c r="C87" s="8" t="s">
        <v>23</v>
      </c>
      <c r="D87" s="14" t="s">
        <v>111</v>
      </c>
      <c r="E87" s="7">
        <f>'[15]MD50000.15-DEC'!$C$1</f>
        <v>100000</v>
      </c>
      <c r="F87" s="8">
        <f>'[15]MD50000.15-DEC'!$K$1</f>
        <v>204</v>
      </c>
      <c r="G87" s="8">
        <f>'[15]MD50000.15-DEC'!$K$2</f>
        <v>63</v>
      </c>
      <c r="H87" s="8"/>
      <c r="I87" s="8"/>
      <c r="J87" s="9" t="s">
        <v>12</v>
      </c>
      <c r="K87" s="10">
        <f>'[15]MD50000.15-DEC'!$B$3</f>
        <v>45619</v>
      </c>
      <c r="L87" s="7">
        <f>'[15]MD50000.15-DEC'!$O$2</f>
        <v>122400</v>
      </c>
      <c r="M87" s="7">
        <f>'[15]MD50000.15-DEC'!$O$1</f>
        <v>37800</v>
      </c>
      <c r="N87" s="1">
        <v>4200</v>
      </c>
    </row>
    <row r="88" spans="2:14" ht="22.5" customHeight="1" x14ac:dyDescent="0.2">
      <c r="B88" s="6">
        <v>84</v>
      </c>
      <c r="C88" s="8" t="s">
        <v>112</v>
      </c>
      <c r="D88" s="14" t="s">
        <v>96</v>
      </c>
      <c r="E88" s="7">
        <f>'[16]MD20000.18-DEC'!$C$1</f>
        <v>50000</v>
      </c>
      <c r="F88" s="8">
        <f>'[16]MD20000.18-DEC'!$K$1</f>
        <v>0</v>
      </c>
      <c r="G88" s="8">
        <f>'[16]MD20000.18-DEC'!$K$2</f>
        <v>120</v>
      </c>
      <c r="H88" s="8"/>
      <c r="I88" s="8"/>
      <c r="J88" s="9" t="s">
        <v>12</v>
      </c>
      <c r="K88" s="10">
        <f>'[16]MD20000.18-DEC'!$B$3</f>
        <v>45628</v>
      </c>
      <c r="L88" s="7">
        <f>'[16]MD20000.18-DEC'!$O$2</f>
        <v>0</v>
      </c>
      <c r="M88" s="7">
        <f>'[16]MD20000.18-DEC'!$O$1</f>
        <v>60000</v>
      </c>
      <c r="N88" s="1">
        <v>3500</v>
      </c>
    </row>
    <row r="89" spans="2:14" ht="22.5" customHeight="1" x14ac:dyDescent="0.2">
      <c r="B89" s="17">
        <v>85</v>
      </c>
      <c r="C89" s="18" t="s">
        <v>113</v>
      </c>
      <c r="D89" s="18" t="s">
        <v>80</v>
      </c>
      <c r="E89" s="19">
        <f>'[159]MD20000.18-DEC'!$C$1</f>
        <v>30000</v>
      </c>
      <c r="F89" s="20">
        <f>'[159]MD20000.18-DEC'!$K$1</f>
        <v>0</v>
      </c>
      <c r="G89" s="20">
        <f>'[159]MD20000.18-DEC'!$K$2</f>
        <v>120</v>
      </c>
      <c r="H89" s="20"/>
      <c r="I89" s="20"/>
      <c r="J89" s="21" t="s">
        <v>12</v>
      </c>
      <c r="K89" s="22">
        <f>'[159]MD20000.18-DEC'!$B$3</f>
        <v>45647</v>
      </c>
      <c r="L89" s="19">
        <f>'[159]MD20000.18-DEC'!$O$2</f>
        <v>0</v>
      </c>
      <c r="M89" s="19">
        <f>'[159]MD20000.18-DEC'!$O$1</f>
        <v>36000</v>
      </c>
    </row>
    <row r="90" spans="2:14" ht="22.5" customHeight="1" x14ac:dyDescent="0.2">
      <c r="B90" s="6">
        <v>86</v>
      </c>
      <c r="C90" s="8" t="s">
        <v>114</v>
      </c>
      <c r="D90" s="14" t="s">
        <v>68</v>
      </c>
      <c r="E90" s="7">
        <f>'[17]MD20000.18-DEC'!$C$1</f>
        <v>10000</v>
      </c>
      <c r="F90" s="8">
        <f>'[17]MD20000.18-DEC'!$K$1</f>
        <v>0</v>
      </c>
      <c r="G90" s="8">
        <f>'[17]MD20000.18-DEC'!$K$2</f>
        <v>120</v>
      </c>
      <c r="H90" s="8"/>
      <c r="I90" s="8"/>
      <c r="J90" s="9" t="s">
        <v>12</v>
      </c>
      <c r="K90" s="10">
        <f>'[17]MD20000.18-DEC'!$B$3</f>
        <v>45635</v>
      </c>
      <c r="L90" s="7">
        <f>'[17]MD20000.18-DEC'!$O$2</f>
        <v>0</v>
      </c>
      <c r="M90" s="7">
        <f>'[17]MD20000.18-DEC'!$O$1</f>
        <v>12000</v>
      </c>
      <c r="N90" s="1">
        <v>700</v>
      </c>
    </row>
    <row r="91" spans="2:14" ht="22.5" customHeight="1" x14ac:dyDescent="0.2">
      <c r="B91" s="6">
        <v>87</v>
      </c>
      <c r="C91" s="8" t="s">
        <v>115</v>
      </c>
      <c r="D91" s="14" t="s">
        <v>68</v>
      </c>
      <c r="E91" s="7">
        <f>'[18]MD20000.18-DEC'!$C$1</f>
        <v>10000</v>
      </c>
      <c r="F91" s="8">
        <f>'[18]MD20000.18-DEC'!$K$1</f>
        <v>0</v>
      </c>
      <c r="G91" s="8">
        <f>'[18]MD20000.18-DEC'!$K$2</f>
        <v>120</v>
      </c>
      <c r="H91" s="8"/>
      <c r="I91" s="8"/>
      <c r="J91" s="9" t="s">
        <v>12</v>
      </c>
      <c r="K91" s="10">
        <f>'[18]MD20000.18-DEC'!$B$3</f>
        <v>45635</v>
      </c>
      <c r="L91" s="7">
        <f>'[18]MD20000.18-DEC'!$O$2</f>
        <v>0</v>
      </c>
      <c r="M91" s="7">
        <f>'[18]MD20000.18-DEC'!$O$1</f>
        <v>12000</v>
      </c>
      <c r="N91" s="1">
        <v>700</v>
      </c>
    </row>
    <row r="92" spans="2:14" ht="22.5" customHeight="1" x14ac:dyDescent="0.2">
      <c r="B92" s="6">
        <v>88</v>
      </c>
      <c r="C92" s="8" t="s">
        <v>116</v>
      </c>
      <c r="D92" s="14" t="s">
        <v>117</v>
      </c>
      <c r="E92" s="7">
        <f>'[19]MD50000.15-DEC'!$C$1</f>
        <v>200000</v>
      </c>
      <c r="F92" s="8">
        <f>'[19]MD50000.15-DEC'!$K$1</f>
        <v>223</v>
      </c>
      <c r="G92" s="8">
        <f>'[19]MD50000.15-DEC'!$K$2</f>
        <v>44</v>
      </c>
      <c r="H92" s="8"/>
      <c r="I92" s="8"/>
      <c r="J92" s="9" t="s">
        <v>12</v>
      </c>
      <c r="K92" s="10">
        <f>'[19]MD50000.15-DEC'!$B$3</f>
        <v>45648</v>
      </c>
      <c r="L92" s="7">
        <f>'[19]MD50000.15-DEC'!$O$2</f>
        <v>267600</v>
      </c>
      <c r="M92" s="7">
        <f>'[19]MD50000.15-DEC'!$O$1</f>
        <v>52800</v>
      </c>
      <c r="N92" s="1">
        <v>8400</v>
      </c>
    </row>
    <row r="93" spans="2:14" ht="22.5" customHeight="1" x14ac:dyDescent="0.2">
      <c r="B93" s="6">
        <v>89</v>
      </c>
      <c r="C93" s="8" t="s">
        <v>118</v>
      </c>
      <c r="D93" s="10" t="s">
        <v>119</v>
      </c>
      <c r="E93" s="7">
        <f>'[20]MD20000.15-DEc'!$C$1</f>
        <v>10000</v>
      </c>
      <c r="F93" s="8"/>
      <c r="G93" s="8"/>
      <c r="H93" s="8">
        <f>'[20]MD20000.15-DEc'!$K$1</f>
        <v>0</v>
      </c>
      <c r="I93" s="8">
        <f>'[20]MD20000.15-DEc'!$K$2</f>
        <v>17</v>
      </c>
      <c r="J93" s="9" t="s">
        <v>12</v>
      </c>
      <c r="K93" s="10">
        <f>'[20]MD20000.15-DEc'!$B$3</f>
        <v>45649</v>
      </c>
      <c r="L93" s="7">
        <f>'[20]MD20000.15-DEc'!$O$2</f>
        <v>0</v>
      </c>
      <c r="M93" s="7">
        <f>'[20]MD20000.15-DEc'!$O$1</f>
        <v>11900</v>
      </c>
      <c r="N93" s="1">
        <v>700</v>
      </c>
    </row>
    <row r="94" spans="2:14" ht="22.5" customHeight="1" x14ac:dyDescent="0.2">
      <c r="B94" s="6">
        <v>90</v>
      </c>
      <c r="C94" s="8" t="s">
        <v>120</v>
      </c>
      <c r="D94" s="14" t="s">
        <v>96</v>
      </c>
      <c r="E94" s="7">
        <f>'[21]MD50000.15-DEC'!$C$1</f>
        <v>50000</v>
      </c>
      <c r="F94" s="8">
        <f>'[21]MD50000.15-DEC'!$K$1</f>
        <v>0</v>
      </c>
      <c r="G94" s="8">
        <f>'[21]MD50000.15-DEC'!$K$2</f>
        <v>120</v>
      </c>
      <c r="H94" s="8"/>
      <c r="I94" s="8"/>
      <c r="J94" s="9" t="s">
        <v>12</v>
      </c>
      <c r="K94" s="10">
        <f>'[21]MD50000.15-DEC'!$B$3</f>
        <v>45652</v>
      </c>
      <c r="L94" s="7">
        <f>'[21]MD50000.15-DEC'!$O$2</f>
        <v>0</v>
      </c>
      <c r="M94" s="7">
        <f>'[21]MD50000.15-DEC'!$O$1</f>
        <v>60000</v>
      </c>
      <c r="N94" s="1">
        <v>3500</v>
      </c>
    </row>
    <row r="95" spans="2:14" ht="22.5" customHeight="1" x14ac:dyDescent="0.2">
      <c r="B95" s="6">
        <v>91</v>
      </c>
      <c r="C95" s="8"/>
      <c r="D95" s="14"/>
      <c r="E95" s="7"/>
      <c r="F95" s="8"/>
      <c r="G95" s="8"/>
      <c r="H95" s="8"/>
      <c r="I95" s="8"/>
      <c r="J95" s="9"/>
      <c r="K95" s="10"/>
      <c r="L95" s="7"/>
      <c r="M95" s="7"/>
    </row>
    <row r="96" spans="2:14" ht="22.5" customHeight="1" x14ac:dyDescent="0.2">
      <c r="B96" s="6">
        <v>92</v>
      </c>
      <c r="C96" s="8"/>
      <c r="D96" s="14"/>
      <c r="E96" s="7"/>
      <c r="F96" s="8"/>
      <c r="G96" s="8"/>
      <c r="H96" s="8"/>
      <c r="I96" s="8"/>
      <c r="J96" s="9"/>
      <c r="K96" s="10"/>
      <c r="L96" s="7"/>
      <c r="M96" s="7"/>
    </row>
    <row r="97" spans="2:13" ht="22.5" customHeight="1" x14ac:dyDescent="0.2">
      <c r="B97" s="6">
        <v>93</v>
      </c>
      <c r="C97" s="8"/>
      <c r="D97" s="14"/>
      <c r="E97" s="7"/>
      <c r="F97" s="8"/>
      <c r="G97" s="8"/>
      <c r="H97" s="8"/>
      <c r="I97" s="8"/>
      <c r="J97" s="9"/>
      <c r="K97" s="10"/>
      <c r="L97" s="7"/>
      <c r="M97" s="7"/>
    </row>
    <row r="98" spans="2:13" ht="22.5" customHeight="1" x14ac:dyDescent="0.2">
      <c r="B98" s="6">
        <v>94</v>
      </c>
      <c r="C98" s="8"/>
      <c r="D98" s="14"/>
      <c r="E98" s="7"/>
      <c r="F98" s="8"/>
      <c r="G98" s="8"/>
      <c r="H98" s="8"/>
      <c r="I98" s="8"/>
      <c r="J98" s="9"/>
      <c r="K98" s="10"/>
      <c r="L98" s="7"/>
      <c r="M98" s="7"/>
    </row>
    <row r="99" spans="2:13" ht="22.5" customHeight="1" x14ac:dyDescent="0.2">
      <c r="B99" s="6">
        <v>95</v>
      </c>
      <c r="C99" s="8"/>
      <c r="D99" s="14"/>
      <c r="E99" s="7"/>
      <c r="F99" s="8"/>
      <c r="G99" s="8"/>
      <c r="H99" s="8"/>
      <c r="I99" s="8"/>
      <c r="J99" s="9"/>
      <c r="K99" s="10"/>
      <c r="L99" s="7"/>
      <c r="M99" s="7"/>
    </row>
    <row r="100" spans="2:13" ht="22.5" customHeight="1" x14ac:dyDescent="0.2">
      <c r="B100" s="6">
        <v>96</v>
      </c>
      <c r="C100" s="8"/>
      <c r="D100" s="14"/>
      <c r="E100" s="7"/>
      <c r="F100" s="8"/>
      <c r="G100" s="8"/>
      <c r="H100" s="8"/>
      <c r="I100" s="8"/>
      <c r="J100" s="9"/>
      <c r="K100" s="10"/>
      <c r="L100" s="7"/>
      <c r="M100" s="7"/>
    </row>
  </sheetData>
  <mergeCells count="3">
    <mergeCell ref="L2:M2"/>
    <mergeCell ref="I2:K2"/>
    <mergeCell ref="B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2025</vt:lpstr>
      <vt:lpstr>2023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2025-12-28T07:01:14Z</dcterms:modified>
</cp:coreProperties>
</file>