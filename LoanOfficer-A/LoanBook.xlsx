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</externalReferenc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0" i="6" l="1"/>
  <c r="N2" i="6" l="1"/>
  <c r="M40" i="6" l="1"/>
  <c r="K40" i="6"/>
  <c r="I40" i="6"/>
  <c r="H40" i="6" l="1"/>
  <c r="E40" i="6"/>
  <c r="M39" i="6" l="1"/>
  <c r="L39" i="6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29" i="6" l="1"/>
  <c r="L14" i="6" l="1"/>
  <c r="M30" i="6" l="1"/>
  <c r="K30" i="6"/>
  <c r="I30" i="6"/>
  <c r="H30" i="6"/>
  <c r="E30" i="6"/>
  <c r="M29" i="6" l="1"/>
  <c r="K29" i="6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L17" i="6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</calcChain>
</file>

<file path=xl/sharedStrings.xml><?xml version="1.0" encoding="utf-8"?>
<sst xmlns="http://schemas.openxmlformats.org/spreadsheetml/2006/main" count="122" uniqueCount="64">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</sst>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5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6666"/>
      <color rgb="FF0033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28</v>
          </cell>
          <cell r="O1">
            <v>35000</v>
          </cell>
        </row>
        <row r="2">
          <cell r="K2">
            <v>20</v>
          </cell>
          <cell r="O2">
            <v>49000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45283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31</v>
          </cell>
          <cell r="O1">
            <v>5950</v>
          </cell>
        </row>
        <row r="2">
          <cell r="K2">
            <v>17</v>
          </cell>
          <cell r="O2">
            <v>10850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31</v>
          </cell>
          <cell r="O1">
            <v>5950</v>
          </cell>
        </row>
        <row r="2">
          <cell r="K2">
            <v>17</v>
          </cell>
          <cell r="O2">
            <v>10850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31</v>
          </cell>
          <cell r="O1">
            <v>5950</v>
          </cell>
        </row>
        <row r="2">
          <cell r="K2">
            <v>17</v>
          </cell>
          <cell r="O2">
            <v>10850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1</v>
          </cell>
          <cell r="O1">
            <v>5650</v>
          </cell>
        </row>
        <row r="2">
          <cell r="K2">
            <v>16</v>
          </cell>
          <cell r="O2">
            <v>350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34</v>
          </cell>
          <cell r="O1">
            <v>4900</v>
          </cell>
        </row>
        <row r="2">
          <cell r="K2">
            <v>14</v>
          </cell>
          <cell r="O2">
            <v>11900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>
        <row r="1">
          <cell r="C1">
            <v>10000</v>
          </cell>
          <cell r="K1">
            <v>34</v>
          </cell>
          <cell r="O1">
            <v>4900</v>
          </cell>
        </row>
        <row r="2">
          <cell r="K2">
            <v>14</v>
          </cell>
          <cell r="O2">
            <v>11900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14</v>
          </cell>
          <cell r="O1">
            <v>4600</v>
          </cell>
        </row>
        <row r="2">
          <cell r="K2">
            <v>46</v>
          </cell>
          <cell r="O2">
            <v>1400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3</v>
          </cell>
          <cell r="O1">
            <v>4950</v>
          </cell>
        </row>
        <row r="2">
          <cell r="K2">
            <v>14</v>
          </cell>
          <cell r="O2">
            <v>1050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61</v>
          </cell>
          <cell r="O1">
            <v>5900</v>
          </cell>
        </row>
        <row r="2">
          <cell r="K2">
            <v>59</v>
          </cell>
          <cell r="O2">
            <v>6100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33</v>
          </cell>
          <cell r="O1">
            <v>8700</v>
          </cell>
        </row>
        <row r="2">
          <cell r="K2">
            <v>87</v>
          </cell>
          <cell r="O2">
            <v>3300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  <cell r="O1">
            <v>17000</v>
          </cell>
        </row>
        <row r="2">
          <cell r="K2">
            <v>12</v>
          </cell>
          <cell r="O2">
            <v>7000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K2">
            <v>11</v>
          </cell>
          <cell r="O2">
            <v>8600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66</v>
          </cell>
          <cell r="O1">
            <v>16200</v>
          </cell>
        </row>
        <row r="2">
          <cell r="K2">
            <v>54</v>
          </cell>
          <cell r="O2">
            <v>19800</v>
          </cell>
        </row>
        <row r="3">
          <cell r="B3">
            <v>45354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40</v>
          </cell>
          <cell r="O1">
            <v>2800</v>
          </cell>
        </row>
        <row r="2">
          <cell r="K2">
            <v>8</v>
          </cell>
          <cell r="O2">
            <v>14000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11</v>
          </cell>
          <cell r="O1">
            <v>8600</v>
          </cell>
        </row>
        <row r="2">
          <cell r="K2">
            <v>6</v>
          </cell>
          <cell r="O2">
            <v>15400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43</v>
          </cell>
          <cell r="O1">
            <v>1750</v>
          </cell>
        </row>
        <row r="2">
          <cell r="K2">
            <v>5</v>
          </cell>
          <cell r="O2">
            <v>15050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5800</v>
          </cell>
        </row>
        <row r="2">
          <cell r="K2">
            <v>4</v>
          </cell>
          <cell r="O2">
            <v>18200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1400</v>
          </cell>
        </row>
        <row r="2">
          <cell r="K2">
            <v>4</v>
          </cell>
          <cell r="O2">
            <v>15400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3000</v>
          </cell>
        </row>
        <row r="2">
          <cell r="K2">
            <v>2</v>
          </cell>
          <cell r="O2">
            <v>21000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G1">
            <v>17</v>
          </cell>
          <cell r="O1">
            <v>1050</v>
          </cell>
        </row>
        <row r="2">
          <cell r="K2">
            <v>3</v>
          </cell>
          <cell r="O2">
            <v>4950</v>
          </cell>
        </row>
        <row r="3">
          <cell r="B3">
            <v>45406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  <cell r="O2">
            <v>65800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6000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40"/>
  <sheetViews>
    <sheetView tabSelected="1" topLeftCell="A13" zoomScale="70" zoomScaleNormal="70" workbookViewId="0">
      <selection activeCell="L2" sqref="L2:M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6384" width="9.140625" style="1"/>
  </cols>
  <sheetData>
    <row r="2" spans="2:17" ht="22.5" customHeight="1" x14ac:dyDescent="0.2">
      <c r="B2" s="23" t="s">
        <v>8</v>
      </c>
      <c r="C2" s="24"/>
      <c r="I2" s="20" t="s">
        <v>21</v>
      </c>
      <c r="J2" s="21"/>
      <c r="K2" s="22"/>
      <c r="L2" s="18">
        <f>SUM(L5:L48)</f>
        <v>328750</v>
      </c>
      <c r="M2" s="19"/>
      <c r="N2" s="1">
        <f>SUM(N5:N49)</f>
        <v>18550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2" t="s">
        <v>6</v>
      </c>
      <c r="C4" s="12" t="s">
        <v>1</v>
      </c>
      <c r="D4" s="12" t="s">
        <v>0</v>
      </c>
      <c r="E4" s="12" t="s">
        <v>9</v>
      </c>
      <c r="F4" s="12" t="s">
        <v>3</v>
      </c>
      <c r="G4" s="12" t="s">
        <v>4</v>
      </c>
      <c r="H4" s="12" t="s">
        <v>16</v>
      </c>
      <c r="I4" s="12" t="s">
        <v>17</v>
      </c>
      <c r="J4" s="12" t="s">
        <v>5</v>
      </c>
      <c r="K4" s="12" t="s">
        <v>7</v>
      </c>
      <c r="L4" s="12" t="s">
        <v>10</v>
      </c>
      <c r="M4" s="12" t="s">
        <v>11</v>
      </c>
    </row>
    <row r="5" spans="2:17" ht="22.5" customHeight="1" x14ac:dyDescent="0.2">
      <c r="B5" s="6">
        <v>1</v>
      </c>
      <c r="C5" s="7" t="s">
        <v>2</v>
      </c>
      <c r="D5" s="7" t="s">
        <v>18</v>
      </c>
      <c r="E5" s="8">
        <f>'[1]SM5000.1-SEPT'!$C$1</f>
        <v>5000</v>
      </c>
      <c r="F5" s="9">
        <f>'[1]SM5000.1-SEPT'!$K$1</f>
        <v>0</v>
      </c>
      <c r="G5" s="9">
        <f>'[1]SM5000.1-SEPT'!$K$2</f>
        <v>60</v>
      </c>
      <c r="H5" s="9"/>
      <c r="I5" s="9"/>
      <c r="J5" s="10" t="s">
        <v>22</v>
      </c>
      <c r="K5" s="11">
        <f>'[1]SM5000.1-SEPT'!$B$3</f>
        <v>45180</v>
      </c>
      <c r="L5" s="8">
        <f>'[1]SM5000.1-SEPT'!$O$2</f>
        <v>0</v>
      </c>
      <c r="M5" s="8">
        <f>'[1]SM5000.1-SEPT'!$O$1</f>
        <v>6000</v>
      </c>
    </row>
    <row r="6" spans="2:17" ht="22.5" customHeight="1" x14ac:dyDescent="0.2">
      <c r="B6" s="13">
        <v>2</v>
      </c>
      <c r="C6" s="14" t="s">
        <v>2</v>
      </c>
      <c r="D6" s="15" t="s">
        <v>18</v>
      </c>
      <c r="E6" s="16">
        <f>'[1]SM5000.1-oct'!$C$1</f>
        <v>5000</v>
      </c>
      <c r="F6" s="14">
        <f>'[1]SM5000.1-oct'!$K$1</f>
        <v>0</v>
      </c>
      <c r="G6" s="14">
        <f>'[1]SM5000.1-oct'!$K$2</f>
        <v>60</v>
      </c>
      <c r="H6" s="14"/>
      <c r="I6" s="14"/>
      <c r="J6" s="17" t="s">
        <v>22</v>
      </c>
      <c r="K6" s="15">
        <f>'[1]SM5000.1-oct'!$B$3</f>
        <v>45201</v>
      </c>
      <c r="L6" s="16">
        <f>'[1]SM5000.1-oct'!$O$2</f>
        <v>0</v>
      </c>
      <c r="M6" s="16">
        <f>'[1]SM5000.1-oct'!$O$1</f>
        <v>6000</v>
      </c>
    </row>
    <row r="7" spans="2:17" ht="22.5" customHeight="1" x14ac:dyDescent="0.2">
      <c r="B7" s="6">
        <v>3</v>
      </c>
      <c r="C7" s="9" t="s">
        <v>13</v>
      </c>
      <c r="D7" s="11" t="s">
        <v>19</v>
      </c>
      <c r="E7" s="8">
        <f>'[2]MD10000.1-OCT'!$C$1</f>
        <v>10000</v>
      </c>
      <c r="F7" s="9">
        <f>'[2]MD10000.1-OCT'!$K$1</f>
        <v>0</v>
      </c>
      <c r="G7" s="9">
        <f>'[2]MD10000.1-OCT'!$K$2</f>
        <v>120</v>
      </c>
      <c r="H7" s="9"/>
      <c r="I7" s="9"/>
      <c r="J7" s="10" t="s">
        <v>22</v>
      </c>
      <c r="K7" s="11">
        <f>'[2]MD10000.1-OCT'!$B$3</f>
        <v>45212</v>
      </c>
      <c r="L7" s="8">
        <f>'[2]MD10000.1-OCT'!$O$2</f>
        <v>0</v>
      </c>
      <c r="M7" s="8">
        <f>'[2]MD10000.1-OCT'!$O$1</f>
        <v>12000</v>
      </c>
    </row>
    <row r="8" spans="2:17" ht="22.5" customHeight="1" x14ac:dyDescent="0.2">
      <c r="B8" s="13">
        <v>4</v>
      </c>
      <c r="C8" s="14" t="s">
        <v>14</v>
      </c>
      <c r="D8" s="15" t="s">
        <v>19</v>
      </c>
      <c r="E8" s="16">
        <f>'[3]MD10000.1-OCT'!$C$1</f>
        <v>10000</v>
      </c>
      <c r="F8" s="14">
        <f>'[3]MD10000.1-OCT'!$K$1</f>
        <v>0</v>
      </c>
      <c r="G8" s="14">
        <f>'[3]MD10000.1-OCT'!$K$2</f>
        <v>120</v>
      </c>
      <c r="H8" s="14"/>
      <c r="I8" s="14"/>
      <c r="J8" s="17" t="s">
        <v>22</v>
      </c>
      <c r="K8" s="15">
        <f>'[3]MD10000.1-OCT'!$B$3</f>
        <v>45213</v>
      </c>
      <c r="L8" s="16">
        <f>'[3]MD10000.1-OCT'!$O$2</f>
        <v>0</v>
      </c>
      <c r="M8" s="16">
        <f>'[3]MD10000.1-OCT'!$O$1</f>
        <v>12000</v>
      </c>
    </row>
    <row r="9" spans="2:17" ht="22.5" customHeight="1" x14ac:dyDescent="0.2">
      <c r="B9" s="6">
        <v>5</v>
      </c>
      <c r="C9" s="9" t="s">
        <v>15</v>
      </c>
      <c r="D9" s="11" t="s">
        <v>20</v>
      </c>
      <c r="E9" s="8">
        <f>'[4]MD10000.20-OCT'!$C$1</f>
        <v>10000</v>
      </c>
      <c r="F9" s="9"/>
      <c r="G9" s="9"/>
      <c r="H9" s="9">
        <f>'[4]MD10000.20-OCT'!$K$1</f>
        <v>0</v>
      </c>
      <c r="I9" s="9">
        <f>'[4]MD10000.20-OCT'!$K$2</f>
        <v>17</v>
      </c>
      <c r="J9" s="10" t="s">
        <v>51</v>
      </c>
      <c r="K9" s="11">
        <f>'[4]MD10000.20-OCT'!$B$3</f>
        <v>45226</v>
      </c>
      <c r="L9" s="8">
        <f>'[4]MD10000.20-OCT'!$O$2</f>
        <v>0</v>
      </c>
      <c r="M9" s="8">
        <f>'[4]MD10000.20-OCT'!$O$1</f>
        <v>12000</v>
      </c>
    </row>
    <row r="10" spans="2:17" ht="22.5" customHeight="1" x14ac:dyDescent="0.2">
      <c r="B10" s="13">
        <v>6</v>
      </c>
      <c r="C10" s="14" t="s">
        <v>2</v>
      </c>
      <c r="D10" s="15" t="s">
        <v>18</v>
      </c>
      <c r="E10" s="16">
        <f>'[5]SM5000.1-SEPT (2)'!$C$1</f>
        <v>5000</v>
      </c>
      <c r="F10" s="14">
        <f>'[5]SM5000.1-SEPT (2)'!$K$1</f>
        <v>0</v>
      </c>
      <c r="G10" s="14">
        <f>'[5]SM5000.1-SEPT (2)'!$K$2</f>
        <v>60</v>
      </c>
      <c r="H10" s="14"/>
      <c r="I10" s="14"/>
      <c r="J10" s="10" t="s">
        <v>41</v>
      </c>
      <c r="K10" s="15">
        <f>'[5]SM5000.1-SEPT (2)'!$B$3</f>
        <v>45243</v>
      </c>
      <c r="L10" s="16">
        <f>'[5]SM5000.1-SEPT (2)'!$O$2</f>
        <v>0</v>
      </c>
      <c r="M10" s="16">
        <f>'[5]SM5000.1-SEPT (2)'!$O$1</f>
        <v>6000</v>
      </c>
    </row>
    <row r="11" spans="2:17" ht="22.5" customHeight="1" x14ac:dyDescent="0.2">
      <c r="B11" s="6">
        <v>7</v>
      </c>
      <c r="C11" s="9" t="s">
        <v>23</v>
      </c>
      <c r="D11" s="11" t="s">
        <v>20</v>
      </c>
      <c r="E11" s="8">
        <f>'[6]MD10000.20-OCT'!$C$1</f>
        <v>10000</v>
      </c>
      <c r="F11" s="9"/>
      <c r="G11" s="9"/>
      <c r="H11" s="9">
        <f>'[6]MD10000.20-OCT'!$K$1</f>
        <v>0</v>
      </c>
      <c r="I11" s="9">
        <f>'[6]MD10000.20-OCT'!$K$2</f>
        <v>17</v>
      </c>
      <c r="J11" s="10" t="s">
        <v>51</v>
      </c>
      <c r="K11" s="11">
        <f>'[6]MD10000.20-OCT'!$B$3</f>
        <v>45245</v>
      </c>
      <c r="L11" s="8">
        <f>'[6]MD10000.20-OCT'!$O$2</f>
        <v>0</v>
      </c>
      <c r="M11" s="8">
        <f>'[6]MD10000.20-OCT'!$O$1</f>
        <v>12000</v>
      </c>
    </row>
    <row r="12" spans="2:17" ht="22.5" customHeight="1" x14ac:dyDescent="0.2">
      <c r="B12" s="13">
        <v>8</v>
      </c>
      <c r="C12" s="14" t="s">
        <v>24</v>
      </c>
      <c r="D12" s="15" t="s">
        <v>25</v>
      </c>
      <c r="E12" s="16">
        <f>'[7]MD15000.27-NOV'!$C$1</f>
        <v>15000</v>
      </c>
      <c r="F12" s="14"/>
      <c r="G12" s="14"/>
      <c r="H12" s="14">
        <f>'[7]MD15000.27-NOV'!$K$1</f>
        <v>0</v>
      </c>
      <c r="I12" s="14">
        <f>'[7]MD15000.27-NOV'!$K$2</f>
        <v>17</v>
      </c>
      <c r="J12" s="17" t="s">
        <v>51</v>
      </c>
      <c r="K12" s="15">
        <f>'[7]MD15000.27-NOV'!$B$3</f>
        <v>45266</v>
      </c>
      <c r="L12" s="16">
        <f>'[7]MD15000.27-NOV'!$O$2</f>
        <v>0</v>
      </c>
      <c r="M12" s="16">
        <f>'[7]MD15000.27-NOV'!$O$1</f>
        <v>18000</v>
      </c>
    </row>
    <row r="13" spans="2:17" ht="22.5" customHeight="1" x14ac:dyDescent="0.2">
      <c r="B13" s="6">
        <v>9</v>
      </c>
      <c r="C13" s="9" t="s">
        <v>26</v>
      </c>
      <c r="D13" s="11" t="s">
        <v>29</v>
      </c>
      <c r="E13" s="8">
        <f>'[8]MD20000.15-DEC'!$C$1</f>
        <v>20000</v>
      </c>
      <c r="F13" s="9"/>
      <c r="G13" s="9"/>
      <c r="H13" s="9">
        <f>'[8]MD20000.15-DEC'!$K$1</f>
        <v>0</v>
      </c>
      <c r="I13" s="9">
        <f>'[8]MD20000.15-DEC'!$K$2</f>
        <v>17</v>
      </c>
      <c r="J13" s="10" t="s">
        <v>51</v>
      </c>
      <c r="K13" s="11">
        <f>'[8]MD20000.15-DEC'!$B$3</f>
        <v>45649</v>
      </c>
      <c r="L13" s="8">
        <f>'[8]MD20000.15-DEC'!$O$2</f>
        <v>0</v>
      </c>
      <c r="M13" s="8">
        <f>'[8]MD20000.15-DEC'!$O$1</f>
        <v>24000</v>
      </c>
    </row>
    <row r="14" spans="2:17" ht="22.5" customHeight="1" x14ac:dyDescent="0.2">
      <c r="B14" s="13">
        <v>10</v>
      </c>
      <c r="C14" s="14" t="s">
        <v>27</v>
      </c>
      <c r="D14" s="15" t="s">
        <v>28</v>
      </c>
      <c r="E14" s="16">
        <f>'[9]MD20000.15-DEc'!$C$1</f>
        <v>20000</v>
      </c>
      <c r="F14" s="14"/>
      <c r="G14" s="14"/>
      <c r="H14" s="14">
        <f>'[9]MD20000.15-DEc'!$K$1</f>
        <v>0</v>
      </c>
      <c r="I14" s="14">
        <f>'[9]MD20000.15-DEc'!$K$2</f>
        <v>17</v>
      </c>
      <c r="J14" s="17" t="s">
        <v>51</v>
      </c>
      <c r="K14" s="15">
        <f>'[9]MD20000.15-DEc'!$B$3</f>
        <v>45646</v>
      </c>
      <c r="L14" s="16">
        <f>'[9]MD20000.15-DEc'!$O$2</f>
        <v>0</v>
      </c>
      <c r="M14" s="16">
        <f>'[9]MD20000.15-DEc'!$O$1</f>
        <v>24000</v>
      </c>
    </row>
    <row r="15" spans="2:17" ht="22.5" customHeight="1" x14ac:dyDescent="0.2">
      <c r="B15" s="6">
        <v>11</v>
      </c>
      <c r="C15" s="9" t="s">
        <v>30</v>
      </c>
      <c r="D15" s="11" t="s">
        <v>31</v>
      </c>
      <c r="E15" s="8">
        <f>'[10]MD50000.15-DEC'!$C$1</f>
        <v>50000</v>
      </c>
      <c r="F15" s="9"/>
      <c r="G15" s="9"/>
      <c r="H15" s="9">
        <f>'[10]MD50000.15-DEC'!$K$1</f>
        <v>28</v>
      </c>
      <c r="I15" s="9">
        <f>'[10]MD50000.15-DEC'!$K$2</f>
        <v>20</v>
      </c>
      <c r="J15" s="10" t="s">
        <v>12</v>
      </c>
      <c r="K15" s="11">
        <f>'[10]MD50000.15-DEC'!$B$3</f>
        <v>45648</v>
      </c>
      <c r="L15" s="8">
        <f>'[10]MD50000.15-DEC'!$O$2</f>
        <v>49000</v>
      </c>
      <c r="M15" s="8">
        <f>'[10]MD50000.15-DEC'!$O$1</f>
        <v>35000</v>
      </c>
      <c r="N15" s="1">
        <v>1750</v>
      </c>
    </row>
    <row r="16" spans="2:17" ht="22.5" customHeight="1" x14ac:dyDescent="0.2">
      <c r="B16" s="13">
        <v>12</v>
      </c>
      <c r="C16" s="14" t="s">
        <v>32</v>
      </c>
      <c r="D16" s="15" t="s">
        <v>33</v>
      </c>
      <c r="E16" s="16">
        <f>'[11]MD20000.18-DEC'!$C$1</f>
        <v>20000</v>
      </c>
      <c r="F16" s="14">
        <f>'[11]MD20000.18-DEC'!$K$1</f>
        <v>0</v>
      </c>
      <c r="G16" s="14">
        <f>'[11]MD20000.18-DEC'!$K$2</f>
        <v>120</v>
      </c>
      <c r="H16" s="14"/>
      <c r="I16" s="14"/>
      <c r="J16" s="17" t="s">
        <v>53</v>
      </c>
      <c r="K16" s="15">
        <f>'[11]MD20000.18-DEC'!$B$3</f>
        <v>45279</v>
      </c>
      <c r="L16" s="16">
        <f>'[11]MD20000.18-DEC'!$O$2</f>
        <v>0</v>
      </c>
      <c r="M16" s="16">
        <f>'[11]MD20000.18-DEC'!$O$1</f>
        <v>24000</v>
      </c>
    </row>
    <row r="17" spans="2:14" ht="22.5" customHeight="1" x14ac:dyDescent="0.2">
      <c r="B17" s="6">
        <v>13</v>
      </c>
      <c r="C17" s="9" t="s">
        <v>34</v>
      </c>
      <c r="D17" s="11" t="s">
        <v>33</v>
      </c>
      <c r="E17" s="8">
        <f>'[12]MD20000.22-DEC'!$C$1</f>
        <v>20000</v>
      </c>
      <c r="F17" s="9">
        <f>'[12]MD20000.22-DEC'!$K$1</f>
        <v>0</v>
      </c>
      <c r="G17" s="9">
        <f>'[12]MD20000.22-DEC'!$K$2</f>
        <v>120</v>
      </c>
      <c r="H17" s="9"/>
      <c r="I17" s="9"/>
      <c r="J17" s="10" t="s">
        <v>12</v>
      </c>
      <c r="K17" s="11">
        <f>'[12]MD20000.22-DEC'!$B$3</f>
        <v>45283</v>
      </c>
      <c r="L17" s="8">
        <f>'[12]MD20000.22-DEC'!$O$2</f>
        <v>0</v>
      </c>
      <c r="M17" s="8">
        <f>'[12]MD20000.22-DEC'!$O$1</f>
        <v>24000</v>
      </c>
    </row>
    <row r="18" spans="2:14" ht="22.5" customHeight="1" x14ac:dyDescent="0.2">
      <c r="B18" s="13">
        <v>14</v>
      </c>
      <c r="C18" s="14" t="s">
        <v>35</v>
      </c>
      <c r="D18" s="15" t="s">
        <v>36</v>
      </c>
      <c r="E18" s="16">
        <f>'[13]MD50000.15-DEC'!$C$1</f>
        <v>10000</v>
      </c>
      <c r="F18" s="14"/>
      <c r="G18" s="14"/>
      <c r="H18" s="14">
        <f>'[13]MD50000.15-DEC'!$K$1</f>
        <v>31</v>
      </c>
      <c r="I18" s="14">
        <f>'[13]MD50000.15-DEC'!$K$2</f>
        <v>17</v>
      </c>
      <c r="J18" s="17" t="s">
        <v>12</v>
      </c>
      <c r="K18" s="15">
        <f>'[13]MD50000.15-DEC'!$B$3</f>
        <v>45310</v>
      </c>
      <c r="L18" s="16">
        <f>'[13]MD50000.15-DEC'!$O$2</f>
        <v>10850</v>
      </c>
      <c r="M18" s="16">
        <f>'[13]MD50000.15-DEC'!$O$1</f>
        <v>5950</v>
      </c>
      <c r="N18" s="1">
        <v>350</v>
      </c>
    </row>
    <row r="19" spans="2:14" ht="22.5" customHeight="1" x14ac:dyDescent="0.2">
      <c r="B19" s="6">
        <v>15</v>
      </c>
      <c r="C19" s="9" t="s">
        <v>37</v>
      </c>
      <c r="D19" s="11" t="s">
        <v>18</v>
      </c>
      <c r="E19" s="8">
        <f>'[14]MD5000-Jan24'!$C$1</f>
        <v>5000</v>
      </c>
      <c r="F19" s="9">
        <f>'[14]MD5000-Jan24'!$K$1</f>
        <v>0</v>
      </c>
      <c r="G19" s="9">
        <f>'[14]MD5000-Jan24'!$K$2</f>
        <v>60</v>
      </c>
      <c r="H19" s="9"/>
      <c r="I19" s="9"/>
      <c r="J19" s="10" t="s">
        <v>51</v>
      </c>
      <c r="K19" s="11">
        <f>'[14]MD5000-Jan24'!$B$3</f>
        <v>45302</v>
      </c>
      <c r="L19" s="8">
        <f>'[14]MD5000-Jan24'!$O$2</f>
        <v>0</v>
      </c>
      <c r="M19" s="8">
        <f>'[14]MD5000-Jan24'!$O$1</f>
        <v>6000</v>
      </c>
    </row>
    <row r="20" spans="2:14" ht="22.5" customHeight="1" x14ac:dyDescent="0.2">
      <c r="B20" s="13">
        <v>16</v>
      </c>
      <c r="C20" s="14" t="s">
        <v>38</v>
      </c>
      <c r="D20" s="15" t="s">
        <v>39</v>
      </c>
      <c r="E20" s="16">
        <f>'[15]MD10000.10-JAN'!$C$1</f>
        <v>10000</v>
      </c>
      <c r="F20" s="14"/>
      <c r="G20" s="14"/>
      <c r="H20" s="14">
        <f>'[15]MD10000.10-JAN'!$K$1</f>
        <v>31</v>
      </c>
      <c r="I20" s="14">
        <f>'[15]MD10000.10-JAN'!$K$2</f>
        <v>17</v>
      </c>
      <c r="J20" s="17" t="s">
        <v>12</v>
      </c>
      <c r="K20" s="15">
        <f>'[15]MD10000.10-JAN'!$B$3</f>
        <v>45308</v>
      </c>
      <c r="L20" s="16">
        <f>'[15]MD10000.10-JAN'!$O$2</f>
        <v>10850</v>
      </c>
      <c r="M20" s="16">
        <f>'[15]MD10000.10-JAN'!$O$1</f>
        <v>5950</v>
      </c>
      <c r="N20" s="1">
        <v>350</v>
      </c>
    </row>
    <row r="21" spans="2:14" ht="22.5" customHeight="1" x14ac:dyDescent="0.2">
      <c r="B21" s="6">
        <v>17</v>
      </c>
      <c r="C21" s="9" t="s">
        <v>40</v>
      </c>
      <c r="D21" s="11" t="s">
        <v>39</v>
      </c>
      <c r="E21" s="8">
        <f>'[16]MD10000.10-JAN'!$C$1</f>
        <v>10000</v>
      </c>
      <c r="F21" s="9"/>
      <c r="G21" s="9"/>
      <c r="H21" s="9">
        <f>'[16]MD10000.10-JAN'!$K$1</f>
        <v>31</v>
      </c>
      <c r="I21" s="9">
        <f>'[16]MD10000.10-JAN'!$K$2</f>
        <v>17</v>
      </c>
      <c r="J21" s="10" t="s">
        <v>12</v>
      </c>
      <c r="K21" s="11">
        <f>'[16]MD10000.10-JAN'!$B$3</f>
        <v>45308</v>
      </c>
      <c r="L21" s="8">
        <f>'[16]MD10000.10-JAN'!$O$2</f>
        <v>10850</v>
      </c>
      <c r="M21" s="8">
        <f>'[16]MD10000.10-JAN'!$O$1</f>
        <v>5950</v>
      </c>
      <c r="N21" s="1">
        <v>350</v>
      </c>
    </row>
    <row r="22" spans="2:14" ht="22.5" customHeight="1" x14ac:dyDescent="0.2">
      <c r="B22" s="13">
        <v>18</v>
      </c>
      <c r="C22" s="14" t="s">
        <v>42</v>
      </c>
      <c r="D22" s="15" t="s">
        <v>43</v>
      </c>
      <c r="E22" s="16">
        <f>'[17]MD10000.20-OCT'!$C$1</f>
        <v>5000</v>
      </c>
      <c r="F22" s="14"/>
      <c r="G22" s="14"/>
      <c r="H22" s="14">
        <f>'[17]MD10000.20-OCT'!$K$1</f>
        <v>1</v>
      </c>
      <c r="I22" s="14">
        <f>'[17]MD10000.20-OCT'!$K$2</f>
        <v>16</v>
      </c>
      <c r="J22" s="17" t="s">
        <v>12</v>
      </c>
      <c r="K22" s="15">
        <f>'[17]MD10000.20-OCT'!$B$3</f>
        <v>45316</v>
      </c>
      <c r="L22" s="16">
        <f>'[17]MD10000.20-OCT'!$O$2</f>
        <v>350</v>
      </c>
      <c r="M22" s="16">
        <f>'[17]MD10000.20-OCT'!$O$1</f>
        <v>5650</v>
      </c>
      <c r="N22" s="1">
        <v>350</v>
      </c>
    </row>
    <row r="23" spans="2:14" ht="22.5" customHeight="1" x14ac:dyDescent="0.2">
      <c r="B23" s="6">
        <v>19</v>
      </c>
      <c r="C23" s="9" t="s">
        <v>44</v>
      </c>
      <c r="D23" s="15" t="s">
        <v>36</v>
      </c>
      <c r="E23" s="8">
        <f>'[18]MD10000.20-OCT'!$C$1</f>
        <v>10000</v>
      </c>
      <c r="F23" s="9"/>
      <c r="G23" s="9"/>
      <c r="H23" s="9">
        <f>'[18]MD10000.20-OCT'!$K$1</f>
        <v>34</v>
      </c>
      <c r="I23" s="9">
        <f>'[18]MD10000.20-OCT'!$K$2</f>
        <v>14</v>
      </c>
      <c r="J23" s="10" t="s">
        <v>12</v>
      </c>
      <c r="K23" s="11">
        <f>'[18]MD10000.20-OCT'!$B$3</f>
        <v>45324</v>
      </c>
      <c r="L23" s="8">
        <f>'[18]MD10000.20-OCT'!$O$2</f>
        <v>11900</v>
      </c>
      <c r="M23" s="8">
        <f>'[18]MD10000.20-OCT'!$O$1</f>
        <v>4900</v>
      </c>
      <c r="N23" s="1">
        <v>350</v>
      </c>
    </row>
    <row r="24" spans="2:14" ht="22.5" customHeight="1" x14ac:dyDescent="0.2">
      <c r="B24" s="6">
        <v>20</v>
      </c>
      <c r="C24" s="9" t="s">
        <v>45</v>
      </c>
      <c r="D24" s="11" t="s">
        <v>46</v>
      </c>
      <c r="E24" s="8">
        <f>'[19]MD10000.20-OCT'!$C$1</f>
        <v>10000</v>
      </c>
      <c r="F24" s="9"/>
      <c r="G24" s="9"/>
      <c r="H24" s="9">
        <f>'[19]MD10000.20-OCT'!$K$1</f>
        <v>34</v>
      </c>
      <c r="I24" s="9">
        <f>'[19]MD10000.20-OCT'!$K$2</f>
        <v>14</v>
      </c>
      <c r="J24" s="10" t="s">
        <v>12</v>
      </c>
      <c r="K24" s="11">
        <f>'[19]MD10000.20-OCT'!$B$3</f>
        <v>45327</v>
      </c>
      <c r="L24" s="8">
        <f>'[19]MD10000.20-OCT'!$O$2</f>
        <v>11900</v>
      </c>
      <c r="M24" s="8">
        <f>'[19]MD10000.20-OCT'!$O$1</f>
        <v>4900</v>
      </c>
      <c r="N24" s="1">
        <v>350</v>
      </c>
    </row>
    <row r="25" spans="2:14" ht="22.5" customHeight="1" x14ac:dyDescent="0.2">
      <c r="B25" s="6">
        <v>21</v>
      </c>
      <c r="C25" s="9" t="s">
        <v>47</v>
      </c>
      <c r="D25" s="15" t="s">
        <v>18</v>
      </c>
      <c r="E25" s="8">
        <f>'[20]SM5000.1-oct'!$C$1</f>
        <v>5000</v>
      </c>
      <c r="F25" s="9">
        <f>'[20]SM5000.1-oct'!$K$1</f>
        <v>14</v>
      </c>
      <c r="G25" s="9">
        <f>'[20]SM5000.1-oct'!$K$2</f>
        <v>46</v>
      </c>
      <c r="H25" s="9"/>
      <c r="I25" s="9"/>
      <c r="J25" s="10" t="s">
        <v>12</v>
      </c>
      <c r="K25" s="11">
        <f>'[20]SM5000.1-oct'!$B$3</f>
        <v>45323</v>
      </c>
      <c r="L25" s="8">
        <f>'[20]SM5000.1-oct'!$O$2</f>
        <v>1400</v>
      </c>
      <c r="M25" s="8">
        <f>'[20]SM5000.1-oct'!$O$1</f>
        <v>4600</v>
      </c>
      <c r="N25" s="1">
        <v>700</v>
      </c>
    </row>
    <row r="26" spans="2:14" ht="22.5" customHeight="1" x14ac:dyDescent="0.2">
      <c r="B26" s="6">
        <v>22</v>
      </c>
      <c r="C26" s="9" t="s">
        <v>49</v>
      </c>
      <c r="D26" s="15" t="s">
        <v>48</v>
      </c>
      <c r="E26" s="8">
        <f>'[21]MD10000.20-OCT'!$C$1</f>
        <v>5000</v>
      </c>
      <c r="F26" s="9"/>
      <c r="G26" s="9"/>
      <c r="H26" s="9">
        <f>'[21]MD10000.20-OCT'!$K$1</f>
        <v>3</v>
      </c>
      <c r="I26" s="9">
        <f>'[21]MD10000.20-OCT'!$K$2</f>
        <v>14</v>
      </c>
      <c r="J26" s="10" t="s">
        <v>12</v>
      </c>
      <c r="K26" s="11">
        <f>'[21]MD10000.20-OCT'!$B$3</f>
        <v>45332</v>
      </c>
      <c r="L26" s="8">
        <f>'[21]MD10000.20-OCT'!$O$2</f>
        <v>1050</v>
      </c>
      <c r="M26" s="8">
        <f>'[21]MD10000.20-OCT'!$O$1</f>
        <v>4950</v>
      </c>
      <c r="N26" s="1">
        <v>350</v>
      </c>
    </row>
    <row r="27" spans="2:14" x14ac:dyDescent="0.2">
      <c r="B27" s="13">
        <v>23</v>
      </c>
      <c r="C27" s="14" t="s">
        <v>14</v>
      </c>
      <c r="D27" s="15" t="s">
        <v>19</v>
      </c>
      <c r="E27" s="16">
        <f>'[22]MD10000.1-OCT'!$C$1</f>
        <v>10000</v>
      </c>
      <c r="F27" s="14">
        <f>'[22]MD10000.1-OCT'!$K$1</f>
        <v>61</v>
      </c>
      <c r="G27" s="14">
        <f>'[22]MD10000.1-OCT'!$K$2</f>
        <v>59</v>
      </c>
      <c r="H27" s="14"/>
      <c r="I27" s="14"/>
      <c r="J27" s="17" t="s">
        <v>12</v>
      </c>
      <c r="K27" s="15">
        <f>'[22]MD10000.1-OCT'!$B$3</f>
        <v>45339</v>
      </c>
      <c r="L27" s="16">
        <f>'[22]MD10000.1-OCT'!$O$2</f>
        <v>6100</v>
      </c>
      <c r="M27" s="16">
        <f>'[22]MD10000.1-OCT'!$O$1</f>
        <v>5900</v>
      </c>
      <c r="N27" s="1">
        <v>700</v>
      </c>
    </row>
    <row r="28" spans="2:14" ht="22.5" customHeight="1" x14ac:dyDescent="0.2">
      <c r="B28" s="6">
        <v>24</v>
      </c>
      <c r="C28" s="9" t="s">
        <v>13</v>
      </c>
      <c r="D28" s="15" t="s">
        <v>19</v>
      </c>
      <c r="E28" s="8">
        <f>'[23]MD10000.1-OCT'!$C$1</f>
        <v>10000</v>
      </c>
      <c r="F28" s="9">
        <f>'[23]MD10000.1-OCT'!$K$1</f>
        <v>33</v>
      </c>
      <c r="G28" s="9">
        <f>'[23]MD10000.1-OCT'!$K$2</f>
        <v>87</v>
      </c>
      <c r="H28" s="9"/>
      <c r="I28" s="9"/>
      <c r="J28" s="10" t="s">
        <v>12</v>
      </c>
      <c r="K28" s="11">
        <f>'[23]MD10000.1-OCT'!$B$3</f>
        <v>45334</v>
      </c>
      <c r="L28" s="8">
        <f>'[23]MD10000.1-OCT'!$O$2</f>
        <v>3300</v>
      </c>
      <c r="M28" s="8">
        <f>'[23]MD10000.1-OCT'!$O$1</f>
        <v>8700</v>
      </c>
      <c r="N28" s="1">
        <v>700</v>
      </c>
    </row>
    <row r="29" spans="2:14" ht="22.5" customHeight="1" x14ac:dyDescent="0.2">
      <c r="B29" s="6">
        <v>25</v>
      </c>
      <c r="C29" s="9" t="s">
        <v>23</v>
      </c>
      <c r="D29" s="11" t="s">
        <v>50</v>
      </c>
      <c r="E29" s="8">
        <f>'[24]MD20000.15-DEC'!$C$1</f>
        <v>20000</v>
      </c>
      <c r="F29" s="9"/>
      <c r="G29" s="9"/>
      <c r="H29" s="9">
        <f>'[24]MD20000.15-DEC'!$K$1</f>
        <v>5</v>
      </c>
      <c r="I29" s="9">
        <f>'[24]MD20000.15-DEC'!$K$2</f>
        <v>12</v>
      </c>
      <c r="J29" s="10" t="s">
        <v>12</v>
      </c>
      <c r="K29" s="11">
        <f>'[24]MD20000.15-DEC'!$B$3</f>
        <v>45337</v>
      </c>
      <c r="L29" s="8">
        <f>'[24]MD20000.15-DEC'!$O$2</f>
        <v>7000</v>
      </c>
      <c r="M29" s="8">
        <f>'[24]MD20000.15-DEC'!$O$1</f>
        <v>17000</v>
      </c>
      <c r="N29" s="1">
        <v>1400</v>
      </c>
    </row>
    <row r="30" spans="2:14" ht="22.5" customHeight="1" x14ac:dyDescent="0.2">
      <c r="B30" s="6">
        <v>26</v>
      </c>
      <c r="C30" s="9" t="s">
        <v>15</v>
      </c>
      <c r="D30" s="11" t="s">
        <v>52</v>
      </c>
      <c r="E30" s="8">
        <f>'[25]MD20000.15-DEC'!$C$1</f>
        <v>20000</v>
      </c>
      <c r="F30" s="9"/>
      <c r="G30" s="9"/>
      <c r="H30" s="9">
        <f>'[25]MD20000.15-DEC'!$K$1</f>
        <v>6</v>
      </c>
      <c r="I30" s="9">
        <f>'[25]MD20000.15-DEC'!$K$2</f>
        <v>11</v>
      </c>
      <c r="J30" s="10" t="s">
        <v>12</v>
      </c>
      <c r="K30" s="11">
        <f>'[25]MD20000.15-DEC'!$B$3</f>
        <v>45345</v>
      </c>
      <c r="L30" s="8">
        <f>'[25]MD20000.15-DEC'!$O$2</f>
        <v>8600</v>
      </c>
      <c r="M30" s="8">
        <f>'[25]MD20000.15-DEC'!$O$1</f>
        <v>15400</v>
      </c>
      <c r="N30" s="1">
        <v>1400</v>
      </c>
    </row>
    <row r="31" spans="2:14" ht="22.5" customHeight="1" x14ac:dyDescent="0.2">
      <c r="B31" s="13">
        <v>27</v>
      </c>
      <c r="C31" s="14" t="s">
        <v>32</v>
      </c>
      <c r="D31" s="15" t="s">
        <v>33</v>
      </c>
      <c r="E31" s="16">
        <f>'[26]MD20000.18-DEC'!$C$1</f>
        <v>30000</v>
      </c>
      <c r="F31" s="14">
        <f>'[26]MD20000.18-DEC'!$K$1</f>
        <v>66</v>
      </c>
      <c r="G31" s="14">
        <f>'[26]MD20000.18-DEC'!$K$2</f>
        <v>54</v>
      </c>
      <c r="H31" s="14"/>
      <c r="I31" s="14"/>
      <c r="J31" s="17" t="s">
        <v>12</v>
      </c>
      <c r="K31" s="15">
        <f>'[26]MD20000.18-DEC'!$B$3</f>
        <v>45354</v>
      </c>
      <c r="L31" s="16">
        <f>'[26]MD20000.18-DEC'!$O$2</f>
        <v>19800</v>
      </c>
      <c r="M31" s="16">
        <f>'[26]MD20000.18-DEC'!$O$1</f>
        <v>16200</v>
      </c>
      <c r="N31" s="1">
        <v>2100</v>
      </c>
    </row>
    <row r="32" spans="2:14" ht="22.5" customHeight="1" x14ac:dyDescent="0.2">
      <c r="B32" s="13">
        <v>28</v>
      </c>
      <c r="C32" s="14" t="s">
        <v>54</v>
      </c>
      <c r="D32" s="15" t="s">
        <v>36</v>
      </c>
      <c r="E32" s="16">
        <f>'[27]MD10000.10-JAN'!$C$1</f>
        <v>10000</v>
      </c>
      <c r="F32" s="14"/>
      <c r="G32" s="14"/>
      <c r="H32" s="14">
        <f>'[27]MD10000.10-JAN'!$K$1</f>
        <v>40</v>
      </c>
      <c r="I32" s="14">
        <f>'[27]MD10000.10-JAN'!$K$2</f>
        <v>8</v>
      </c>
      <c r="J32" s="17" t="s">
        <v>12</v>
      </c>
      <c r="K32" s="15">
        <f>'[27]MD10000.10-JAN'!$B$3</f>
        <v>45366</v>
      </c>
      <c r="L32" s="16">
        <f>'[27]MD10000.10-JAN'!$O$2</f>
        <v>14000</v>
      </c>
      <c r="M32" s="16">
        <f>'[27]MD10000.10-JAN'!$O$1</f>
        <v>2800</v>
      </c>
      <c r="N32" s="1">
        <v>350</v>
      </c>
    </row>
    <row r="33" spans="2:14" ht="22.5" customHeight="1" x14ac:dyDescent="0.2">
      <c r="B33" s="13">
        <v>29</v>
      </c>
      <c r="C33" s="9" t="s">
        <v>13</v>
      </c>
      <c r="D33" s="11" t="s">
        <v>52</v>
      </c>
      <c r="E33" s="16">
        <f>'[28]MD20000.15-DEc'!$C$1</f>
        <v>20000</v>
      </c>
      <c r="F33" s="14"/>
      <c r="G33" s="14"/>
      <c r="H33" s="14">
        <f>'[28]MD20000.15-DEc'!$K$1</f>
        <v>11</v>
      </c>
      <c r="I33" s="14">
        <f>'[28]MD20000.15-DEc'!$K$2</f>
        <v>6</v>
      </c>
      <c r="J33" s="17" t="s">
        <v>12</v>
      </c>
      <c r="K33" s="15">
        <f>'[28]MD20000.15-DEc'!$B$3</f>
        <v>45380</v>
      </c>
      <c r="L33" s="16">
        <f>'[28]MD20000.15-DEc'!$O$2</f>
        <v>15400</v>
      </c>
      <c r="M33" s="16">
        <f>'[28]MD20000.15-DEc'!$O$1</f>
        <v>8600</v>
      </c>
      <c r="N33" s="1">
        <v>1400</v>
      </c>
    </row>
    <row r="34" spans="2:14" ht="22.5" customHeight="1" x14ac:dyDescent="0.2">
      <c r="B34" s="13">
        <v>30</v>
      </c>
      <c r="C34" s="9" t="s">
        <v>55</v>
      </c>
      <c r="D34" s="15" t="s">
        <v>36</v>
      </c>
      <c r="E34" s="16">
        <f>'[29]MD10000.10-JAN'!$C$1</f>
        <v>10000</v>
      </c>
      <c r="F34" s="14"/>
      <c r="G34" s="14"/>
      <c r="H34" s="14">
        <f>'[29]MD10000.10-JAN'!$K$1</f>
        <v>43</v>
      </c>
      <c r="I34" s="14">
        <f>'[29]MD10000.10-JAN'!$K$2</f>
        <v>5</v>
      </c>
      <c r="J34" s="17" t="s">
        <v>12</v>
      </c>
      <c r="K34" s="15">
        <f>'[29]MD10000.10-JAN'!$B$3</f>
        <v>45389</v>
      </c>
      <c r="L34" s="16">
        <f>'[29]MD10000.10-JAN'!$O$2</f>
        <v>15050</v>
      </c>
      <c r="M34" s="16">
        <f>'[29]MD10000.10-JAN'!$O$1</f>
        <v>1750</v>
      </c>
      <c r="N34" s="1">
        <v>350</v>
      </c>
    </row>
    <row r="35" spans="2:14" ht="22.5" customHeight="1" x14ac:dyDescent="0.2">
      <c r="B35" s="6">
        <v>31</v>
      </c>
      <c r="C35" s="9" t="s">
        <v>56</v>
      </c>
      <c r="D35" s="11" t="s">
        <v>52</v>
      </c>
      <c r="E35" s="8">
        <f>'[30]MD20000.15-DEc'!$C$1</f>
        <v>20000</v>
      </c>
      <c r="F35" s="9"/>
      <c r="G35" s="9"/>
      <c r="H35" s="9">
        <f>'[30]MD20000.15-DEc'!$G$1</f>
        <v>17</v>
      </c>
      <c r="I35" s="9">
        <f>'[30]MD20000.15-DEc'!$K$2</f>
        <v>4</v>
      </c>
      <c r="J35" s="10" t="s">
        <v>12</v>
      </c>
      <c r="K35" s="11">
        <f>'[30]MD20000.15-DEc'!$B$3</f>
        <v>45394</v>
      </c>
      <c r="L35" s="8">
        <f>'[30]MD20000.15-DEc'!$O$2</f>
        <v>18200</v>
      </c>
      <c r="M35" s="8">
        <f>'[30]MD20000.15-DEc'!$O$1</f>
        <v>5800</v>
      </c>
      <c r="N35" s="1">
        <v>1400</v>
      </c>
    </row>
    <row r="36" spans="2:14" ht="22.5" customHeight="1" x14ac:dyDescent="0.2">
      <c r="B36" s="13">
        <v>32</v>
      </c>
      <c r="C36" s="9" t="s">
        <v>57</v>
      </c>
      <c r="D36" s="15" t="s">
        <v>39</v>
      </c>
      <c r="E36" s="16">
        <f>'[31]MD10000.10-JAN'!$C$1</f>
        <v>10000</v>
      </c>
      <c r="F36" s="14"/>
      <c r="G36" s="14"/>
      <c r="H36" s="14">
        <f>'[31]MD10000.10-JAN'!$G$1</f>
        <v>48</v>
      </c>
      <c r="I36" s="14">
        <f>'[31]MD10000.10-JAN'!$K$2</f>
        <v>4</v>
      </c>
      <c r="J36" s="17" t="s">
        <v>12</v>
      </c>
      <c r="K36" s="15">
        <f>'[31]MD10000.10-JAN'!$B$3</f>
        <v>45399</v>
      </c>
      <c r="L36" s="16">
        <f>'[31]MD10000.10-JAN'!$O$2</f>
        <v>15400</v>
      </c>
      <c r="M36" s="16">
        <f>'[31]MD10000.10-JAN'!$O$1</f>
        <v>1400</v>
      </c>
      <c r="N36" s="1">
        <v>350</v>
      </c>
    </row>
    <row r="37" spans="2:14" ht="22.5" customHeight="1" x14ac:dyDescent="0.2">
      <c r="B37" s="6">
        <v>33</v>
      </c>
      <c r="C37" s="9" t="s">
        <v>58</v>
      </c>
      <c r="D37" s="11" t="s">
        <v>52</v>
      </c>
      <c r="E37" s="8">
        <f>'[32]MD20000.15-DEc'!$C$1</f>
        <v>20000</v>
      </c>
      <c r="F37" s="9"/>
      <c r="G37" s="9"/>
      <c r="H37" s="9">
        <f>'[32]MD20000.15-DEc'!$G$1</f>
        <v>17</v>
      </c>
      <c r="I37" s="9">
        <f>'[32]MD20000.15-DEc'!$K$2</f>
        <v>2</v>
      </c>
      <c r="J37" s="10" t="s">
        <v>12</v>
      </c>
      <c r="K37" s="11">
        <f>'[32]MD20000.15-DEc'!$B$3</f>
        <v>45406</v>
      </c>
      <c r="L37" s="8">
        <f>'[32]MD20000.15-DEc'!$O$2</f>
        <v>21000</v>
      </c>
      <c r="M37" s="8">
        <f>'[32]MD20000.15-DEc'!$O$1</f>
        <v>3000</v>
      </c>
      <c r="N37" s="1">
        <v>1400</v>
      </c>
    </row>
    <row r="38" spans="2:14" ht="22.5" customHeight="1" x14ac:dyDescent="0.2">
      <c r="B38" s="13">
        <v>34</v>
      </c>
      <c r="C38" s="9" t="s">
        <v>59</v>
      </c>
      <c r="D38" s="15" t="s">
        <v>60</v>
      </c>
      <c r="E38" s="16">
        <f>'[33]MD10000.20-OCT'!$C$1</f>
        <v>5000</v>
      </c>
      <c r="F38" s="14"/>
      <c r="G38" s="14"/>
      <c r="H38" s="14">
        <f>'[33]MD10000.20-OCT'!$G$1</f>
        <v>17</v>
      </c>
      <c r="I38" s="14">
        <f>'[33]MD10000.20-OCT'!$K$2</f>
        <v>3</v>
      </c>
      <c r="J38" s="17" t="s">
        <v>12</v>
      </c>
      <c r="K38" s="15">
        <f>'[33]MD10000.20-OCT'!$B$3</f>
        <v>45406</v>
      </c>
      <c r="L38" s="16">
        <f>'[33]MD10000.20-OCT'!$O$2</f>
        <v>4950</v>
      </c>
      <c r="M38" s="16">
        <f>'[33]MD10000.20-OCT'!$O$1</f>
        <v>1050</v>
      </c>
      <c r="N38" s="1">
        <v>350</v>
      </c>
    </row>
    <row r="39" spans="2:14" ht="22.5" customHeight="1" x14ac:dyDescent="0.2">
      <c r="B39" s="6">
        <v>35</v>
      </c>
      <c r="C39" s="9" t="s">
        <v>61</v>
      </c>
      <c r="D39" s="11" t="s">
        <v>62</v>
      </c>
      <c r="E39" s="8">
        <f>'[34]MD50000.15-DEC'!$C$1</f>
        <v>40000</v>
      </c>
      <c r="F39" s="9"/>
      <c r="G39" s="9"/>
      <c r="H39" s="9">
        <f>'[34]MD50000.15-DEC'!$K$1</f>
        <v>47</v>
      </c>
      <c r="I39" s="9">
        <f>'[34]MD50000.15-DEC'!$K$2</f>
        <v>1</v>
      </c>
      <c r="J39" s="10" t="s">
        <v>12</v>
      </c>
      <c r="K39" s="11">
        <f>'[34]MD50000.15-DEC'!$B$3</f>
        <v>45416</v>
      </c>
      <c r="L39" s="8">
        <f>'[34]MD50000.15-DEC'!$O$2</f>
        <v>65800</v>
      </c>
      <c r="M39" s="8">
        <f>'[34]MD50000.15-DEC'!$O$1</f>
        <v>1400</v>
      </c>
      <c r="N39" s="1">
        <v>1400</v>
      </c>
    </row>
    <row r="40" spans="2:14" ht="22.5" customHeight="1" x14ac:dyDescent="0.2">
      <c r="B40" s="6">
        <v>36</v>
      </c>
      <c r="C40" s="9" t="s">
        <v>63</v>
      </c>
      <c r="D40" s="15" t="s">
        <v>43</v>
      </c>
      <c r="E40" s="8">
        <f>'[35]MD10000.20-OCT'!$C$1</f>
        <v>5000</v>
      </c>
      <c r="F40" s="9"/>
      <c r="G40" s="9"/>
      <c r="H40" s="9">
        <f>'[35]MD10000.20-OCT'!$K$1</f>
        <v>17</v>
      </c>
      <c r="I40" s="9">
        <f>'[35]MD10000.20-OCT'!$K$2</f>
        <v>0</v>
      </c>
      <c r="J40" s="10" t="s">
        <v>12</v>
      </c>
      <c r="K40" s="11">
        <f>'[35]MD10000.20-OCT'!$B$3</f>
        <v>0</v>
      </c>
      <c r="L40" s="8">
        <f>'[35]MD10000.20-OCT'!$O$2</f>
        <v>6000</v>
      </c>
      <c r="M40" s="8">
        <f>'[35]MD10000.20-OCT'!$O$1</f>
        <v>0</v>
      </c>
      <c r="N40" s="1">
        <v>350</v>
      </c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2024-05-12T08:33:06Z</dcterms:modified>
</cp:coreProperties>
</file>