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</externalReferences>
  <calcPr calcId="162913"/>
</workbook>
</file>

<file path=xl/calcChain.xml><?xml version="1.0" encoding="utf-8"?>
<calcChain xmlns="http://schemas.openxmlformats.org/spreadsheetml/2006/main">
  <c r="N120" i="7" l="1"/>
  <c r="M120" i="7"/>
  <c r="L120" i="7"/>
  <c r="K120" i="7"/>
  <c r="G120" i="7"/>
  <c r="F120" i="7"/>
  <c r="E120" i="7"/>
  <c r="L119" i="7" l="1"/>
  <c r="N119" i="7" l="1"/>
  <c r="M119" i="7"/>
  <c r="K119" i="7"/>
  <c r="G119" i="7"/>
  <c r="F119" i="7"/>
  <c r="E119" i="7"/>
  <c r="N117" i="7" l="1"/>
  <c r="M117" i="7"/>
  <c r="L117" i="7"/>
  <c r="K117" i="7"/>
  <c r="G117" i="7"/>
  <c r="F117" i="7"/>
  <c r="E117" i="7"/>
  <c r="O118" i="7" l="1"/>
  <c r="N118" i="7"/>
  <c r="M118" i="7"/>
  <c r="L118" i="7"/>
  <c r="K118" i="7"/>
  <c r="G118" i="7"/>
  <c r="F118" i="7"/>
  <c r="E118" i="7"/>
  <c r="N116" i="7" l="1"/>
  <c r="M116" i="7"/>
  <c r="L116" i="7"/>
  <c r="K116" i="7"/>
  <c r="G116" i="7"/>
  <c r="F116" i="7"/>
  <c r="E116" i="7"/>
  <c r="N115" i="7" l="1"/>
  <c r="M115" i="7"/>
  <c r="L115" i="7"/>
  <c r="K115" i="7"/>
  <c r="I115" i="7"/>
  <c r="H115" i="7"/>
  <c r="E115" i="7"/>
  <c r="M112" i="7" l="1"/>
  <c r="L112" i="7"/>
  <c r="M113" i="7"/>
  <c r="L113" i="7"/>
  <c r="M114" i="7" l="1"/>
  <c r="L114" i="7"/>
  <c r="L111" i="7" l="1"/>
  <c r="N102" i="7" l="1"/>
  <c r="M102" i="7"/>
  <c r="L102" i="7"/>
  <c r="K102" i="7"/>
  <c r="I102" i="7"/>
  <c r="H102" i="7"/>
  <c r="E102" i="7"/>
  <c r="N114" i="7" l="1"/>
  <c r="K114" i="7"/>
  <c r="G114" i="7"/>
  <c r="F114" i="7"/>
  <c r="E114" i="7"/>
  <c r="N113" i="7" l="1"/>
  <c r="K113" i="7"/>
  <c r="G113" i="7"/>
  <c r="F113" i="7"/>
  <c r="E113" i="7"/>
  <c r="N112" i="7" l="1"/>
  <c r="K112" i="7"/>
  <c r="E112" i="7"/>
  <c r="G112" i="7" l="1"/>
  <c r="N111" i="7" l="1"/>
  <c r="M111" i="7"/>
  <c r="K111" i="7"/>
  <c r="I111" i="7"/>
  <c r="H111" i="7"/>
  <c r="E111" i="7"/>
  <c r="K109" i="7" l="1"/>
  <c r="E109" i="7"/>
  <c r="N108" i="7" l="1"/>
  <c r="M108" i="7"/>
  <c r="L108" i="7"/>
  <c r="K108" i="7"/>
  <c r="I108" i="7"/>
  <c r="H108" i="7"/>
  <c r="E108" i="7"/>
  <c r="N107" i="7" l="1"/>
  <c r="M107" i="7"/>
  <c r="L107" i="7"/>
  <c r="K107" i="7"/>
  <c r="I107" i="7"/>
  <c r="H107" i="7"/>
  <c r="E107" i="7"/>
  <c r="N106" i="7" l="1"/>
  <c r="M106" i="7"/>
  <c r="L106" i="7"/>
  <c r="K106" i="7"/>
  <c r="I106" i="7"/>
  <c r="H106" i="7"/>
  <c r="E106" i="7"/>
  <c r="O2" i="7" l="1"/>
  <c r="N104" i="7"/>
  <c r="M104" i="7"/>
  <c r="L104" i="7"/>
  <c r="K104" i="7"/>
  <c r="G104" i="7"/>
  <c r="F104" i="7"/>
  <c r="E104" i="7"/>
  <c r="N103" i="7" l="1"/>
  <c r="M103" i="7"/>
  <c r="L103" i="7"/>
  <c r="K103" i="7"/>
  <c r="I103" i="7"/>
  <c r="H103" i="7"/>
  <c r="E103" i="7"/>
  <c r="N101" i="7" l="1"/>
  <c r="M101" i="7"/>
  <c r="L101" i="7"/>
  <c r="K101" i="7"/>
  <c r="I101" i="7"/>
  <c r="H101" i="7"/>
  <c r="E101" i="7"/>
  <c r="K100" i="7" l="1"/>
  <c r="E100" i="7"/>
  <c r="N100" i="7" l="1"/>
  <c r="G100" i="7" l="1"/>
  <c r="M100" i="7"/>
  <c r="F100" i="7" l="1"/>
  <c r="L100" i="7"/>
  <c r="N99" i="7" l="1"/>
  <c r="M99" i="7"/>
  <c r="L99" i="7"/>
  <c r="K99" i="7"/>
  <c r="I99" i="7"/>
  <c r="H99" i="7"/>
  <c r="E99" i="7"/>
  <c r="N98" i="7" l="1"/>
  <c r="M98" i="7"/>
  <c r="L98" i="7"/>
  <c r="K98" i="7"/>
  <c r="G98" i="7"/>
  <c r="F98" i="7"/>
  <c r="E98" i="7"/>
  <c r="N97" i="7" l="1"/>
  <c r="M97" i="7"/>
  <c r="L97" i="7"/>
  <c r="K97" i="7"/>
  <c r="G97" i="7"/>
  <c r="F97" i="7"/>
  <c r="E97" i="7"/>
  <c r="N96" i="7" l="1"/>
  <c r="M96" i="7"/>
  <c r="L96" i="7"/>
  <c r="K96" i="7"/>
  <c r="G96" i="7"/>
  <c r="F96" i="7"/>
  <c r="E96" i="7"/>
  <c r="N95" i="7" l="1"/>
  <c r="M95" i="7"/>
  <c r="L95" i="7"/>
  <c r="K95" i="7"/>
  <c r="I95" i="7"/>
  <c r="H95" i="7"/>
  <c r="E95" i="7"/>
  <c r="N94" i="7"/>
  <c r="M94" i="7"/>
  <c r="L94" i="7"/>
  <c r="L2" i="7" s="1"/>
  <c r="K94" i="7"/>
  <c r="I94" i="7"/>
  <c r="H94" i="7"/>
  <c r="E94" i="7"/>
  <c r="E77" i="7" l="1"/>
  <c r="F77" i="7"/>
  <c r="G77" i="7"/>
  <c r="K77" i="7"/>
  <c r="L77" i="7"/>
  <c r="M77" i="7"/>
  <c r="N77" i="7"/>
  <c r="O93" i="7" l="1"/>
  <c r="K92" i="7" l="1"/>
  <c r="E92" i="7"/>
  <c r="H92" i="7" l="1"/>
  <c r="I92" i="7"/>
  <c r="N92" i="7"/>
  <c r="M92" i="7" l="1"/>
  <c r="L92" i="7" l="1"/>
  <c r="L59" i="7" l="1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6" i="7"/>
  <c r="L78" i="7"/>
  <c r="L79" i="7"/>
  <c r="L80" i="7"/>
  <c r="L81" i="7"/>
  <c r="L82" i="7"/>
  <c r="L83" i="7"/>
  <c r="L84" i="7"/>
  <c r="L86" i="7"/>
  <c r="L87" i="7"/>
  <c r="L88" i="7"/>
  <c r="L89" i="7"/>
  <c r="L90" i="7"/>
  <c r="L91" i="7"/>
  <c r="N91" i="7" l="1"/>
  <c r="M91" i="7"/>
  <c r="K91" i="7"/>
  <c r="G91" i="7"/>
  <c r="F91" i="7"/>
  <c r="E91" i="7"/>
  <c r="N90" i="7" l="1"/>
  <c r="M90" i="7"/>
  <c r="K90" i="7"/>
  <c r="G90" i="7"/>
  <c r="F90" i="7"/>
  <c r="E90" i="7"/>
  <c r="N89" i="7" l="1"/>
  <c r="M89" i="7"/>
  <c r="K89" i="7"/>
  <c r="G89" i="7"/>
  <c r="F89" i="7"/>
  <c r="E89" i="7"/>
  <c r="N88" i="7" l="1"/>
  <c r="M88" i="7"/>
  <c r="K88" i="7"/>
  <c r="G88" i="7"/>
  <c r="F88" i="7"/>
  <c r="E88" i="7"/>
  <c r="N87" i="7" l="1"/>
  <c r="M87" i="7"/>
  <c r="K87" i="7"/>
  <c r="I87" i="7"/>
  <c r="H87" i="7"/>
  <c r="E87" i="7"/>
  <c r="N86" i="7" l="1"/>
  <c r="M86" i="7"/>
  <c r="K86" i="7"/>
  <c r="G86" i="7"/>
  <c r="F86" i="7"/>
  <c r="E86" i="7"/>
  <c r="N85" i="7" l="1"/>
  <c r="K85" i="7"/>
  <c r="E85" i="7"/>
  <c r="N84" i="7" l="1"/>
  <c r="M84" i="7"/>
  <c r="K84" i="7"/>
  <c r="G84" i="7"/>
  <c r="F84" i="7"/>
  <c r="E84" i="7"/>
  <c r="N83" i="7" l="1"/>
  <c r="M83" i="7"/>
  <c r="K83" i="7"/>
  <c r="I83" i="7"/>
  <c r="H83" i="7"/>
  <c r="E83" i="7"/>
  <c r="N82" i="7" l="1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M62" i="7"/>
  <c r="N62" i="7"/>
  <c r="N80" i="7" l="1"/>
  <c r="M80" i="7"/>
  <c r="K80" i="7"/>
  <c r="G80" i="7"/>
  <c r="F80" i="7"/>
  <c r="E80" i="7"/>
  <c r="N79" i="7" l="1"/>
  <c r="M79" i="7"/>
  <c r="K79" i="7"/>
  <c r="I79" i="7"/>
  <c r="H79" i="7"/>
  <c r="E79" i="7"/>
  <c r="N78" i="7" l="1"/>
  <c r="M78" i="7"/>
  <c r="K78" i="7"/>
  <c r="G78" i="7"/>
  <c r="F78" i="7"/>
  <c r="E78" i="7"/>
  <c r="M42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N73" i="7" l="1"/>
  <c r="M73" i="7"/>
  <c r="K73" i="7"/>
  <c r="I73" i="7"/>
  <c r="H73" i="7"/>
  <c r="E73" i="7"/>
  <c r="N72" i="7" l="1"/>
  <c r="M72" i="7"/>
  <c r="K72" i="7"/>
  <c r="I72" i="7"/>
  <c r="H72" i="7"/>
  <c r="E72" i="7"/>
  <c r="N71" i="7" l="1"/>
  <c r="M71" i="7"/>
  <c r="K71" i="7"/>
  <c r="I71" i="7"/>
  <c r="H71" i="7"/>
  <c r="E71" i="7"/>
  <c r="N70" i="7" l="1"/>
  <c r="M70" i="7"/>
  <c r="K70" i="7"/>
  <c r="I70" i="7"/>
  <c r="H70" i="7"/>
  <c r="E70" i="7"/>
  <c r="N69" i="7" l="1"/>
  <c r="M69" i="7"/>
  <c r="K69" i="7"/>
  <c r="I69" i="7"/>
  <c r="H69" i="7"/>
  <c r="E69" i="7"/>
  <c r="N68" i="7" l="1"/>
  <c r="M68" i="7"/>
  <c r="K68" i="7"/>
  <c r="I68" i="7"/>
  <c r="H68" i="7"/>
  <c r="E68" i="7"/>
  <c r="N67" i="7" l="1"/>
  <c r="M67" i="7"/>
  <c r="K67" i="7"/>
  <c r="I67" i="7"/>
  <c r="H67" i="7"/>
  <c r="E67" i="7"/>
  <c r="N66" i="7" l="1"/>
  <c r="M66" i="7"/>
  <c r="K66" i="7"/>
  <c r="G66" i="7"/>
  <c r="F66" i="7"/>
  <c r="E66" i="7"/>
  <c r="N65" i="7" l="1"/>
  <c r="M65" i="7"/>
  <c r="K65" i="7"/>
  <c r="G65" i="7"/>
  <c r="F65" i="7"/>
  <c r="E65" i="7"/>
  <c r="N64" i="7" l="1"/>
  <c r="M64" i="7"/>
  <c r="K64" i="7"/>
  <c r="G64" i="7"/>
  <c r="F64" i="7"/>
  <c r="E64" i="7"/>
  <c r="N63" i="7" l="1"/>
  <c r="M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K61" i="7"/>
  <c r="I61" i="7"/>
  <c r="H61" i="7"/>
  <c r="E61" i="7"/>
  <c r="M60" i="7" l="1"/>
  <c r="K60" i="7"/>
  <c r="G60" i="7"/>
  <c r="F60" i="7"/>
  <c r="E60" i="7"/>
  <c r="M59" i="7" l="1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K40" i="7" l="1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M40" i="7" l="1"/>
  <c r="F40" i="7" l="1"/>
  <c r="G40" i="7"/>
  <c r="L40" i="7"/>
  <c r="G85" i="7" l="1"/>
  <c r="M85" i="7"/>
  <c r="F85" i="7" l="1"/>
  <c r="L85" i="7"/>
  <c r="I109" i="7" l="1"/>
  <c r="H109" i="7" l="1"/>
  <c r="N109" i="7"/>
  <c r="L109" i="7" l="1"/>
  <c r="M109" i="7"/>
  <c r="F112" i="7" l="1"/>
  <c r="P5" i="7" l="1"/>
</calcChain>
</file>

<file path=xl/sharedStrings.xml><?xml version="1.0" encoding="utf-8"?>
<sst xmlns="http://schemas.openxmlformats.org/spreadsheetml/2006/main" count="642" uniqueCount="220">
  <si>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</si>
  <si>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</si>
  <si>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</si>
  <si>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</si>
  <si>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</si>
  <si>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</si>
  <si>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</si>
  <si>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</si>
  <si>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</si>
  <si>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</si>
  <si>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</si>
  <si>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</si>
  <si>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</si>
  <si>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</si>
  <si>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</si>
  <si>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</si>
  <si>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</si>
  <si>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</si>
  <si>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</si>
  <si>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</si>
  <si>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</si>
  <si>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</si>
  <si>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</si>
  <si>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</si>
  <si>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</si>
  <si>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</si>
  <si>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</si>
  <si>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</si>
  <si>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</si>
  <si>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</si>
  <si>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</si>
  <si>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</si>
  <si>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</si>
  <si>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</si>
  <si>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</si>
  <si>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</si>
  <si>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</si>
  <si>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</si>
  <si>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</si>
  <si>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</si>
  <si>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</si>
  <si>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</si>
  <si>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</si>
  <si>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</si>
  <si>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</si>
  <si>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</si>
  <si>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</si>
  <si>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</si>
  <si>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</si>
  <si>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</si>
  <si>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</si>
  <si>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</si>
  <si>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</si>
  <si>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</si>
  <si>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</si>
  <si>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</si>
  <si>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</si>
  <si>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</si>
  <si>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</si>
  <si>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</si>
  <si>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</si>
  <si>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</si>
  <si>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</si>
  <si>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</si>
  <si>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</si>
  <si>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</si>
  <si>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</si>
  <si>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</si>
  <si>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</si>
  <si>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</si>
  <si>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</si>
  <si>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</si>
  <si>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</si>
  <si>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</si>
  <si>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</si>
  <si>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</si>
  <si>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</si>
  <si>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</si>
  <si>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</si>
  <si>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</si>
  <si>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</si>
  <si>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</si>
  <si>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</si>
  <si>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</si>
  <si>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</si>
  <si>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</si>
  <si>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</si>
  <si>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</si>
  <si>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</si>
  <si>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</si>
  <si>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</si>
  <si>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</si>
  <si>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</si>
  <si>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</si>
  <si>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</si>
  <si>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</si>
  <si>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</si>
  <si>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</si>
  <si>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</si>
  <si>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</si>
  <si>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</si>
  <si>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</si>
  <si>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</si>
  <si>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</si>
  <si>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</si>
  <si>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</si>
  <si>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</si>
  <si>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</si>
  <si>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</si>
  <si>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</si>
  <si>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</si>
  <si>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</si>
  <si>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</si>
  <si>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</si>
  <si>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</si>
  <si>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</si>
  <si>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</si>
  <si>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</si>
  <si>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</si>
  <si>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</si>
  <si>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</si>
  <si>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</si>
  <si>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</si>
  <si>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</si>
  <si>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</si>
  <si>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</si>
  <si>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</si>
  <si>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</si>
  <si>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</si>
  <si>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</si>
  <si>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</si>
  <si>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</si>
  <si>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</si>
  <si>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</si>
  <si>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</si>
  <si>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</si>
  <si>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</si>
  <si>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</si>
  <si>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</si>
  <si>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</si>
  <si>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</si>
  <si>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</si>
  <si>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</si>
  <si>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</si>
  <si>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</si>
  <si>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</si>
  <si>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</si>
  <si>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</si>
  <si>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</si>
  <si>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</si>
  <si>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</si>
  <si>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</si>
  <si>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</si>
  <si>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</si>
  <si>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</si>
  <si>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</si>
  <si>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</si>
  <si>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</si>
  <si>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</si>
  <si>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</si>
  <si>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</si>
  <si>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</si>
  <si>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</si>
  <si>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</si>
  <si>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</si>
  <si>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</si>
  <si>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</si>
  <si>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</si>
  <si>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</si>
  <si>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</si>
  <si>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</si>
  <si>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</si>
  <si>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</si>
  <si>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</si>
  <si>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</si>
  <si>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</si>
  <si>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</si>
  <si>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</si>
  <si>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</si>
  <si>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</si>
  <si>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</si>
  <si>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</si>
  <si>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</si>
  <si>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</si>
  <si>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</si>
  <si>
    <t>reena</t>
  </si>
  <si>
    <t>kh priyadarsini</t>
  </si>
  <si>
    <t>L20000w17</t>
  </si>
  <si>
    <t>L30000w17</t>
  </si>
  <si>
    <t>angom bijenty</t>
  </si>
  <si>
    <t>L50000120</t>
  </si>
  <si>
    <t>L40000120</t>
  </si>
  <si>
    <t>sanasam sonia</t>
  </si>
  <si>
    <t>sanarei group</t>
  </si>
  <si>
    <t>bidyabati</t>
  </si>
  <si>
    <t>L10000120</t>
  </si>
  <si>
    <t>ronel</t>
  </si>
  <si>
    <t>Thongam Bala</t>
  </si>
  <si>
    <t>Salam Bidyalaxmi</t>
  </si>
  <si>
    <t>L5000d 40</t>
  </si>
  <si>
    <t>m. Nanao</t>
  </si>
  <si>
    <t>L10000 M</t>
  </si>
  <si>
    <t>Mutum Sandhyarani</t>
  </si>
  <si>
    <t>L140000w17</t>
  </si>
  <si>
    <t>Sagolsem sudhana</t>
  </si>
  <si>
    <t>loitongbam bidyarani</t>
  </si>
  <si>
    <t>Minarani</t>
  </si>
  <si>
    <t>naoton</t>
  </si>
  <si>
    <t>H.Bidyabati</t>
  </si>
  <si>
    <t>L10000d120</t>
  </si>
  <si>
    <t>Ayangpalli ibeyaima</t>
  </si>
  <si>
    <t>Ayangpalli Ranibala</t>
  </si>
  <si>
    <t>Ayangpalli Samila</t>
  </si>
  <si>
    <t>Lanchenbi group</t>
  </si>
  <si>
    <t>L60000 w17</t>
  </si>
  <si>
    <t>inactive</t>
  </si>
  <si>
    <t>romilla</t>
  </si>
  <si>
    <t>L7000 d80</t>
  </si>
  <si>
    <t>L18000 D120</t>
  </si>
  <si>
    <t>Bidyabati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</si>
</sst>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1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4" fontId="3" fillId="9" borderId="1" xfId="1" applyNumberFormat="1" applyFont="1" applyFill="1" applyBorder="1" applyAlignment="1">
      <alignment horizontal="center" vertical="center"/>
    </xf>
    <xf numFmtId="15" fontId="3" fillId="9" borderId="1" xfId="0" applyNumberFormat="1" applyFont="1" applyFill="1" applyBorder="1" applyAlignment="1">
      <alignment horizontal="center" vertical="center"/>
    </xf>
    <xf numFmtId="0" fontId="3" fillId="9" borderId="0" xfId="0" applyFont="1" applyFill="1"/>
    <xf numFmtId="165" fontId="3" fillId="9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70" Type="http://schemas.openxmlformats.org/officeDocument/2006/relationships/externalLink" Target="externalLinks/externalLink168.xml"/><Relationship Id="rId191" Type="http://schemas.openxmlformats.org/officeDocument/2006/relationships/calcChain" Target="calcChain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181" Type="http://schemas.openxmlformats.org/officeDocument/2006/relationships/externalLink" Target="externalLinks/externalLink179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71" Type="http://schemas.openxmlformats.org/officeDocument/2006/relationships/externalLink" Target="externalLinks/externalLink169.xml"/><Relationship Id="rId12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31.xml"/><Relationship Id="rId108" Type="http://schemas.openxmlformats.org/officeDocument/2006/relationships/externalLink" Target="externalLinks/externalLink106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5" Type="http://schemas.openxmlformats.org/officeDocument/2006/relationships/externalLink" Target="externalLinks/externalLink73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61" Type="http://schemas.openxmlformats.org/officeDocument/2006/relationships/externalLink" Target="externalLinks/externalLink159.xml"/><Relationship Id="rId182" Type="http://schemas.openxmlformats.org/officeDocument/2006/relationships/externalLink" Target="externalLinks/externalLink180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5" Type="http://schemas.openxmlformats.org/officeDocument/2006/relationships/externalLink" Target="externalLinks/externalLink63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51" Type="http://schemas.openxmlformats.org/officeDocument/2006/relationships/externalLink" Target="externalLinks/externalLink149.xml"/><Relationship Id="rId172" Type="http://schemas.openxmlformats.org/officeDocument/2006/relationships/externalLink" Target="externalLinks/externalLink170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167" Type="http://schemas.openxmlformats.org/officeDocument/2006/relationships/externalLink" Target="externalLinks/externalLink165.xml"/><Relationship Id="rId188" Type="http://schemas.openxmlformats.org/officeDocument/2006/relationships/theme" Target="theme/theme1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externalLink" Target="externalLinks/externalLink160.xml"/><Relationship Id="rId183" Type="http://schemas.openxmlformats.org/officeDocument/2006/relationships/externalLink" Target="externalLinks/externalLink1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178" Type="http://schemas.openxmlformats.org/officeDocument/2006/relationships/externalLink" Target="externalLinks/externalLink176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73" Type="http://schemas.openxmlformats.org/officeDocument/2006/relationships/externalLink" Target="externalLinks/externalLink171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168" Type="http://schemas.openxmlformats.org/officeDocument/2006/relationships/externalLink" Target="externalLinks/externalLink16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externalLink" Target="externalLinks/externalLink161.xml"/><Relationship Id="rId184" Type="http://schemas.openxmlformats.org/officeDocument/2006/relationships/externalLink" Target="externalLinks/externalLink182.xml"/><Relationship Id="rId189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74" Type="http://schemas.openxmlformats.org/officeDocument/2006/relationships/externalLink" Target="externalLinks/externalLink172.xml"/><Relationship Id="rId179" Type="http://schemas.openxmlformats.org/officeDocument/2006/relationships/externalLink" Target="externalLinks/externalLink177.xml"/><Relationship Id="rId190" Type="http://schemas.openxmlformats.org/officeDocument/2006/relationships/sharedStrings" Target="sharedStrings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externalLink" Target="externalLinks/externalLink162.xml"/><Relationship Id="rId169" Type="http://schemas.openxmlformats.org/officeDocument/2006/relationships/externalLink" Target="externalLinks/externalLink167.xml"/><Relationship Id="rId185" Type="http://schemas.openxmlformats.org/officeDocument/2006/relationships/externalLink" Target="externalLinks/externalLink18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80" Type="http://schemas.openxmlformats.org/officeDocument/2006/relationships/externalLink" Target="externalLinks/externalLink178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75" Type="http://schemas.openxmlformats.org/officeDocument/2006/relationships/externalLink" Target="externalLinks/externalLink173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externalLink" Target="externalLinks/externalLink163.xml"/><Relationship Id="rId186" Type="http://schemas.openxmlformats.org/officeDocument/2006/relationships/externalLink" Target="externalLinks/externalLink184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Relationship Id="rId176" Type="http://schemas.openxmlformats.org/officeDocument/2006/relationships/externalLink" Target="externalLinks/externalLink174.xml"/><Relationship Id="rId17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24" Type="http://schemas.openxmlformats.org/officeDocument/2006/relationships/externalLink" Target="externalLinks/externalLink122.xml"/><Relationship Id="rId70" Type="http://schemas.openxmlformats.org/officeDocument/2006/relationships/externalLink" Target="externalLinks/externalLink68.xml"/><Relationship Id="rId91" Type="http://schemas.openxmlformats.org/officeDocument/2006/relationships/externalLink" Target="externalLinks/externalLink89.xml"/><Relationship Id="rId145" Type="http://schemas.openxmlformats.org/officeDocument/2006/relationships/externalLink" Target="externalLinks/externalLink143.xml"/><Relationship Id="rId166" Type="http://schemas.openxmlformats.org/officeDocument/2006/relationships/externalLink" Target="externalLinks/externalLink164.xml"/><Relationship Id="rId187" Type="http://schemas.openxmlformats.org/officeDocument/2006/relationships/externalLink" Target="externalLinks/externalLink185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60" Type="http://schemas.openxmlformats.org/officeDocument/2006/relationships/externalLink" Target="externalLinks/externalLink58.xml"/><Relationship Id="rId81" Type="http://schemas.openxmlformats.org/officeDocument/2006/relationships/externalLink" Target="externalLinks/externalLink79.xml"/><Relationship Id="rId135" Type="http://schemas.openxmlformats.org/officeDocument/2006/relationships/externalLink" Target="externalLinks/externalLink133.xml"/><Relationship Id="rId156" Type="http://schemas.openxmlformats.org/officeDocument/2006/relationships/externalLink" Target="externalLinks/externalLink154.xml"/><Relationship Id="rId177" Type="http://schemas.openxmlformats.org/officeDocument/2006/relationships/externalLink" Target="externalLinks/externalLink17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8%20reen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0%20prat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1%20ibeyaim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2%20angom%20bijent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3%20kamal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4%20soni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5%20sanarei%20group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6%20bidyabat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7%20ronel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8%20lanchenbi%20ayanpall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9%20Thongam%20bal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0%20salam%20bidyalaxm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2%20Mutum%20sandhyaran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3%20sudhana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4%20loitongbam%20bidy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5%20Minaran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6%20bidyabat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7%20lanchenbi%20ayanpalli%20-ibeyaim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8%20lanchenbi%20ayanpalli%20-%20ranibal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9%20lanchenbi%20ayanpalli%20-%20samil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0%20ayangpalli%20ibeyaim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1%20Inaobi.xlsx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3%20romila.xlsx" TargetMode="External"/></Relationships>
</file>

<file path=xl/externalLinks/_rels/externalLink1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2%20renita.xlsx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4%20bidyabati%202.xlsx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4%20pratim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45888</v>
          </cell>
          <cell r="K2">
            <v>120</v>
          </cell>
          <cell r="O2">
            <v>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45923</v>
          </cell>
          <cell r="K2">
            <v>17</v>
          </cell>
          <cell r="O2">
            <v>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80000</v>
          </cell>
        </row>
        <row r="2">
          <cell r="G2">
            <v>46137</v>
          </cell>
          <cell r="K2">
            <v>40</v>
          </cell>
          <cell r="O2">
            <v>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G2">
            <v>46029</v>
          </cell>
          <cell r="K2">
            <v>17</v>
          </cell>
          <cell r="O2">
            <v>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46052</v>
          </cell>
          <cell r="K2">
            <v>17</v>
          </cell>
          <cell r="O2">
            <v>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182</v>
          </cell>
          <cell r="O1">
            <v>9000</v>
          </cell>
        </row>
        <row r="2">
          <cell r="G2">
            <v>46128</v>
          </cell>
          <cell r="K2">
            <v>18</v>
          </cell>
          <cell r="O2">
            <v>91000</v>
          </cell>
        </row>
        <row r="3">
          <cell r="B3">
            <v>45929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46066</v>
          </cell>
          <cell r="K2">
            <v>120</v>
          </cell>
          <cell r="O2">
            <v>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46069</v>
          </cell>
          <cell r="K2">
            <v>120</v>
          </cell>
          <cell r="O2">
            <v>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46080</v>
          </cell>
          <cell r="K2">
            <v>120</v>
          </cell>
          <cell r="O2">
            <v>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46094</v>
          </cell>
          <cell r="K2">
            <v>17</v>
          </cell>
          <cell r="O2">
            <v>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46097</v>
          </cell>
          <cell r="K2">
            <v>120</v>
          </cell>
          <cell r="O2">
            <v>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46100</v>
          </cell>
          <cell r="K2">
            <v>120</v>
          </cell>
          <cell r="O2">
            <v>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46102</v>
          </cell>
          <cell r="K2">
            <v>120</v>
          </cell>
          <cell r="O2">
            <v>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46116</v>
          </cell>
          <cell r="K2">
            <v>17</v>
          </cell>
          <cell r="O2">
            <v>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46111</v>
          </cell>
          <cell r="K2">
            <v>120</v>
          </cell>
          <cell r="O2">
            <v>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16000</v>
          </cell>
          <cell r="K1">
            <v>0</v>
          </cell>
          <cell r="O1">
            <v>19200</v>
          </cell>
        </row>
        <row r="2">
          <cell r="G2">
            <v>46117</v>
          </cell>
          <cell r="K2">
            <v>120</v>
          </cell>
          <cell r="O2">
            <v>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17850</v>
          </cell>
        </row>
        <row r="2">
          <cell r="G2">
            <v>46131</v>
          </cell>
          <cell r="K2">
            <v>17</v>
          </cell>
          <cell r="O2">
            <v>0</v>
          </cell>
        </row>
        <row r="3">
          <cell r="B3">
            <v>46012</v>
          </cell>
        </row>
      </sheetData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</v>
          </cell>
          <cell r="O1">
            <v>11200</v>
          </cell>
        </row>
        <row r="2">
          <cell r="G2">
            <v>46180</v>
          </cell>
          <cell r="K2">
            <v>16</v>
          </cell>
          <cell r="O2">
            <v>700</v>
          </cell>
        </row>
        <row r="3">
          <cell r="B3">
            <v>46061</v>
          </cell>
        </row>
      </sheetData>
      <sheetData sheetId="2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46208</v>
          </cell>
          <cell r="K2">
            <v>17</v>
          </cell>
          <cell r="O2">
            <v>0</v>
          </cell>
        </row>
        <row r="3">
          <cell r="B3">
            <v>46089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30000</v>
          </cell>
          <cell r="K1">
            <v>6</v>
          </cell>
          <cell r="O1">
            <v>23100</v>
          </cell>
        </row>
        <row r="2">
          <cell r="G2">
            <v>46208</v>
          </cell>
          <cell r="K2">
            <v>11</v>
          </cell>
          <cell r="O2">
            <v>12600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95</v>
          </cell>
          <cell r="O1">
            <v>12500</v>
          </cell>
        </row>
        <row r="2">
          <cell r="K2">
            <v>25</v>
          </cell>
          <cell r="O2">
            <v>47500</v>
          </cell>
        </row>
        <row r="3">
          <cell r="B3">
            <v>46089</v>
          </cell>
        </row>
      </sheetData>
      <sheetData sheetId="2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39</v>
          </cell>
          <cell r="O1">
            <v>32400</v>
          </cell>
        </row>
        <row r="2">
          <cell r="G2">
            <v>46211</v>
          </cell>
          <cell r="K2">
            <v>81</v>
          </cell>
          <cell r="O2">
            <v>15600</v>
          </cell>
        </row>
        <row r="3">
          <cell r="B3">
            <v>46092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60</v>
          </cell>
          <cell r="O1">
            <v>12000</v>
          </cell>
        </row>
        <row r="2">
          <cell r="G2">
            <v>46211</v>
          </cell>
          <cell r="K2">
            <v>60</v>
          </cell>
          <cell r="O2">
            <v>12000</v>
          </cell>
        </row>
        <row r="3">
          <cell r="B3">
            <v>46092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140000</v>
          </cell>
          <cell r="K1">
            <v>6</v>
          </cell>
          <cell r="O1">
            <v>107800</v>
          </cell>
        </row>
        <row r="2">
          <cell r="K2">
            <v>11</v>
          </cell>
          <cell r="O2">
            <v>58800</v>
          </cell>
        </row>
        <row r="3">
          <cell r="B3">
            <v>46094</v>
          </cell>
        </row>
      </sheetData>
      <sheetData sheetId="2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46209</v>
          </cell>
          <cell r="K2">
            <v>120</v>
          </cell>
          <cell r="O2">
            <v>0</v>
          </cell>
        </row>
        <row r="3">
          <cell r="B3">
            <v>46090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5</v>
          </cell>
          <cell r="O1">
            <v>16800</v>
          </cell>
        </row>
        <row r="2">
          <cell r="G2">
            <v>46216</v>
          </cell>
          <cell r="K2">
            <v>12</v>
          </cell>
          <cell r="O2">
            <v>7000</v>
          </cell>
        </row>
        <row r="3">
          <cell r="B3">
            <v>46097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60000</v>
          </cell>
          <cell r="K1">
            <v>0</v>
          </cell>
          <cell r="O1">
            <v>71400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46220</v>
          </cell>
          <cell r="K2">
            <v>10</v>
          </cell>
          <cell r="O2">
            <v>9800</v>
          </cell>
        </row>
        <row r="3">
          <cell r="B3">
            <v>46101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</v>
          </cell>
          <cell r="K1">
            <v>27</v>
          </cell>
          <cell r="O1">
            <v>1950</v>
          </cell>
        </row>
        <row r="2">
          <cell r="G2">
            <v>46134</v>
          </cell>
          <cell r="K2">
            <v>13</v>
          </cell>
          <cell r="O2">
            <v>4050</v>
          </cell>
        </row>
        <row r="3">
          <cell r="B3">
            <v>46095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G2">
            <v>46145</v>
          </cell>
          <cell r="K2">
            <v>7</v>
          </cell>
          <cell r="O2">
            <v>7000</v>
          </cell>
        </row>
        <row r="3">
          <cell r="B3">
            <v>46129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G2">
            <v>46269</v>
          </cell>
          <cell r="K2">
            <v>3</v>
          </cell>
          <cell r="O2">
            <v>19600</v>
          </cell>
        </row>
        <row r="3">
          <cell r="B3">
            <v>46150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G2">
            <v>46269</v>
          </cell>
          <cell r="K2">
            <v>4</v>
          </cell>
          <cell r="O2">
            <v>18200</v>
          </cell>
        </row>
        <row r="3">
          <cell r="B3">
            <v>46150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9</v>
          </cell>
          <cell r="O1">
            <v>6000</v>
          </cell>
        </row>
        <row r="2">
          <cell r="G2">
            <v>46240</v>
          </cell>
          <cell r="K2">
            <v>3</v>
          </cell>
          <cell r="O2">
            <v>18000</v>
          </cell>
        </row>
        <row r="3">
          <cell r="B3">
            <v>46156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112</v>
          </cell>
          <cell r="O1">
            <v>800</v>
          </cell>
        </row>
        <row r="2">
          <cell r="G2">
            <v>46289</v>
          </cell>
          <cell r="K2">
            <v>8</v>
          </cell>
          <cell r="O2">
            <v>11200</v>
          </cell>
        </row>
        <row r="3">
          <cell r="B3">
            <v>46170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46220</v>
          </cell>
          <cell r="K2">
            <v>10</v>
          </cell>
          <cell r="O2">
            <v>9800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46220</v>
          </cell>
          <cell r="K2">
            <v>11</v>
          </cell>
          <cell r="O2">
            <v>8400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30000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35700</v>
          </cell>
        </row>
        <row r="3">
          <cell r="B3"/>
        </row>
      </sheetData>
      <sheetData sheetId="2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7000</v>
          </cell>
          <cell r="K1">
            <v>76</v>
          </cell>
          <cell r="O1">
            <v>400</v>
          </cell>
        </row>
        <row r="2">
          <cell r="G2">
            <v>46735</v>
          </cell>
          <cell r="K2">
            <v>4</v>
          </cell>
          <cell r="O2">
            <v>7600</v>
          </cell>
        </row>
        <row r="3">
          <cell r="B3">
            <v>46175</v>
          </cell>
        </row>
      </sheetData>
      <sheetData sheetId="2" refreshError="1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18000</v>
          </cell>
          <cell r="K1">
            <v>116</v>
          </cell>
          <cell r="O1">
            <v>720</v>
          </cell>
        </row>
        <row r="2">
          <cell r="G2">
            <v>47015</v>
          </cell>
          <cell r="K2">
            <v>4</v>
          </cell>
          <cell r="O2">
            <v>20880</v>
          </cell>
        </row>
        <row r="3">
          <cell r="B3">
            <v>46175</v>
          </cell>
        </row>
      </sheetData>
      <sheetData sheetId="2" refreshError="1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18000</v>
          </cell>
          <cell r="K1">
            <v>115</v>
          </cell>
          <cell r="O1">
            <v>900</v>
          </cell>
        </row>
        <row r="2">
          <cell r="G2">
            <v>47015</v>
          </cell>
          <cell r="K2">
            <v>5</v>
          </cell>
          <cell r="O2">
            <v>20700</v>
          </cell>
        </row>
        <row r="3">
          <cell r="B3">
            <v>46175</v>
          </cell>
        </row>
      </sheetData>
      <sheetData sheetId="2" refreshError="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119</v>
          </cell>
          <cell r="O1">
            <v>100</v>
          </cell>
        </row>
        <row r="2">
          <cell r="G2">
            <v>47017</v>
          </cell>
          <cell r="K2">
            <v>1</v>
          </cell>
          <cell r="O2">
            <v>11900</v>
          </cell>
        </row>
        <row r="3">
          <cell r="B3">
            <v>46177</v>
          </cell>
        </row>
      </sheetData>
      <sheetData sheetId="2" refreshError="1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120</v>
          </cell>
          <cell r="O1">
            <v>0</v>
          </cell>
        </row>
        <row r="2">
          <cell r="G2">
            <v>840</v>
          </cell>
          <cell r="K2">
            <v>0</v>
          </cell>
          <cell r="O2">
            <v>12000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27"/>
  <sheetViews>
    <sheetView tabSelected="1" zoomScale="70" zoomScaleNormal="70" workbookViewId="0">
      <pane xSplit="2" ySplit="4" topLeftCell="C111" activePane="bottomRight" state="frozen"/>
      <selection pane="topRight" activeCell="C1" sqref="C1"/>
      <selection pane="bottomLeft" activeCell="A5" sqref="A5"/>
      <selection pane="bottomRight"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SUM(L5:L127)</f>
        <v>975630</v>
      </c>
      <c r="M2" s="47"/>
      <c r="N2" s="31"/>
      <c r="O2" s="1">
        <f>SUM(O5:O135)</f>
        <v>41270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965400</v>
      </c>
      <c r="Q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-10230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7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7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4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4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4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4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4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4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4" ht="19.5" customHeight="1" x14ac:dyDescent="0.2">
      <c r="B40" s="17">
        <v>106</v>
      </c>
      <c r="C40" s="18" t="s">
        <v>120</v>
      </c>
      <c r="D40" s="18" t="s">
        <v>96</v>
      </c>
      <c r="E40" s="19">
        <f>'[37]MD50000.15-DEC'!$C$1</f>
        <v>50000</v>
      </c>
      <c r="F40" s="20">
        <f>'[37]MD50000.15-DEC'!$K$1</f>
        <v>0</v>
      </c>
      <c r="G40" s="20">
        <f>'[37]MD50000.15-DEC'!$K$2</f>
        <v>120</v>
      </c>
      <c r="H40" s="20"/>
      <c r="I40" s="20"/>
      <c r="J40" s="21" t="s">
        <v>12</v>
      </c>
      <c r="K40" s="22">
        <f>'[37]MD50000.15-DEC'!$B$3</f>
        <v>45769</v>
      </c>
      <c r="L40" s="19">
        <f>'[37]MD50000.15-DEC'!$O$2</f>
        <v>0</v>
      </c>
      <c r="M40" s="19">
        <f>'[37]MD50000.15-DEC'!$O$1</f>
        <v>60000</v>
      </c>
      <c r="N40" s="33">
        <f>'[37]MD50000.15-DEC'!$G$2</f>
        <v>45888</v>
      </c>
    </row>
    <row r="41" spans="2:14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4" ht="22.5" customHeight="1" x14ac:dyDescent="0.2">
      <c r="B42" s="17">
        <v>108</v>
      </c>
      <c r="C42" s="18" t="s">
        <v>118</v>
      </c>
      <c r="D42" s="18" t="s">
        <v>139</v>
      </c>
      <c r="E42" s="19">
        <f>'[39]MD20000.15-DEc'!$C$1</f>
        <v>10000</v>
      </c>
      <c r="F42" s="20"/>
      <c r="G42" s="20"/>
      <c r="H42" s="20">
        <f>'[39]MD20000.15-DEc'!$K$1</f>
        <v>0</v>
      </c>
      <c r="I42" s="20">
        <f>'[39]MD20000.15-DEc'!$K$2</f>
        <v>17</v>
      </c>
      <c r="J42" s="21" t="s">
        <v>12</v>
      </c>
      <c r="K42" s="22">
        <f>'[39]MD20000.15-DEc'!$B$3</f>
        <v>45804</v>
      </c>
      <c r="L42" s="19">
        <f>'[39]MD20000.15-DEc'!$O$2</f>
        <v>0</v>
      </c>
      <c r="M42" s="19">
        <f>'[39]MD20000.15-DEc'!$O$1</f>
        <v>11900</v>
      </c>
      <c r="N42" s="33">
        <f>'[39]MD20000.15-DEc'!$G$2</f>
        <v>45923</v>
      </c>
    </row>
    <row r="43" spans="2:14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4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4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4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4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4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7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7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7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7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7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7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7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7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7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7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7" s="39" customFormat="1" ht="22.5" customHeight="1" x14ac:dyDescent="0.2">
      <c r="B59" s="35">
        <v>125</v>
      </c>
      <c r="C59" s="36" t="s">
        <v>158</v>
      </c>
      <c r="D59" s="36" t="s">
        <v>159</v>
      </c>
      <c r="E59" s="34">
        <f>'[56]MD20000.18-DEC'!$C$1</f>
        <v>50000</v>
      </c>
      <c r="F59" s="36"/>
      <c r="G59" s="36"/>
      <c r="H59" s="36">
        <f>'[56]MD20000.18-DEC'!$K$1</f>
        <v>0</v>
      </c>
      <c r="I59" s="36">
        <f>'[56]MD20000.18-DEC'!$K$2</f>
        <v>40</v>
      </c>
      <c r="J59" s="37" t="s">
        <v>12</v>
      </c>
      <c r="K59" s="38">
        <f>'[56]MD20000.18-DEC'!$B$3</f>
        <v>45857</v>
      </c>
      <c r="L59" s="34">
        <f>'[56]MD20000.18-DEC'!$O$2</f>
        <v>0</v>
      </c>
      <c r="M59" s="34">
        <f>'[56]MD20000.18-DEC'!$O$1</f>
        <v>80000</v>
      </c>
      <c r="N59" s="38">
        <f>'[56]MD20000.18-DEC'!$G$2</f>
        <v>46137</v>
      </c>
    </row>
    <row r="60" spans="2:17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7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7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  <c r="Q62" s="40"/>
    </row>
    <row r="63" spans="2:17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  <c r="Q63" s="28"/>
    </row>
    <row r="64" spans="2:17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7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7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7" s="39" customFormat="1" ht="22.5" customHeight="1" x14ac:dyDescent="0.2">
      <c r="B67" s="35">
        <v>133</v>
      </c>
      <c r="C67" s="36" t="s">
        <v>166</v>
      </c>
      <c r="D67" s="36" t="s">
        <v>142</v>
      </c>
      <c r="E67" s="34">
        <f>'[64]MD50000.15-DEC'!$C$1</f>
        <v>20000</v>
      </c>
      <c r="F67" s="36"/>
      <c r="G67" s="36"/>
      <c r="H67" s="36">
        <f>'[64]MD50000.15-DEC'!$K$1</f>
        <v>0</v>
      </c>
      <c r="I67" s="36">
        <f>'[64]MD50000.15-DEC'!$K$2</f>
        <v>17</v>
      </c>
      <c r="J67" s="37" t="s">
        <v>125</v>
      </c>
      <c r="K67" s="38">
        <f>'[64]MD50000.15-DEC'!$B$3</f>
        <v>45901</v>
      </c>
      <c r="L67" s="34">
        <f>'[64]MD50000.15-DEC'!$O$2</f>
        <v>0</v>
      </c>
      <c r="M67" s="34">
        <f>'[64]MD50000.15-DEC'!$O$1</f>
        <v>23800</v>
      </c>
      <c r="N67" s="38">
        <f>'[64]MD50000.15-DEC'!$G$2</f>
        <v>46020</v>
      </c>
    </row>
    <row r="68" spans="2:17" s="39" customFormat="1" ht="22.5" customHeight="1" x14ac:dyDescent="0.2">
      <c r="B68" s="35">
        <v>134</v>
      </c>
      <c r="C68" s="36" t="s">
        <v>167</v>
      </c>
      <c r="D68" s="36" t="s">
        <v>168</v>
      </c>
      <c r="E68" s="34">
        <f>'[65]MD50000.15-DEC'!$C$1</f>
        <v>10000</v>
      </c>
      <c r="F68" s="36"/>
      <c r="G68" s="36"/>
      <c r="H68" s="36">
        <f>'[65]MD50000.15-DEC'!$K$1</f>
        <v>0</v>
      </c>
      <c r="I68" s="36">
        <f>'[65]MD50000.15-DEC'!$K$2</f>
        <v>17</v>
      </c>
      <c r="J68" s="37" t="s">
        <v>125</v>
      </c>
      <c r="K68" s="38">
        <f>'[65]MD50000.15-DEC'!$B$3</f>
        <v>45901</v>
      </c>
      <c r="L68" s="34">
        <f>'[65]MD50000.15-DEC'!$O$2</f>
        <v>0</v>
      </c>
      <c r="M68" s="34">
        <f>'[65]MD50000.15-DEC'!$O$1</f>
        <v>11900</v>
      </c>
      <c r="N68" s="38">
        <f>'[65]MD50000.15-DEC'!$G$2</f>
        <v>46020</v>
      </c>
    </row>
    <row r="69" spans="2:17" ht="22.5" customHeight="1" x14ac:dyDescent="0.2">
      <c r="B69" s="6">
        <v>135</v>
      </c>
      <c r="C69" s="8" t="s">
        <v>107</v>
      </c>
      <c r="D69" s="8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</row>
    <row r="70" spans="2:17" s="39" customFormat="1" ht="22.5" customHeight="1" x14ac:dyDescent="0.2">
      <c r="B70" s="35">
        <v>136</v>
      </c>
      <c r="C70" s="36" t="s">
        <v>86</v>
      </c>
      <c r="D70" s="36" t="s">
        <v>142</v>
      </c>
      <c r="E70" s="34">
        <f>'[67]MD50000.15-DEC'!$C$1</f>
        <v>20000</v>
      </c>
      <c r="F70" s="36"/>
      <c r="G70" s="36"/>
      <c r="H70" s="36">
        <f>'[67]MD50000.15-DEC'!$K$1</f>
        <v>17</v>
      </c>
      <c r="I70" s="36">
        <f>'[67]MD50000.15-DEC'!$K$2</f>
        <v>17</v>
      </c>
      <c r="J70" s="37" t="s">
        <v>125</v>
      </c>
      <c r="K70" s="38">
        <f>'[67]MD50000.15-DEC'!$B$3</f>
        <v>45910</v>
      </c>
      <c r="L70" s="34">
        <f>'[67]MD50000.15-DEC'!$O$2</f>
        <v>0</v>
      </c>
      <c r="M70" s="34">
        <f>'[67]MD50000.15-DEC'!$O$1</f>
        <v>23800</v>
      </c>
      <c r="N70" s="38">
        <f>'[67]MD50000.15-DEC'!$G$2</f>
        <v>46029</v>
      </c>
    </row>
    <row r="71" spans="2:17" s="39" customFormat="1" ht="22.5" customHeight="1" x14ac:dyDescent="0.2">
      <c r="B71" s="35">
        <v>137</v>
      </c>
      <c r="C71" s="36" t="s">
        <v>169</v>
      </c>
      <c r="D71" s="36" t="s">
        <v>142</v>
      </c>
      <c r="E71" s="34">
        <f>'[68]MD50000.15-DEC'!$C$1</f>
        <v>20000</v>
      </c>
      <c r="F71" s="36"/>
      <c r="G71" s="36"/>
      <c r="H71" s="36">
        <f>'[68]MD50000.15-DEC'!$K$1</f>
        <v>0</v>
      </c>
      <c r="I71" s="36">
        <f>'[68]MD50000.15-DEC'!$K$2</f>
        <v>17</v>
      </c>
      <c r="J71" s="37" t="s">
        <v>125</v>
      </c>
      <c r="K71" s="38">
        <f>'[68]MD50000.15-DEC'!$B$3</f>
        <v>45928</v>
      </c>
      <c r="L71" s="34">
        <f>'[68]MD50000.15-DEC'!$O$2</f>
        <v>0</v>
      </c>
      <c r="M71" s="34">
        <f>'[68]MD50000.15-DEC'!$O$1</f>
        <v>23800</v>
      </c>
      <c r="N71" s="38">
        <f>'[68]MD50000.15-DEC'!$G$2</f>
        <v>46047</v>
      </c>
      <c r="Q71" s="34"/>
    </row>
    <row r="72" spans="2:17" s="39" customFormat="1" ht="22.5" customHeight="1" x14ac:dyDescent="0.2">
      <c r="B72" s="35">
        <v>138</v>
      </c>
      <c r="C72" s="36" t="s">
        <v>105</v>
      </c>
      <c r="D72" s="36" t="s">
        <v>168</v>
      </c>
      <c r="E72" s="34">
        <f>'[69]MD50000.15-DEC'!$C$1</f>
        <v>10000</v>
      </c>
      <c r="F72" s="36"/>
      <c r="G72" s="36"/>
      <c r="H72" s="36">
        <f>'[69]MD50000.15-DEC'!$K$1</f>
        <v>0</v>
      </c>
      <c r="I72" s="36">
        <f>'[69]MD50000.15-DEC'!$K$2</f>
        <v>17</v>
      </c>
      <c r="J72" s="37" t="s">
        <v>125</v>
      </c>
      <c r="K72" s="38">
        <f>'[69]MD50000.15-DEC'!$B$3</f>
        <v>45928</v>
      </c>
      <c r="L72" s="34">
        <f>'[69]MD50000.15-DEC'!$O$2</f>
        <v>0</v>
      </c>
      <c r="M72" s="34">
        <f>'[69]MD50000.15-DEC'!$O$1</f>
        <v>11900</v>
      </c>
      <c r="N72" s="38">
        <f>'[69]MD50000.15-DEC'!$G$2</f>
        <v>46047</v>
      </c>
    </row>
    <row r="73" spans="2:17" s="39" customFormat="1" ht="22.5" customHeight="1" x14ac:dyDescent="0.2">
      <c r="B73" s="35">
        <v>139</v>
      </c>
      <c r="C73" s="36" t="s">
        <v>170</v>
      </c>
      <c r="D73" s="36" t="s">
        <v>142</v>
      </c>
      <c r="E73" s="34">
        <f>'[70]MD50000.15-DEC'!$C$1</f>
        <v>20000</v>
      </c>
      <c r="F73" s="36"/>
      <c r="G73" s="36"/>
      <c r="H73" s="36">
        <f>'[70]MD50000.15-DEC'!$K$1</f>
        <v>0</v>
      </c>
      <c r="I73" s="36">
        <f>'[70]MD50000.15-DEC'!$K$2</f>
        <v>17</v>
      </c>
      <c r="J73" s="37" t="s">
        <v>125</v>
      </c>
      <c r="K73" s="38">
        <f>'[70]MD50000.15-DEC'!$B$3</f>
        <v>45933</v>
      </c>
      <c r="L73" s="34">
        <f>'[70]MD50000.15-DEC'!$O$2</f>
        <v>0</v>
      </c>
      <c r="M73" s="34">
        <f>'[70]MD50000.15-DEC'!$O$1</f>
        <v>23800</v>
      </c>
      <c r="N73" s="38">
        <f>'[70]MD50000.15-DEC'!$G$2</f>
        <v>46052</v>
      </c>
    </row>
    <row r="74" spans="2:17" ht="22.5" customHeight="1" x14ac:dyDescent="0.2">
      <c r="B74" s="6">
        <v>140</v>
      </c>
      <c r="C74" s="8" t="s">
        <v>171</v>
      </c>
      <c r="D74" s="8" t="s">
        <v>172</v>
      </c>
      <c r="E74" s="7">
        <f>'[71]MD50000.15-DEC'!$C$1</f>
        <v>100000</v>
      </c>
      <c r="F74" s="8">
        <f>'[71]MD50000.15-DEC'!$K$1</f>
        <v>182</v>
      </c>
      <c r="G74" s="8">
        <f>'[71]MD50000.15-DEC'!$K$2</f>
        <v>18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91000</v>
      </c>
      <c r="M74" s="7">
        <f>'[71]MD50000.15-DEC'!$O$1</f>
        <v>9000</v>
      </c>
      <c r="N74" s="10">
        <f>'[71]MD50000.15-DEC'!$G$2</f>
        <v>46128</v>
      </c>
    </row>
    <row r="75" spans="2:17" ht="22.5" customHeight="1" x14ac:dyDescent="0.2">
      <c r="B75" s="6">
        <v>141</v>
      </c>
      <c r="C75" s="8" t="s">
        <v>116</v>
      </c>
      <c r="D75" s="8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</row>
    <row r="76" spans="2:17" s="39" customFormat="1" ht="22.5" customHeight="1" x14ac:dyDescent="0.2">
      <c r="B76" s="35">
        <v>142</v>
      </c>
      <c r="C76" s="36" t="s">
        <v>173</v>
      </c>
      <c r="D76" s="36" t="s">
        <v>96</v>
      </c>
      <c r="E76" s="34">
        <f>'[72]MD20000.18-DEC'!$C$1</f>
        <v>50000</v>
      </c>
      <c r="F76" s="36">
        <f>'[72]MD20000.18-DEC'!$K$1</f>
        <v>0</v>
      </c>
      <c r="G76" s="36">
        <f>'[72]MD20000.18-DEC'!$K$2</f>
        <v>120</v>
      </c>
      <c r="H76" s="36"/>
      <c r="I76" s="36"/>
      <c r="J76" s="37" t="s">
        <v>125</v>
      </c>
      <c r="K76" s="38">
        <f>'[72]MD20000.18-DEC'!$B$3</f>
        <v>45947</v>
      </c>
      <c r="L76" s="34">
        <f>'[72]MD20000.18-DEC'!$O$2</f>
        <v>0</v>
      </c>
      <c r="M76" s="34">
        <f>'[72]MD20000.18-DEC'!$O$1</f>
        <v>60000</v>
      </c>
      <c r="N76" s="38">
        <f>'[72]MD20000.18-DEC'!$G$2</f>
        <v>46066</v>
      </c>
    </row>
    <row r="77" spans="2:17" ht="19.5" customHeight="1" x14ac:dyDescent="0.2">
      <c r="B77" s="17">
        <v>143</v>
      </c>
      <c r="C77" s="18" t="s">
        <v>160</v>
      </c>
      <c r="D77" s="18" t="s">
        <v>94</v>
      </c>
      <c r="E77" s="19">
        <f>'[73]MD20000.18-DEC'!$C$1</f>
        <v>15000</v>
      </c>
      <c r="F77" s="20">
        <f>'[73]MD20000.18-DEC'!$K$1</f>
        <v>0</v>
      </c>
      <c r="G77" s="20">
        <f>'[73]MD20000.18-DEC'!$K$2</f>
        <v>120</v>
      </c>
      <c r="H77" s="20"/>
      <c r="I77" s="20"/>
      <c r="J77" s="21" t="s">
        <v>125</v>
      </c>
      <c r="K77" s="22">
        <f>'[73]MD20000.18-DEC'!$B$3</f>
        <v>45950</v>
      </c>
      <c r="L77" s="19">
        <f>'[73]MD20000.18-DEC'!$O$2</f>
        <v>0</v>
      </c>
      <c r="M77" s="19">
        <f>'[73]MD20000.18-DEC'!$O$1</f>
        <v>18000</v>
      </c>
      <c r="N77" s="33">
        <f>'[73]MD20000.18-DEC'!$G$2</f>
        <v>46069</v>
      </c>
    </row>
    <row r="78" spans="2:17" s="39" customFormat="1" ht="22.5" customHeight="1" x14ac:dyDescent="0.2">
      <c r="B78" s="35">
        <v>144</v>
      </c>
      <c r="C78" s="36" t="s">
        <v>174</v>
      </c>
      <c r="D78" s="36" t="s">
        <v>175</v>
      </c>
      <c r="E78" s="34">
        <f>'[74]MD20000.18-DEC'!$C$1</f>
        <v>20000</v>
      </c>
      <c r="F78" s="36">
        <f>'[74]MD20000.18-DEC'!$K$1</f>
        <v>0</v>
      </c>
      <c r="G78" s="36">
        <f>'[74]MD20000.18-DEC'!$K$2</f>
        <v>120</v>
      </c>
      <c r="H78" s="36"/>
      <c r="I78" s="36"/>
      <c r="J78" s="37" t="s">
        <v>125</v>
      </c>
      <c r="K78" s="38">
        <f>'[74]MD20000.18-DEC'!$B$3</f>
        <v>45961</v>
      </c>
      <c r="L78" s="34">
        <f>'[74]MD20000.18-DEC'!$O$2</f>
        <v>0</v>
      </c>
      <c r="M78" s="34">
        <f>'[74]MD20000.18-DEC'!$O$1</f>
        <v>24000</v>
      </c>
      <c r="N78" s="38">
        <f>'[74]MD20000.18-DEC'!$G$2</f>
        <v>46080</v>
      </c>
    </row>
    <row r="79" spans="2:17" s="39" customFormat="1" ht="22.5" customHeight="1" x14ac:dyDescent="0.2">
      <c r="B79" s="35">
        <v>145</v>
      </c>
      <c r="C79" s="36" t="s">
        <v>176</v>
      </c>
      <c r="D79" s="36" t="s">
        <v>142</v>
      </c>
      <c r="E79" s="34">
        <f>'[75]MD50000.15-DEC'!$C$1</f>
        <v>20000</v>
      </c>
      <c r="F79" s="36"/>
      <c r="G79" s="36"/>
      <c r="H79" s="36">
        <f>'[75]MD50000.15-DEC'!$K$1</f>
        <v>0</v>
      </c>
      <c r="I79" s="36">
        <f>'[75]MD50000.15-DEC'!$K$2</f>
        <v>17</v>
      </c>
      <c r="J79" s="37" t="s">
        <v>125</v>
      </c>
      <c r="K79" s="38">
        <f>'[75]MD50000.15-DEC'!$B$3</f>
        <v>45975</v>
      </c>
      <c r="L79" s="34">
        <f>'[75]MD50000.15-DEC'!$O$2</f>
        <v>0</v>
      </c>
      <c r="M79" s="34">
        <f>'[75]MD50000.15-DEC'!$O$1</f>
        <v>23800</v>
      </c>
      <c r="N79" s="38">
        <f>'[75]MD50000.15-DEC'!$G$2</f>
        <v>46094</v>
      </c>
    </row>
    <row r="80" spans="2:17" ht="19.5" customHeight="1" x14ac:dyDescent="0.2">
      <c r="B80" s="17">
        <v>146</v>
      </c>
      <c r="C80" s="18" t="s">
        <v>177</v>
      </c>
      <c r="D80" s="18" t="s">
        <v>175</v>
      </c>
      <c r="E80" s="19">
        <f>'[76]MD20000.18-DEC'!$C$1</f>
        <v>20000</v>
      </c>
      <c r="F80" s="20">
        <f>'[76]MD20000.18-DEC'!$K$1</f>
        <v>0</v>
      </c>
      <c r="G80" s="20">
        <f>'[76]MD20000.18-DEC'!$K$2</f>
        <v>120</v>
      </c>
      <c r="H80" s="20"/>
      <c r="I80" s="20"/>
      <c r="J80" s="21" t="s">
        <v>12</v>
      </c>
      <c r="K80" s="22">
        <f>'[76]MD20000.18-DEC'!$B$3</f>
        <v>45978</v>
      </c>
      <c r="L80" s="19">
        <f>'[76]MD20000.18-DEC'!$O$2</f>
        <v>0</v>
      </c>
      <c r="M80" s="19">
        <f>'[76]MD20000.18-DEC'!$O$1</f>
        <v>24000</v>
      </c>
      <c r="N80" s="33">
        <f>'[76]MD20000.18-DEC'!$G$2</f>
        <v>46097</v>
      </c>
    </row>
    <row r="81" spans="2:15" s="39" customFormat="1" ht="22.5" customHeight="1" x14ac:dyDescent="0.2">
      <c r="B81" s="35">
        <v>147</v>
      </c>
      <c r="C81" s="36" t="s">
        <v>152</v>
      </c>
      <c r="D81" s="36" t="s">
        <v>175</v>
      </c>
      <c r="E81" s="34">
        <f>'[77]MD50000.15-DEC'!$C$1</f>
        <v>20000</v>
      </c>
      <c r="F81" s="36">
        <f>'[77]MD50000.15-DEC'!$K$1</f>
        <v>0</v>
      </c>
      <c r="G81" s="36">
        <f>'[77]MD50000.15-DEC'!$K$2</f>
        <v>120</v>
      </c>
      <c r="H81" s="36"/>
      <c r="I81" s="36"/>
      <c r="J81" s="37" t="s">
        <v>125</v>
      </c>
      <c r="K81" s="38">
        <f>'[77]MD50000.15-DEC'!$B$3</f>
        <v>45981</v>
      </c>
      <c r="L81" s="34">
        <f>'[77]MD50000.15-DEC'!$O$2</f>
        <v>0</v>
      </c>
      <c r="M81" s="34">
        <f>'[77]MD50000.15-DEC'!$O$1</f>
        <v>24000</v>
      </c>
      <c r="N81" s="38">
        <f>'[77]MD50000.15-DEC'!$G$2</f>
        <v>46100</v>
      </c>
    </row>
    <row r="82" spans="2:15" ht="19.5" customHeight="1" x14ac:dyDescent="0.2">
      <c r="B82" s="17">
        <v>148</v>
      </c>
      <c r="C82" s="18" t="s">
        <v>112</v>
      </c>
      <c r="D82" s="18" t="s">
        <v>164</v>
      </c>
      <c r="E82" s="19">
        <f>'[78]MD20000.18-DEC'!$C$1</f>
        <v>40000</v>
      </c>
      <c r="F82" s="20">
        <f>'[78]MD20000.18-DEC'!$K$1</f>
        <v>0</v>
      </c>
      <c r="G82" s="20">
        <f>'[78]MD20000.18-DEC'!$K$2</f>
        <v>120</v>
      </c>
      <c r="H82" s="20"/>
      <c r="I82" s="20"/>
      <c r="J82" s="21" t="s">
        <v>125</v>
      </c>
      <c r="K82" s="22">
        <f>'[78]MD20000.18-DEC'!$B$3</f>
        <v>45983</v>
      </c>
      <c r="L82" s="19">
        <f>'[78]MD20000.18-DEC'!$O$2</f>
        <v>0</v>
      </c>
      <c r="M82" s="19">
        <f>'[78]MD20000.18-DEC'!$O$1</f>
        <v>48000</v>
      </c>
      <c r="N82" s="33">
        <f>'[78]MD20000.18-DEC'!$G$2</f>
        <v>46102</v>
      </c>
    </row>
    <row r="83" spans="2:15" s="39" customFormat="1" ht="22.5" customHeight="1" x14ac:dyDescent="0.2">
      <c r="B83" s="35">
        <v>149</v>
      </c>
      <c r="C83" s="36" t="s">
        <v>162</v>
      </c>
      <c r="D83" s="36" t="s">
        <v>142</v>
      </c>
      <c r="E83" s="34">
        <f>'[79]MD10000.1-OCT'!$C$1</f>
        <v>20000</v>
      </c>
      <c r="F83" s="36"/>
      <c r="G83" s="36"/>
      <c r="H83" s="36">
        <f>'[79]MD10000.1-OCT'!$K$1</f>
        <v>0</v>
      </c>
      <c r="I83" s="36">
        <f>'[79]MD10000.1-OCT'!$K$2</f>
        <v>17</v>
      </c>
      <c r="J83" s="37" t="s">
        <v>125</v>
      </c>
      <c r="K83" s="38">
        <f>'[79]MD10000.1-OCT'!$B$3</f>
        <v>45997</v>
      </c>
      <c r="L83" s="34">
        <f>'[79]MD10000.1-OCT'!$O$2</f>
        <v>0</v>
      </c>
      <c r="M83" s="34">
        <f>'[79]MD10000.1-OCT'!$O$1</f>
        <v>23800</v>
      </c>
      <c r="N83" s="38">
        <f>'[79]MD10000.1-OCT'!$G$2</f>
        <v>46116</v>
      </c>
    </row>
    <row r="84" spans="2:15" ht="19.5" customHeight="1" x14ac:dyDescent="0.2">
      <c r="B84" s="17">
        <v>150</v>
      </c>
      <c r="C84" s="18" t="s">
        <v>178</v>
      </c>
      <c r="D84" s="18" t="s">
        <v>175</v>
      </c>
      <c r="E84" s="19">
        <f>'[80]MD10000.1-OCT'!$C$1</f>
        <v>20000</v>
      </c>
      <c r="F84" s="20">
        <f>'[80]MD10000.1-OCT'!$K$1</f>
        <v>0</v>
      </c>
      <c r="G84" s="20">
        <f>'[80]MD10000.1-OCT'!$K$2</f>
        <v>120</v>
      </c>
      <c r="H84" s="20"/>
      <c r="I84" s="20"/>
      <c r="J84" s="21" t="s">
        <v>125</v>
      </c>
      <c r="K84" s="22">
        <f>'[80]MD10000.1-OCT'!$B$3</f>
        <v>45992</v>
      </c>
      <c r="L84" s="19">
        <f>'[80]MD10000.1-OCT'!$O$2</f>
        <v>0</v>
      </c>
      <c r="M84" s="19">
        <f>'[80]MD10000.1-OCT'!$O$1</f>
        <v>24000</v>
      </c>
      <c r="N84" s="33">
        <f>'[80]MD10000.1-OCT'!$G$2</f>
        <v>46111</v>
      </c>
    </row>
    <row r="85" spans="2:15" ht="19.5" customHeight="1" x14ac:dyDescent="0.2">
      <c r="B85" s="17">
        <v>151</v>
      </c>
      <c r="C85" s="18" t="s">
        <v>144</v>
      </c>
      <c r="D85" s="18" t="s">
        <v>179</v>
      </c>
      <c r="E85" s="19">
        <f>'[81]MD20000.18-DEC'!$C$1</f>
        <v>16000</v>
      </c>
      <c r="F85" s="20">
        <f>'[81]MD20000.18-DEC'!$K$1</f>
        <v>0</v>
      </c>
      <c r="G85" s="20">
        <f>'[81]MD20000.18-DEC'!$K$2</f>
        <v>120</v>
      </c>
      <c r="H85" s="20"/>
      <c r="I85" s="20"/>
      <c r="J85" s="21" t="s">
        <v>125</v>
      </c>
      <c r="K85" s="22">
        <f>'[81]MD20000.18-DEC'!$B$3</f>
        <v>45998</v>
      </c>
      <c r="L85" s="19">
        <f>'[81]MD20000.18-DEC'!$O$2</f>
        <v>0</v>
      </c>
      <c r="M85" s="19">
        <f>'[81]MD20000.18-DEC'!$O$1</f>
        <v>19200</v>
      </c>
      <c r="N85" s="33">
        <f>'[81]MD20000.18-DEC'!$G$2</f>
        <v>46117</v>
      </c>
    </row>
    <row r="86" spans="2:15" s="39" customFormat="1" ht="22.5" customHeight="1" x14ac:dyDescent="0.2">
      <c r="B86" s="35">
        <v>152</v>
      </c>
      <c r="C86" s="36" t="s">
        <v>149</v>
      </c>
      <c r="D86" s="36" t="s">
        <v>175</v>
      </c>
      <c r="E86" s="34">
        <f>'[82]MD20000.18-DEC'!$C$1</f>
        <v>20000</v>
      </c>
      <c r="F86" s="36">
        <f>'[82]MD20000.18-DEC'!$K$1</f>
        <v>0</v>
      </c>
      <c r="G86" s="36">
        <f>'[82]MD20000.18-DEC'!$K$2</f>
        <v>120</v>
      </c>
      <c r="H86" s="36"/>
      <c r="I86" s="36"/>
      <c r="J86" s="37" t="s">
        <v>125</v>
      </c>
      <c r="K86" s="38">
        <f>'[82]MD20000.18-DEC'!$B$3</f>
        <v>46006</v>
      </c>
      <c r="L86" s="34">
        <f>'[82]MD20000.18-DEC'!$O$2</f>
        <v>0</v>
      </c>
      <c r="M86" s="34">
        <f>'[82]MD20000.18-DEC'!$O$1</f>
        <v>24000</v>
      </c>
      <c r="N86" s="38">
        <f>'[82]MD20000.18-DEC'!$B$3</f>
        <v>46006</v>
      </c>
    </row>
    <row r="87" spans="2:15" ht="19.5" customHeight="1" x14ac:dyDescent="0.2">
      <c r="B87" s="17">
        <v>153</v>
      </c>
      <c r="C87" s="18" t="s">
        <v>180</v>
      </c>
      <c r="D87" s="18" t="s">
        <v>181</v>
      </c>
      <c r="E87" s="19">
        <f>'[83]MD50000.15-DEC'!$C$1</f>
        <v>15000</v>
      </c>
      <c r="F87" s="20"/>
      <c r="G87" s="20"/>
      <c r="H87" s="20">
        <f>'[83]MD50000.15-DEC'!$K$1</f>
        <v>0</v>
      </c>
      <c r="I87" s="20">
        <f>'[83]MD50000.15-DEC'!$K$2</f>
        <v>17</v>
      </c>
      <c r="J87" s="21" t="s">
        <v>125</v>
      </c>
      <c r="K87" s="22">
        <f>'[83]MD50000.15-DEC'!$B$3</f>
        <v>46012</v>
      </c>
      <c r="L87" s="19">
        <f>'[83]MD50000.15-DEC'!$O$2</f>
        <v>0</v>
      </c>
      <c r="M87" s="19">
        <f>'[83]MD50000.15-DEC'!$O$1</f>
        <v>17850</v>
      </c>
      <c r="N87" s="33">
        <f>'[83]MD50000.15-DEC'!$G$2</f>
        <v>46131</v>
      </c>
    </row>
    <row r="88" spans="2:15" s="39" customFormat="1" ht="22.5" customHeight="1" x14ac:dyDescent="0.2">
      <c r="B88" s="35">
        <v>154</v>
      </c>
      <c r="C88" s="36" t="s">
        <v>136</v>
      </c>
      <c r="D88" s="36" t="s">
        <v>183</v>
      </c>
      <c r="E88" s="34">
        <f>'[84]MD20000.18-DEC'!$C$1</f>
        <v>10000</v>
      </c>
      <c r="F88" s="36">
        <f>'[84]MD20000.18-DEC'!$K$1</f>
        <v>0</v>
      </c>
      <c r="G88" s="36">
        <f>'[84]MD20000.18-DEC'!$K$2</f>
        <v>120</v>
      </c>
      <c r="H88" s="36"/>
      <c r="I88" s="36"/>
      <c r="J88" s="37" t="s">
        <v>125</v>
      </c>
      <c r="K88" s="38">
        <f>'[84]MD20000.18-DEC'!$B$3</f>
        <v>46019</v>
      </c>
      <c r="L88" s="34">
        <f>'[84]MD20000.18-DEC'!$O$2</f>
        <v>0</v>
      </c>
      <c r="M88" s="34">
        <f>'[84]MD20000.18-DEC'!$O$1</f>
        <v>12000</v>
      </c>
      <c r="N88" s="38">
        <f>'[84]MD20000.18-DEC'!$B$3</f>
        <v>46019</v>
      </c>
    </row>
    <row r="89" spans="2:15" s="39" customFormat="1" ht="22.5" customHeight="1" x14ac:dyDescent="0.2">
      <c r="B89" s="35">
        <v>155</v>
      </c>
      <c r="C89" s="36" t="s">
        <v>182</v>
      </c>
      <c r="D89" s="36" t="s">
        <v>161</v>
      </c>
      <c r="E89" s="34">
        <f>'[85]MD20000.18-DEC'!$C$1</f>
        <v>10000</v>
      </c>
      <c r="F89" s="36">
        <f>'[85]MD20000.18-DEC'!$K$1</f>
        <v>0</v>
      </c>
      <c r="G89" s="36">
        <f>'[85]MD20000.18-DEC'!$K$2</f>
        <v>120</v>
      </c>
      <c r="H89" s="36"/>
      <c r="I89" s="36"/>
      <c r="J89" s="37" t="s">
        <v>125</v>
      </c>
      <c r="K89" s="38">
        <f>'[85]MD20000.18-DEC'!$B$3</f>
        <v>46019</v>
      </c>
      <c r="L89" s="34">
        <f>'[85]MD20000.18-DEC'!$O$2</f>
        <v>0</v>
      </c>
      <c r="M89" s="34">
        <f>'[85]MD20000.18-DEC'!$O$1</f>
        <v>12000</v>
      </c>
      <c r="N89" s="38">
        <f>'[85]MD20000.18-DEC'!$G$2</f>
        <v>46138</v>
      </c>
    </row>
    <row r="90" spans="2:15" s="39" customFormat="1" ht="22.5" customHeight="1" x14ac:dyDescent="0.2">
      <c r="B90" s="35">
        <v>156</v>
      </c>
      <c r="C90" s="36" t="s">
        <v>138</v>
      </c>
      <c r="D90" s="36" t="s">
        <v>161</v>
      </c>
      <c r="E90" s="34">
        <f>'[86]MD20000.18-DEC'!$C$1</f>
        <v>10000</v>
      </c>
      <c r="F90" s="36">
        <f>'[86]MD20000.18-DEC'!$K$1</f>
        <v>0</v>
      </c>
      <c r="G90" s="36">
        <f>'[86]MD20000.18-DEC'!$K$2</f>
        <v>120</v>
      </c>
      <c r="H90" s="36"/>
      <c r="I90" s="36"/>
      <c r="J90" s="37" t="s">
        <v>125</v>
      </c>
      <c r="K90" s="38">
        <f>'[86]MD20000.18-DEC'!$B$3</f>
        <v>46019</v>
      </c>
      <c r="L90" s="34">
        <f>'[86]MD20000.18-DEC'!$O$2</f>
        <v>0</v>
      </c>
      <c r="M90" s="34">
        <f>'[86]MD20000.18-DEC'!$O$1</f>
        <v>12000</v>
      </c>
      <c r="N90" s="38">
        <f>'[86]MD20000.18-DEC'!$G$2</f>
        <v>46138</v>
      </c>
    </row>
    <row r="91" spans="2:15" ht="19.5" customHeight="1" x14ac:dyDescent="0.2">
      <c r="B91" s="17">
        <v>157</v>
      </c>
      <c r="C91" s="18" t="s">
        <v>133</v>
      </c>
      <c r="D91" s="18" t="s">
        <v>184</v>
      </c>
      <c r="E91" s="19">
        <f>'[87]MD20000.18-DEC'!$C$1</f>
        <v>20000</v>
      </c>
      <c r="F91" s="20">
        <f>'[87]MD20000.18-DEC'!$K$1</f>
        <v>0</v>
      </c>
      <c r="G91" s="20">
        <f>'[87]MD20000.18-DEC'!$K$2</f>
        <v>120</v>
      </c>
      <c r="H91" s="20"/>
      <c r="I91" s="20"/>
      <c r="J91" s="21" t="s">
        <v>125</v>
      </c>
      <c r="K91" s="22">
        <f>'[87]MD20000.18-DEC'!$B$3</f>
        <v>46019</v>
      </c>
      <c r="L91" s="19">
        <f>'[87]MD20000.18-DEC'!$O$2</f>
        <v>0</v>
      </c>
      <c r="M91" s="19">
        <f>'[87]MD20000.18-DEC'!$O$1</f>
        <v>24000</v>
      </c>
      <c r="N91" s="33">
        <f>'[87]MD20000.18-DEC'!$G$2</f>
        <v>46138</v>
      </c>
    </row>
    <row r="92" spans="2:15" ht="22.5" customHeight="1" x14ac:dyDescent="0.2">
      <c r="B92" s="6">
        <v>158</v>
      </c>
      <c r="C92" s="8" t="s">
        <v>185</v>
      </c>
      <c r="D92" s="8" t="s">
        <v>146</v>
      </c>
      <c r="E92" s="7">
        <f>'[88]MD50000.15-DEC'!$C$1</f>
        <v>10000</v>
      </c>
      <c r="F92" s="8"/>
      <c r="G92" s="8"/>
      <c r="H92" s="8">
        <f>'[88]MD50000.15-DEC'!$K$1</f>
        <v>1</v>
      </c>
      <c r="I92" s="8">
        <f>'[88]MD50000.15-DEC'!$K$2</f>
        <v>16</v>
      </c>
      <c r="J92" s="9" t="s">
        <v>125</v>
      </c>
      <c r="K92" s="10">
        <f>'[88]MD50000.15-DEC'!$B$3</f>
        <v>46061</v>
      </c>
      <c r="L92" s="7">
        <f>'[88]MD50000.15-DEC'!$O$2</f>
        <v>700</v>
      </c>
      <c r="M92" s="7">
        <f>'[88]MD50000.15-DEC'!$O$1</f>
        <v>11200</v>
      </c>
      <c r="N92" s="10">
        <f>'[88]MD50000.15-DEC'!$G$2</f>
        <v>46180</v>
      </c>
      <c r="O92" s="1">
        <v>700</v>
      </c>
    </row>
    <row r="93" spans="2:15" ht="22.5" customHeight="1" x14ac:dyDescent="0.2">
      <c r="B93" s="6">
        <v>159</v>
      </c>
      <c r="C93" s="8" t="s">
        <v>186</v>
      </c>
      <c r="D93" s="8"/>
      <c r="E93" s="7">
        <v>190000</v>
      </c>
      <c r="F93" s="8"/>
      <c r="G93" s="8"/>
      <c r="H93" s="8"/>
      <c r="I93" s="8"/>
      <c r="J93" s="9"/>
      <c r="K93" s="10"/>
      <c r="L93" s="7">
        <v>190000</v>
      </c>
      <c r="M93" s="7"/>
      <c r="N93" s="10"/>
      <c r="O93" s="1">
        <f>6000/4</f>
        <v>1500</v>
      </c>
    </row>
    <row r="94" spans="2:15" ht="22.5" customHeight="1" x14ac:dyDescent="0.2">
      <c r="B94" s="6">
        <v>160</v>
      </c>
      <c r="C94" s="8" t="s">
        <v>160</v>
      </c>
      <c r="D94" s="8" t="s">
        <v>187</v>
      </c>
      <c r="E94" s="7">
        <f>'[89]MD20000.18-DEC'!$C$1</f>
        <v>20000</v>
      </c>
      <c r="F94" s="8"/>
      <c r="G94" s="8"/>
      <c r="H94" s="8">
        <f>'[89]MD20000.18-DEC'!$K$1</f>
        <v>0</v>
      </c>
      <c r="I94" s="8">
        <f>'[89]MD20000.18-DEC'!$K$2</f>
        <v>17</v>
      </c>
      <c r="J94" s="9" t="s">
        <v>125</v>
      </c>
      <c r="K94" s="10">
        <f>'[89]MD20000.18-DEC'!$B$3</f>
        <v>46089</v>
      </c>
      <c r="L94" s="7">
        <f>'[89]MD20000.18-DEC'!$O$2</f>
        <v>0</v>
      </c>
      <c r="M94" s="7">
        <f>'[89]MD20000.18-DEC'!$O$1</f>
        <v>23800</v>
      </c>
      <c r="N94" s="10">
        <f>'[89]MD20000.18-DEC'!$G$2</f>
        <v>46208</v>
      </c>
      <c r="O94" s="1">
        <v>1400</v>
      </c>
    </row>
    <row r="95" spans="2:15" ht="22.5" customHeight="1" x14ac:dyDescent="0.2">
      <c r="B95" s="6">
        <v>161</v>
      </c>
      <c r="C95" s="8" t="s">
        <v>180</v>
      </c>
      <c r="D95" s="8" t="s">
        <v>188</v>
      </c>
      <c r="E95" s="7">
        <f>'[90]MD50000.15-DEC'!$C$1</f>
        <v>30000</v>
      </c>
      <c r="F95" s="8"/>
      <c r="G95" s="8"/>
      <c r="H95" s="8">
        <f>'[90]MD50000.15-DEC'!$K$1</f>
        <v>6</v>
      </c>
      <c r="I95" s="8">
        <f>'[90]MD50000.15-DEC'!$K$2</f>
        <v>11</v>
      </c>
      <c r="J95" s="9" t="s">
        <v>125</v>
      </c>
      <c r="K95" s="10">
        <f>'[90]MD50000.15-DEC'!$B$3</f>
        <v>46089</v>
      </c>
      <c r="L95" s="7">
        <f>'[90]MD50000.15-DEC'!$O$2</f>
        <v>12600</v>
      </c>
      <c r="M95" s="7">
        <f>'[90]MD50000.15-DEC'!$O$1</f>
        <v>23100</v>
      </c>
      <c r="N95" s="10">
        <f>'[90]MD50000.15-DEC'!$G$2</f>
        <v>46208</v>
      </c>
      <c r="O95" s="1">
        <v>2100</v>
      </c>
    </row>
    <row r="96" spans="2:15" ht="22.5" customHeight="1" x14ac:dyDescent="0.2">
      <c r="B96" s="6">
        <v>162</v>
      </c>
      <c r="C96" s="8" t="s">
        <v>189</v>
      </c>
      <c r="D96" s="8" t="s">
        <v>190</v>
      </c>
      <c r="E96" s="7">
        <f>'[91]MD50000.15-DEC'!$C$1</f>
        <v>50000</v>
      </c>
      <c r="F96" s="8">
        <f>'[91]MD50000.15-DEC'!$K$1</f>
        <v>95</v>
      </c>
      <c r="G96" s="8">
        <f>'[91]MD50000.15-DEC'!$K$2</f>
        <v>25</v>
      </c>
      <c r="H96" s="8"/>
      <c r="I96" s="8"/>
      <c r="J96" s="9" t="s">
        <v>125</v>
      </c>
      <c r="K96" s="10">
        <f>'[91]MD50000.15-DEC'!$B$3</f>
        <v>46089</v>
      </c>
      <c r="L96" s="7">
        <f>'[91]MD50000.15-DEC'!$O$2</f>
        <v>47500</v>
      </c>
      <c r="M96" s="7">
        <f>'[91]MD50000.15-DEC'!$O$1</f>
        <v>12500</v>
      </c>
      <c r="N96" s="10">
        <f>'[91]MD50000.15-DEC'!$O$1</f>
        <v>12500</v>
      </c>
      <c r="O96" s="1">
        <v>3500</v>
      </c>
    </row>
    <row r="97" spans="2:15" ht="22.5" customHeight="1" x14ac:dyDescent="0.2">
      <c r="B97" s="6">
        <v>163</v>
      </c>
      <c r="C97" s="8" t="s">
        <v>112</v>
      </c>
      <c r="D97" s="8" t="s">
        <v>191</v>
      </c>
      <c r="E97" s="7">
        <f>'[92]MD20000.18-DEC'!$C$1</f>
        <v>40000</v>
      </c>
      <c r="F97" s="8">
        <f>'[92]MD20000.18-DEC'!$K$1</f>
        <v>39</v>
      </c>
      <c r="G97" s="8">
        <f>'[92]MD20000.18-DEC'!$K$2</f>
        <v>81</v>
      </c>
      <c r="H97" s="8"/>
      <c r="I97" s="8"/>
      <c r="J97" s="9" t="s">
        <v>125</v>
      </c>
      <c r="K97" s="10">
        <f>'[92]MD20000.18-DEC'!$B$3</f>
        <v>46092</v>
      </c>
      <c r="L97" s="7">
        <f>'[92]MD20000.18-DEC'!$O$2</f>
        <v>15600</v>
      </c>
      <c r="M97" s="7">
        <f>'[92]MD20000.18-DEC'!$O$1</f>
        <v>32400</v>
      </c>
      <c r="N97" s="10">
        <f>'[92]MD20000.18-DEC'!$G$2</f>
        <v>46211</v>
      </c>
      <c r="O97" s="1">
        <v>2800</v>
      </c>
    </row>
    <row r="98" spans="2:15" ht="22.5" customHeight="1" x14ac:dyDescent="0.2">
      <c r="B98" s="6">
        <v>164</v>
      </c>
      <c r="C98" s="8" t="s">
        <v>192</v>
      </c>
      <c r="D98" s="8" t="s">
        <v>184</v>
      </c>
      <c r="E98" s="7">
        <f>'[93]MD20000.18-DEC'!$C$1</f>
        <v>20000</v>
      </c>
      <c r="F98" s="8">
        <f>'[93]MD20000.18-DEC'!$K$1</f>
        <v>60</v>
      </c>
      <c r="G98" s="8">
        <f>'[93]MD20000.18-DEC'!$K$2</f>
        <v>60</v>
      </c>
      <c r="H98" s="8"/>
      <c r="I98" s="8"/>
      <c r="J98" s="9" t="s">
        <v>125</v>
      </c>
      <c r="K98" s="10">
        <f>'[93]MD20000.18-DEC'!$B$3</f>
        <v>46092</v>
      </c>
      <c r="L98" s="7">
        <f>'[93]MD20000.18-DEC'!$O$2</f>
        <v>12000</v>
      </c>
      <c r="M98" s="7">
        <f>'[93]MD20000.18-DEC'!$O$1</f>
        <v>12000</v>
      </c>
      <c r="N98" s="10">
        <f>'[93]MD20000.18-DEC'!$G$2</f>
        <v>46211</v>
      </c>
      <c r="O98" s="1">
        <v>1400</v>
      </c>
    </row>
    <row r="99" spans="2:15" ht="22.5" customHeight="1" x14ac:dyDescent="0.2">
      <c r="B99" s="6">
        <v>165</v>
      </c>
      <c r="C99" s="8" t="s">
        <v>193</v>
      </c>
      <c r="D99" s="8" t="s">
        <v>203</v>
      </c>
      <c r="E99" s="7">
        <f>'[94]MD50000.15-DEC'!$C$1</f>
        <v>140000</v>
      </c>
      <c r="F99" s="8"/>
      <c r="G99" s="8"/>
      <c r="H99" s="8">
        <f>'[94]MD50000.15-DEC'!$K$1</f>
        <v>6</v>
      </c>
      <c r="I99" s="8">
        <f>'[94]MD50000.15-DEC'!$K$2</f>
        <v>11</v>
      </c>
      <c r="J99" s="9" t="s">
        <v>125</v>
      </c>
      <c r="K99" s="10">
        <f>'[94]MD50000.15-DEC'!$B$3</f>
        <v>46094</v>
      </c>
      <c r="L99" s="7">
        <f>'[94]MD50000.15-DEC'!$O$2</f>
        <v>58800</v>
      </c>
      <c r="M99" s="7">
        <f>'[94]MD50000.15-DEC'!$O$1</f>
        <v>107800</v>
      </c>
      <c r="N99" s="10">
        <f>'[94]MD50000.15-DEC'!$O$1</f>
        <v>107800</v>
      </c>
      <c r="O99" s="1">
        <v>9800</v>
      </c>
    </row>
    <row r="100" spans="2:15" ht="22.5" customHeight="1" x14ac:dyDescent="0.2">
      <c r="B100" s="17">
        <v>166</v>
      </c>
      <c r="C100" s="18" t="s">
        <v>194</v>
      </c>
      <c r="D100" s="18" t="s">
        <v>195</v>
      </c>
      <c r="E100" s="19">
        <f>'[95]MD20000.18-DEC'!$C$1</f>
        <v>10000</v>
      </c>
      <c r="F100" s="20">
        <f>'[95]MD20000.18-DEC'!$K$1</f>
        <v>0</v>
      </c>
      <c r="G100" s="20">
        <f>'[95]MD20000.18-DEC'!$K$2</f>
        <v>120</v>
      </c>
      <c r="H100" s="20"/>
      <c r="I100" s="20"/>
      <c r="J100" s="21" t="s">
        <v>125</v>
      </c>
      <c r="K100" s="22">
        <f>'[95]MD20000.18-DEC'!$B$3</f>
        <v>46090</v>
      </c>
      <c r="L100" s="19">
        <f>'[95]MD20000.18-DEC'!$O$2</f>
        <v>0</v>
      </c>
      <c r="M100" s="19">
        <f>'[95]MD20000.18-DEC'!$O$1</f>
        <v>12000</v>
      </c>
      <c r="N100" s="22">
        <f>'[95]MD20000.18-DEC'!$G$2</f>
        <v>46209</v>
      </c>
    </row>
    <row r="101" spans="2:15" ht="22.5" customHeight="1" x14ac:dyDescent="0.2">
      <c r="B101" s="6">
        <v>167</v>
      </c>
      <c r="C101" s="8" t="s">
        <v>196</v>
      </c>
      <c r="D101" s="8" t="s">
        <v>187</v>
      </c>
      <c r="E101" s="7">
        <f>'[96]MD20000.18-DEC'!$C$1</f>
        <v>20000</v>
      </c>
      <c r="F101" s="8"/>
      <c r="G101" s="8"/>
      <c r="H101" s="8">
        <f>'[96]MD20000.18-DEC'!$K$1</f>
        <v>5</v>
      </c>
      <c r="I101" s="8">
        <f>'[96]MD20000.18-DEC'!$K$2</f>
        <v>12</v>
      </c>
      <c r="J101" s="9" t="s">
        <v>125</v>
      </c>
      <c r="K101" s="10">
        <f>'[96]MD20000.18-DEC'!$B$3</f>
        <v>46097</v>
      </c>
      <c r="L101" s="7">
        <f>'[96]MD20000.18-DEC'!$O$2</f>
        <v>7000</v>
      </c>
      <c r="M101" s="7">
        <f>'[96]MD20000.18-DEC'!$O$1</f>
        <v>16800</v>
      </c>
      <c r="N101" s="10">
        <f>'[96]MD20000.18-DEC'!$G$2</f>
        <v>46216</v>
      </c>
      <c r="O101" s="1">
        <v>1400</v>
      </c>
    </row>
    <row r="102" spans="2:15" ht="22.5" customHeight="1" x14ac:dyDescent="0.2">
      <c r="B102" s="17">
        <v>168</v>
      </c>
      <c r="C102" s="18" t="s">
        <v>213</v>
      </c>
      <c r="D102" s="18" t="s">
        <v>214</v>
      </c>
      <c r="E102" s="19">
        <f>'[97]MD50000.15-DEC'!$C$1</f>
        <v>60000</v>
      </c>
      <c r="F102" s="20"/>
      <c r="G102" s="20"/>
      <c r="H102" s="20">
        <f>'[97]MD50000.15-DEC'!$K$1</f>
        <v>0</v>
      </c>
      <c r="I102" s="20">
        <f>'[97]MD50000.15-DEC'!$K$2</f>
        <v>17</v>
      </c>
      <c r="J102" s="21" t="s">
        <v>215</v>
      </c>
      <c r="K102" s="22">
        <f>'[97]MD50000.15-DEC'!$B$3</f>
        <v>46101</v>
      </c>
      <c r="L102" s="19">
        <f>'[97]MD50000.15-DEC'!$O$2</f>
        <v>0</v>
      </c>
      <c r="M102" s="19">
        <f>'[97]MD50000.15-DEC'!$O$1</f>
        <v>71400</v>
      </c>
      <c r="N102" s="22">
        <f>'[97]MD50000.15-DEC'!$G$2</f>
        <v>46220</v>
      </c>
    </row>
    <row r="103" spans="2:15" ht="22.5" customHeight="1" x14ac:dyDescent="0.2">
      <c r="B103" s="6">
        <v>169</v>
      </c>
      <c r="C103" s="8" t="s">
        <v>197</v>
      </c>
      <c r="D103" s="8" t="s">
        <v>187</v>
      </c>
      <c r="E103" s="7">
        <f>'[98]MD20000.18-DEC'!$C$1</f>
        <v>20000</v>
      </c>
      <c r="F103" s="8"/>
      <c r="G103" s="8"/>
      <c r="H103" s="8">
        <f>'[98]MD20000.18-DEC'!$K$1</f>
        <v>7</v>
      </c>
      <c r="I103" s="8">
        <f>'[98]MD20000.18-DEC'!$K$2</f>
        <v>10</v>
      </c>
      <c r="J103" s="9" t="s">
        <v>125</v>
      </c>
      <c r="K103" s="10">
        <f>'[98]MD20000.18-DEC'!$B$3</f>
        <v>46101</v>
      </c>
      <c r="L103" s="7">
        <f>'[98]MD20000.18-DEC'!$O$2</f>
        <v>9800</v>
      </c>
      <c r="M103" s="7">
        <f>'[98]MD20000.18-DEC'!$O$1</f>
        <v>14000</v>
      </c>
      <c r="N103" s="10">
        <f>'[98]MD20000.18-DEC'!$G$2</f>
        <v>46220</v>
      </c>
      <c r="O103" s="1">
        <v>1400</v>
      </c>
    </row>
    <row r="104" spans="2:15" ht="22.5" customHeight="1" x14ac:dyDescent="0.2">
      <c r="B104" s="6">
        <v>170</v>
      </c>
      <c r="C104" s="8" t="s">
        <v>198</v>
      </c>
      <c r="D104" s="8" t="s">
        <v>199</v>
      </c>
      <c r="E104" s="7">
        <f>'[99]MD20000.18-DEC'!$C$1</f>
        <v>5000</v>
      </c>
      <c r="F104" s="8">
        <f>'[99]MD20000.18-DEC'!$K$1</f>
        <v>27</v>
      </c>
      <c r="G104" s="8">
        <f>'[99]MD20000.18-DEC'!$K$2</f>
        <v>13</v>
      </c>
      <c r="H104" s="8"/>
      <c r="I104" s="8"/>
      <c r="J104" s="9" t="s">
        <v>125</v>
      </c>
      <c r="K104" s="10">
        <f>'[99]MD20000.18-DEC'!$B$3</f>
        <v>46095</v>
      </c>
      <c r="L104" s="7">
        <f>'[99]MD20000.18-DEC'!$O$2</f>
        <v>4050</v>
      </c>
      <c r="M104" s="7">
        <f>'[99]MD20000.18-DEC'!$O$1</f>
        <v>1950</v>
      </c>
      <c r="N104" s="10">
        <f>'[99]MD20000.18-DEC'!$G$2</f>
        <v>46134</v>
      </c>
      <c r="O104" s="1">
        <v>150</v>
      </c>
    </row>
    <row r="105" spans="2:15" ht="22.5" customHeight="1" x14ac:dyDescent="0.2">
      <c r="B105" s="6">
        <v>171</v>
      </c>
      <c r="C105" s="8" t="s">
        <v>200</v>
      </c>
      <c r="D105" s="8" t="s">
        <v>201</v>
      </c>
      <c r="E105" s="7"/>
      <c r="F105" s="8"/>
      <c r="G105" s="8"/>
      <c r="H105" s="8"/>
      <c r="I105" s="8"/>
      <c r="J105" s="9"/>
      <c r="K105" s="10"/>
      <c r="L105" s="7">
        <v>10000</v>
      </c>
      <c r="M105" s="7"/>
      <c r="N105" s="10"/>
    </row>
    <row r="106" spans="2:15" ht="22.5" customHeight="1" x14ac:dyDescent="0.2">
      <c r="B106" s="6">
        <v>172</v>
      </c>
      <c r="C106" s="8" t="s">
        <v>202</v>
      </c>
      <c r="D106" s="8" t="s">
        <v>146</v>
      </c>
      <c r="E106" s="7">
        <f>'[100]MD20000.18-DEC'!$C$1</f>
        <v>10000</v>
      </c>
      <c r="F106" s="8"/>
      <c r="G106" s="8"/>
      <c r="H106" s="8">
        <f>'[100]MD20000.18-DEC'!$K$1</f>
        <v>10</v>
      </c>
      <c r="I106" s="8">
        <f>'[100]MD20000.18-DEC'!$K$2</f>
        <v>7</v>
      </c>
      <c r="J106" s="9" t="s">
        <v>125</v>
      </c>
      <c r="K106" s="10">
        <f>'[100]MD20000.18-DEC'!$B$3</f>
        <v>46129</v>
      </c>
      <c r="L106" s="7">
        <f>'[100]MD20000.18-DEC'!$O$2</f>
        <v>7000</v>
      </c>
      <c r="M106" s="7">
        <f>'[100]MD20000.18-DEC'!$O$1</f>
        <v>4900</v>
      </c>
      <c r="N106" s="10">
        <f>'[100]MD20000.18-DEC'!$G$2</f>
        <v>46145</v>
      </c>
      <c r="O106" s="1">
        <v>700</v>
      </c>
    </row>
    <row r="107" spans="2:15" ht="22.5" customHeight="1" x14ac:dyDescent="0.2">
      <c r="B107" s="6">
        <v>173</v>
      </c>
      <c r="C107" s="8" t="s">
        <v>204</v>
      </c>
      <c r="D107" s="8" t="s">
        <v>187</v>
      </c>
      <c r="E107" s="7">
        <f>'[101]MD20000.18-DEC'!$C$1</f>
        <v>20000</v>
      </c>
      <c r="F107" s="8"/>
      <c r="G107" s="8"/>
      <c r="H107" s="8">
        <f>'[101]MD20000.18-DEC'!$K$1</f>
        <v>14</v>
      </c>
      <c r="I107" s="8">
        <f>'[101]MD20000.18-DEC'!$K$2</f>
        <v>3</v>
      </c>
      <c r="J107" s="9" t="s">
        <v>125</v>
      </c>
      <c r="K107" s="10">
        <f>'[101]MD20000.18-DEC'!$B$3</f>
        <v>46150</v>
      </c>
      <c r="L107" s="7">
        <f>'[101]MD20000.18-DEC'!$O$2</f>
        <v>19600</v>
      </c>
      <c r="M107" s="7">
        <f>'[101]MD20000.18-DEC'!$O$1</f>
        <v>4200</v>
      </c>
      <c r="N107" s="10">
        <f>'[101]MD20000.18-DEC'!$G$2</f>
        <v>46269</v>
      </c>
      <c r="O107" s="1">
        <v>1400</v>
      </c>
    </row>
    <row r="108" spans="2:15" ht="22.5" customHeight="1" x14ac:dyDescent="0.2">
      <c r="B108" s="6">
        <v>174</v>
      </c>
      <c r="C108" s="8" t="s">
        <v>205</v>
      </c>
      <c r="D108" s="8" t="s">
        <v>187</v>
      </c>
      <c r="E108" s="7">
        <f>'[102]MD20000.18-DEC'!$C$1</f>
        <v>20000</v>
      </c>
      <c r="F108" s="8"/>
      <c r="G108" s="8"/>
      <c r="H108" s="8">
        <f>'[102]MD20000.18-DEC'!$K$1</f>
        <v>13</v>
      </c>
      <c r="I108" s="8">
        <f>'[102]MD20000.18-DEC'!$K$2</f>
        <v>4</v>
      </c>
      <c r="J108" s="9" t="s">
        <v>125</v>
      </c>
      <c r="K108" s="10">
        <f>'[102]MD20000.18-DEC'!$B$3</f>
        <v>46150</v>
      </c>
      <c r="L108" s="7">
        <f>'[102]MD20000.18-DEC'!$O$2</f>
        <v>18200</v>
      </c>
      <c r="M108" s="7">
        <f>'[102]MD20000.18-DEC'!$O$1</f>
        <v>5600</v>
      </c>
      <c r="N108" s="10">
        <f>'[102]MD20000.18-DEC'!$G$2</f>
        <v>46269</v>
      </c>
      <c r="O108" s="1">
        <v>1400</v>
      </c>
    </row>
    <row r="109" spans="2:15" ht="22.5" customHeight="1" x14ac:dyDescent="0.2">
      <c r="B109" s="6">
        <v>175</v>
      </c>
      <c r="C109" s="8" t="s">
        <v>206</v>
      </c>
      <c r="D109" s="8" t="s">
        <v>187</v>
      </c>
      <c r="E109" s="7">
        <f>'[103]MD20000.18-DEC'!$C$1</f>
        <v>20000</v>
      </c>
      <c r="F109" s="8"/>
      <c r="G109" s="8"/>
      <c r="H109" s="8">
        <f>'[103]MD20000.18-DEC'!$K$1</f>
        <v>9</v>
      </c>
      <c r="I109" s="8">
        <f>'[103]MD20000.18-DEC'!$K$2</f>
        <v>3</v>
      </c>
      <c r="J109" s="9" t="s">
        <v>125</v>
      </c>
      <c r="K109" s="10">
        <f>'[103]MD20000.18-DEC'!$B$3</f>
        <v>46156</v>
      </c>
      <c r="L109" s="7">
        <f>'[103]MD20000.18-DEC'!$O$2</f>
        <v>18000</v>
      </c>
      <c r="M109" s="7">
        <f>'[103]MD20000.18-DEC'!$O$1</f>
        <v>6000</v>
      </c>
      <c r="N109" s="10">
        <f>'[103]MD20000.18-DEC'!$G$2</f>
        <v>46240</v>
      </c>
      <c r="O109" s="1">
        <v>1400</v>
      </c>
    </row>
    <row r="110" spans="2:15" ht="22.5" customHeight="1" x14ac:dyDescent="0.2">
      <c r="B110" s="6"/>
      <c r="C110" s="8" t="s">
        <v>207</v>
      </c>
      <c r="D110" s="8" t="s">
        <v>201</v>
      </c>
      <c r="E110" s="7"/>
      <c r="F110" s="8"/>
      <c r="G110" s="8"/>
      <c r="H110" s="8"/>
      <c r="I110" s="8"/>
      <c r="J110" s="9"/>
      <c r="K110" s="10"/>
      <c r="L110" s="7">
        <v>10000</v>
      </c>
      <c r="M110" s="7"/>
      <c r="N110" s="10"/>
    </row>
    <row r="111" spans="2:15" ht="22.5" customHeight="1" x14ac:dyDescent="0.2">
      <c r="B111" s="6">
        <v>176</v>
      </c>
      <c r="C111" s="8" t="s">
        <v>208</v>
      </c>
      <c r="D111" s="8" t="s">
        <v>209</v>
      </c>
      <c r="E111" s="7">
        <f>'[104]MD20000.18-DEC'!$C$1</f>
        <v>10000</v>
      </c>
      <c r="F111" s="8"/>
      <c r="G111" s="8"/>
      <c r="H111" s="8">
        <f>'[104]MD20000.18-DEC'!$K$1</f>
        <v>112</v>
      </c>
      <c r="I111" s="8">
        <f>'[104]MD20000.18-DEC'!$K$2</f>
        <v>8</v>
      </c>
      <c r="J111" s="9" t="s">
        <v>125</v>
      </c>
      <c r="K111" s="10">
        <f>'[104]MD20000.18-DEC'!$B$3</f>
        <v>46170</v>
      </c>
      <c r="L111" s="7">
        <f>'[104]MD20000.18-DEC'!$O$2</f>
        <v>11200</v>
      </c>
      <c r="M111" s="7">
        <f>'[104]MD20000.18-DEC'!$O$1</f>
        <v>800</v>
      </c>
      <c r="N111" s="10">
        <f>'[104]MD20000.18-DEC'!$G$2</f>
        <v>46289</v>
      </c>
      <c r="O111" s="1">
        <v>700</v>
      </c>
    </row>
    <row r="112" spans="2:15" ht="22.5" customHeight="1" x14ac:dyDescent="0.2">
      <c r="B112" s="17">
        <v>177</v>
      </c>
      <c r="C112" s="18" t="s">
        <v>210</v>
      </c>
      <c r="D112" s="18" t="s">
        <v>187</v>
      </c>
      <c r="E112" s="19">
        <f>'[105]MD50000.15-DEC'!$C$1</f>
        <v>20000</v>
      </c>
      <c r="F112" s="20">
        <f>'[105]MD50000.15-DEC'!$K$1</f>
        <v>0</v>
      </c>
      <c r="G112" s="20">
        <f>'[105]MD50000.15-DEC'!$K$2</f>
        <v>17</v>
      </c>
      <c r="H112" s="20"/>
      <c r="I112" s="20"/>
      <c r="J112" s="21" t="s">
        <v>125</v>
      </c>
      <c r="K112" s="22">
        <f>'[105]MD50000.15-DEC'!$B$3</f>
        <v>46101</v>
      </c>
      <c r="L112" s="19">
        <f>'[105]MD50000.15-DEC'!$O$2</f>
        <v>0</v>
      </c>
      <c r="M112" s="19">
        <f>'[105]MD50000.15-DEC'!$O$1</f>
        <v>23800</v>
      </c>
      <c r="N112" s="22">
        <f>'[105]MD50000.15-DEC'!$G$2</f>
        <v>46220</v>
      </c>
    </row>
    <row r="113" spans="2:15" ht="22.5" customHeight="1" x14ac:dyDescent="0.2">
      <c r="B113" s="6">
        <v>178</v>
      </c>
      <c r="C113" s="8" t="s">
        <v>211</v>
      </c>
      <c r="D113" s="8" t="s">
        <v>187</v>
      </c>
      <c r="E113" s="7">
        <f>'[106]MD50000.15-DEC'!$C$1</f>
        <v>20000</v>
      </c>
      <c r="F113" s="8">
        <f>'[106]MD50000.15-DEC'!$K$1</f>
        <v>7</v>
      </c>
      <c r="G113" s="8">
        <f>'[106]MD50000.15-DEC'!$K$2</f>
        <v>10</v>
      </c>
      <c r="H113" s="8"/>
      <c r="I113" s="8"/>
      <c r="J113" s="9" t="s">
        <v>125</v>
      </c>
      <c r="K113" s="10">
        <f>'[106]MD50000.15-DEC'!$B$3</f>
        <v>46101</v>
      </c>
      <c r="L113" s="7">
        <f>'[106]MD50000.15-DEC'!$O$2</f>
        <v>9800</v>
      </c>
      <c r="M113" s="7">
        <f>'[106]MD50000.15-DEC'!$O$1</f>
        <v>14000</v>
      </c>
      <c r="N113" s="10">
        <f>'[106]MD50000.15-DEC'!$G$2</f>
        <v>46220</v>
      </c>
      <c r="O113" s="1">
        <v>1400</v>
      </c>
    </row>
    <row r="114" spans="2:15" ht="22.5" customHeight="1" x14ac:dyDescent="0.2">
      <c r="B114" s="6">
        <v>179</v>
      </c>
      <c r="C114" s="8" t="s">
        <v>212</v>
      </c>
      <c r="D114" s="8" t="s">
        <v>187</v>
      </c>
      <c r="E114" s="7">
        <f>'[107]MD50000.15-DEC'!$C$1</f>
        <v>20000</v>
      </c>
      <c r="F114" s="8">
        <f>'[107]MD50000.15-DEC'!$K$1</f>
        <v>6</v>
      </c>
      <c r="G114" s="8">
        <f>'[107]MD50000.15-DEC'!$K$2</f>
        <v>11</v>
      </c>
      <c r="H114" s="8"/>
      <c r="I114" s="8"/>
      <c r="J114" s="9" t="s">
        <v>125</v>
      </c>
      <c r="K114" s="10">
        <f>'[107]MD50000.15-DEC'!$B$3</f>
        <v>46101</v>
      </c>
      <c r="L114" s="7">
        <f>'[107]MD50000.15-DEC'!$O$2</f>
        <v>8400</v>
      </c>
      <c r="M114" s="7">
        <f>'[107]MD50000.15-DEC'!$O$1</f>
        <v>15400</v>
      </c>
      <c r="N114" s="10">
        <f>'[107]MD50000.15-DEC'!$G$2</f>
        <v>46220</v>
      </c>
      <c r="O114" s="1">
        <v>1400</v>
      </c>
    </row>
    <row r="115" spans="2:15" ht="22.5" customHeight="1" x14ac:dyDescent="0.2">
      <c r="B115" s="6">
        <v>180</v>
      </c>
      <c r="C115" s="8" t="s">
        <v>210</v>
      </c>
      <c r="D115" s="8" t="s">
        <v>188</v>
      </c>
      <c r="E115" s="7">
        <f>'[108]MD50000.15-DEC'!$C$1</f>
        <v>30000</v>
      </c>
      <c r="F115" s="8"/>
      <c r="G115" s="8"/>
      <c r="H115" s="8">
        <f>'[108]MD50000.15-DEC'!$K$1</f>
        <v>17</v>
      </c>
      <c r="I115" s="8">
        <f>'[108]MD50000.15-DEC'!$K$2</f>
        <v>0</v>
      </c>
      <c r="J115" s="9" t="s">
        <v>125</v>
      </c>
      <c r="K115" s="10">
        <f>'[108]MD50000.15-DEC'!$B$3</f>
        <v>0</v>
      </c>
      <c r="L115" s="7">
        <f>'[108]MD50000.15-DEC'!$O$2</f>
        <v>35700</v>
      </c>
      <c r="M115" s="7">
        <f>'[108]MD50000.15-DEC'!$O$1</f>
        <v>0</v>
      </c>
      <c r="N115" s="10">
        <f>'[108]MD50000.15-DEC'!$G$2</f>
        <v>119</v>
      </c>
      <c r="O115" s="1">
        <v>2100</v>
      </c>
    </row>
    <row r="116" spans="2:15" ht="22.5" customHeight="1" x14ac:dyDescent="0.2">
      <c r="B116" s="6">
        <v>181</v>
      </c>
      <c r="C116" s="8" t="s">
        <v>144</v>
      </c>
      <c r="D116" s="8" t="s">
        <v>217</v>
      </c>
      <c r="E116" s="7">
        <f>'[181]MD50000.15-DEC'!$C$1</f>
        <v>7000</v>
      </c>
      <c r="F116" s="8">
        <f>'[181]MD50000.15-DEC'!$K$1</f>
        <v>76</v>
      </c>
      <c r="G116" s="8">
        <f>'[181]MD50000.15-DEC'!$K$2</f>
        <v>4</v>
      </c>
      <c r="H116" s="8"/>
      <c r="I116" s="8"/>
      <c r="J116" s="9" t="s">
        <v>125</v>
      </c>
      <c r="K116" s="10">
        <f>'[181]MD50000.15-DEC'!$B$3</f>
        <v>46175</v>
      </c>
      <c r="L116" s="7">
        <f>'[181]MD50000.15-DEC'!$O$2</f>
        <v>7600</v>
      </c>
      <c r="M116" s="7">
        <f>'[181]MD50000.15-DEC'!$O$1</f>
        <v>400</v>
      </c>
      <c r="N116" s="10">
        <f>'[181]MD50000.15-DEC'!$G$2</f>
        <v>46735</v>
      </c>
      <c r="O116" s="1">
        <v>700</v>
      </c>
    </row>
    <row r="117" spans="2:15" ht="22.5" customHeight="1" x14ac:dyDescent="0.2">
      <c r="B117" s="6">
        <v>182</v>
      </c>
      <c r="C117" s="8" t="s">
        <v>133</v>
      </c>
      <c r="D117" s="8" t="s">
        <v>218</v>
      </c>
      <c r="E117" s="7">
        <f>'[183]MD50000.15-DEC'!$C$1</f>
        <v>18000</v>
      </c>
      <c r="F117" s="8">
        <f>'[183]MD50000.15-DEC'!$K$1</f>
        <v>115</v>
      </c>
      <c r="G117" s="8">
        <f>'[183]MD50000.15-DEC'!$K$2</f>
        <v>5</v>
      </c>
      <c r="H117" s="8"/>
      <c r="I117" s="8"/>
      <c r="J117" s="9" t="s">
        <v>125</v>
      </c>
      <c r="K117" s="10">
        <f>'[183]MD50000.15-DEC'!$B$3</f>
        <v>46175</v>
      </c>
      <c r="L117" s="7">
        <f>'[183]MD50000.15-DEC'!$O$2</f>
        <v>20700</v>
      </c>
      <c r="M117" s="7">
        <f>'[183]MD50000.15-DEC'!$O$1</f>
        <v>900</v>
      </c>
      <c r="N117" s="10">
        <f>'[183]MD50000.15-DEC'!$G$2</f>
        <v>47015</v>
      </c>
      <c r="O117" s="1">
        <v>1260</v>
      </c>
    </row>
    <row r="118" spans="2:15" ht="22.5" customHeight="1" x14ac:dyDescent="0.2">
      <c r="B118" s="6">
        <v>183</v>
      </c>
      <c r="C118" s="8" t="s">
        <v>216</v>
      </c>
      <c r="D118" s="8" t="s">
        <v>218</v>
      </c>
      <c r="E118" s="7">
        <f>'[182]MD50000.15-DEC'!$C$1</f>
        <v>18000</v>
      </c>
      <c r="F118" s="8">
        <f>'[182]MD50000.15-DEC'!$K$1</f>
        <v>116</v>
      </c>
      <c r="G118" s="8">
        <f>'[182]MD50000.15-DEC'!$K$2</f>
        <v>4</v>
      </c>
      <c r="H118" s="8"/>
      <c r="I118" s="8"/>
      <c r="J118" s="9" t="s">
        <v>125</v>
      </c>
      <c r="K118" s="10">
        <f>'[182]MD50000.15-DEC'!$B$3</f>
        <v>46175</v>
      </c>
      <c r="L118" s="7">
        <f>'[182]MD50000.15-DEC'!$O$2</f>
        <v>20880</v>
      </c>
      <c r="M118" s="7">
        <f>'[182]MD50000.15-DEC'!$O$1</f>
        <v>720</v>
      </c>
      <c r="N118" s="10">
        <f>'[182]MD50000.15-DEC'!$G$2</f>
        <v>47015</v>
      </c>
      <c r="O118" s="1">
        <f>180*7</f>
        <v>1260</v>
      </c>
    </row>
    <row r="119" spans="2:15" ht="22.5" customHeight="1" x14ac:dyDescent="0.2">
      <c r="B119" s="6">
        <v>184</v>
      </c>
      <c r="C119" s="8" t="s">
        <v>219</v>
      </c>
      <c r="D119" s="8" t="s">
        <v>209</v>
      </c>
      <c r="E119" s="7">
        <f>'[184]MD50000.15-DEC'!$C$1</f>
        <v>10000</v>
      </c>
      <c r="F119" s="8">
        <f>'[184]MD50000.15-DEC'!$K$1</f>
        <v>119</v>
      </c>
      <c r="G119" s="8">
        <f>'[184]MD50000.15-DEC'!$K$2</f>
        <v>1</v>
      </c>
      <c r="H119" s="8"/>
      <c r="I119" s="8"/>
      <c r="J119" s="9" t="s">
        <v>125</v>
      </c>
      <c r="K119" s="10">
        <f>'[184]MD50000.15-DEC'!$B$3</f>
        <v>46177</v>
      </c>
      <c r="L119" s="7">
        <f>'[184]MD50000.15-DEC'!$O$2</f>
        <v>11900</v>
      </c>
      <c r="M119" s="7">
        <f>'[184]MD50000.15-DEC'!$O$1</f>
        <v>100</v>
      </c>
      <c r="N119" s="10">
        <f>'[184]MD50000.15-DEC'!$G$2</f>
        <v>47017</v>
      </c>
      <c r="O119" s="1">
        <v>700</v>
      </c>
    </row>
    <row r="120" spans="2:15" ht="22.5" customHeight="1" x14ac:dyDescent="0.2">
      <c r="B120" s="6">
        <v>185</v>
      </c>
      <c r="C120" s="8" t="s">
        <v>160</v>
      </c>
      <c r="D120" s="8" t="s">
        <v>209</v>
      </c>
      <c r="E120" s="7">
        <f>'[185]MD50000.15-DEC'!$C$1</f>
        <v>10000</v>
      </c>
      <c r="F120" s="8">
        <f>'[185]MD50000.15-DEC'!$K$1</f>
        <v>120</v>
      </c>
      <c r="G120" s="8">
        <f>'[185]MD50000.15-DEC'!$K$2</f>
        <v>0</v>
      </c>
      <c r="H120" s="8"/>
      <c r="I120" s="8"/>
      <c r="J120" s="9" t="s">
        <v>125</v>
      </c>
      <c r="K120" s="10">
        <f>'[185]MD50000.15-DEC'!$B$3</f>
        <v>0</v>
      </c>
      <c r="L120" s="7">
        <f>'[185]MD50000.15-DEC'!$O$2</f>
        <v>12000</v>
      </c>
      <c r="M120" s="7">
        <f>'[185]MD50000.15-DEC'!$O$1</f>
        <v>0</v>
      </c>
      <c r="N120" s="10">
        <f>'[185]MD50000.15-DEC'!$G$2</f>
        <v>840</v>
      </c>
      <c r="O120" s="1">
        <v>700</v>
      </c>
    </row>
    <row r="121" spans="2:15" ht="22.5" customHeight="1" x14ac:dyDescent="0.2">
      <c r="B121" s="6"/>
      <c r="C121" s="8"/>
      <c r="D121" s="8"/>
      <c r="E121" s="7"/>
      <c r="F121" s="8"/>
      <c r="G121" s="8"/>
      <c r="H121" s="8"/>
      <c r="I121" s="8"/>
      <c r="J121" s="9"/>
      <c r="K121" s="10"/>
      <c r="L121" s="7"/>
      <c r="M121" s="7"/>
      <c r="N121" s="10"/>
    </row>
    <row r="122" spans="2:15" ht="22.5" customHeight="1" x14ac:dyDescent="0.2">
      <c r="B122" s="6"/>
      <c r="C122" s="8"/>
      <c r="D122" s="8"/>
      <c r="E122" s="7"/>
      <c r="F122" s="8"/>
      <c r="G122" s="8"/>
      <c r="H122" s="8"/>
      <c r="I122" s="8"/>
      <c r="J122" s="9"/>
      <c r="K122" s="10"/>
      <c r="L122" s="7"/>
      <c r="M122" s="7"/>
      <c r="N122" s="10"/>
    </row>
    <row r="123" spans="2:15" ht="22.5" customHeight="1" x14ac:dyDescent="0.2">
      <c r="B123" s="6"/>
      <c r="C123" s="8"/>
      <c r="D123" s="8"/>
      <c r="E123" s="7"/>
      <c r="F123" s="8"/>
      <c r="G123" s="8"/>
      <c r="H123" s="8"/>
      <c r="I123" s="8"/>
      <c r="J123" s="9"/>
      <c r="K123" s="10"/>
      <c r="L123" s="7"/>
      <c r="M123" s="7"/>
      <c r="N123" s="10"/>
    </row>
    <row r="124" spans="2:15" ht="22.5" customHeight="1" x14ac:dyDescent="0.2">
      <c r="B124" s="6"/>
      <c r="C124" s="8"/>
      <c r="D124" s="8"/>
      <c r="E124" s="7"/>
      <c r="F124" s="8"/>
      <c r="G124" s="8"/>
      <c r="H124" s="8"/>
      <c r="I124" s="8"/>
      <c r="J124" s="9"/>
      <c r="K124" s="10"/>
      <c r="L124" s="7"/>
      <c r="M124" s="7"/>
      <c r="N124" s="10"/>
    </row>
    <row r="125" spans="2:15" ht="22.5" customHeight="1" x14ac:dyDescent="0.2">
      <c r="B125" s="6"/>
      <c r="C125" s="8"/>
      <c r="D125" s="8"/>
      <c r="E125" s="7"/>
      <c r="F125" s="8"/>
      <c r="G125" s="8"/>
      <c r="H125" s="8"/>
      <c r="I125" s="8"/>
      <c r="J125" s="9"/>
      <c r="K125" s="10"/>
      <c r="L125" s="7"/>
      <c r="M125" s="7"/>
      <c r="N125" s="10"/>
    </row>
    <row r="126" spans="2:15" ht="22.5" customHeight="1" x14ac:dyDescent="0.2">
      <c r="B126" s="6"/>
      <c r="C126" s="8"/>
      <c r="D126" s="8"/>
      <c r="E126" s="7"/>
      <c r="F126" s="8"/>
      <c r="G126" s="8"/>
      <c r="H126" s="8"/>
      <c r="I126" s="8"/>
      <c r="J126" s="9"/>
      <c r="K126" s="10"/>
      <c r="L126" s="7"/>
      <c r="M126" s="7"/>
      <c r="N126" s="10"/>
    </row>
    <row r="127" spans="2:15" ht="22.5" customHeight="1" x14ac:dyDescent="0.2"/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SUM(L5:L108)</f>
        <v>491200</v>
      </c>
      <c r="M2" s="4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'[109]SM5000.1-SEPT'!$C$1</f>
        <v>5000</v>
      </c>
      <c r="F5" s="20">
        <f>'[109]SM5000.1-SEPT'!$K$1</f>
        <v>0</v>
      </c>
      <c r="G5" s="20">
        <f>'[109]SM5000.1-SEPT'!$K$2</f>
        <v>60</v>
      </c>
      <c r="H5" s="20"/>
      <c r="I5" s="20"/>
      <c r="J5" s="21" t="s">
        <v>22</v>
      </c>
      <c r="K5" s="22">
        <f>'[109]SM5000.1-SEPT'!$B$3</f>
        <v>45180</v>
      </c>
      <c r="L5" s="19">
        <f>'[109]SM5000.1-SEPT'!$O$2</f>
        <v>0</v>
      </c>
      <c r="M5" s="19">
        <f>'[109]SM5000.1-SEPT'!$O$1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'[109]SM5000.1-oct'!$C$1</f>
        <v>5000</v>
      </c>
      <c r="F6" s="20">
        <f>'[109]SM5000.1-oct'!$K$1</f>
        <v>0</v>
      </c>
      <c r="G6" s="20">
        <f>'[109]SM5000.1-oct'!$K$2</f>
        <v>60</v>
      </c>
      <c r="H6" s="20"/>
      <c r="I6" s="20"/>
      <c r="J6" s="21" t="s">
        <v>22</v>
      </c>
      <c r="K6" s="22">
        <f>'[109]SM5000.1-oct'!$B$3</f>
        <v>45201</v>
      </c>
      <c r="L6" s="19">
        <f>'[109]SM5000.1-oct'!$O$2</f>
        <v>0</v>
      </c>
      <c r="M6" s="19">
        <f>'[109]SM5000.1-oct'!$O$1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'[110]MD10000.1-OCT'!$C$1</f>
        <v>10000</v>
      </c>
      <c r="F7" s="20">
        <f>'[110]MD10000.1-OCT'!$K$1</f>
        <v>0</v>
      </c>
      <c r="G7" s="20">
        <f>'[110]MD10000.1-OCT'!$K$2</f>
        <v>120</v>
      </c>
      <c r="H7" s="20"/>
      <c r="I7" s="20"/>
      <c r="J7" s="21" t="s">
        <v>22</v>
      </c>
      <c r="K7" s="22">
        <f>'[110]MD10000.1-OCT'!$B$3</f>
        <v>45212</v>
      </c>
      <c r="L7" s="19">
        <f>'[110]MD10000.1-OCT'!$O$2</f>
        <v>0</v>
      </c>
      <c r="M7" s="19">
        <f>'[110]MD10000.1-OCT'!$O$1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'[111]MD10000.1-OCT'!$C$1</f>
        <v>10000</v>
      </c>
      <c r="F8" s="20">
        <f>'[111]MD10000.1-OCT'!$K$1</f>
        <v>0</v>
      </c>
      <c r="G8" s="20">
        <f>'[111]MD10000.1-OCT'!$K$2</f>
        <v>120</v>
      </c>
      <c r="H8" s="20"/>
      <c r="I8" s="20"/>
      <c r="J8" s="21" t="s">
        <v>22</v>
      </c>
      <c r="K8" s="22">
        <f>'[111]MD10000.1-OCT'!$B$3</f>
        <v>45213</v>
      </c>
      <c r="L8" s="19">
        <f>'[111]MD10000.1-OCT'!$O$2</f>
        <v>0</v>
      </c>
      <c r="M8" s="19">
        <f>'[111]MD10000.1-OCT'!$O$1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'[112]MD10000.20-OCT'!$C$1</f>
        <v>10000</v>
      </c>
      <c r="F9" s="20"/>
      <c r="G9" s="20"/>
      <c r="H9" s="20">
        <f>'[112]MD10000.20-OCT'!$K$1</f>
        <v>0</v>
      </c>
      <c r="I9" s="20">
        <f>'[112]MD10000.20-OCT'!$K$2</f>
        <v>17</v>
      </c>
      <c r="J9" s="21" t="s">
        <v>51</v>
      </c>
      <c r="K9" s="22">
        <f>'[112]MD10000.20-OCT'!$B$3</f>
        <v>45226</v>
      </c>
      <c r="L9" s="19">
        <f>'[112]MD10000.20-OCT'!$O$2</f>
        <v>0</v>
      </c>
      <c r="M9" s="19">
        <f>'[112]MD10000.20-OCT'!$O$1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'[113]SM5000.1-SEPT (2)'!$C$1</f>
        <v>5000</v>
      </c>
      <c r="F10" s="20">
        <f>'[113]SM5000.1-SEPT (2)'!$K$1</f>
        <v>0</v>
      </c>
      <c r="G10" s="20">
        <f>'[113]SM5000.1-SEPT (2)'!$K$2</f>
        <v>60</v>
      </c>
      <c r="H10" s="20"/>
      <c r="I10" s="20"/>
      <c r="J10" s="21" t="s">
        <v>41</v>
      </c>
      <c r="K10" s="22">
        <f>'[113]SM5000.1-SEPT (2)'!$B$3</f>
        <v>45243</v>
      </c>
      <c r="L10" s="19">
        <f>'[113]SM5000.1-SEPT (2)'!$O$2</f>
        <v>0</v>
      </c>
      <c r="M10" s="19">
        <f>'[113]SM5000.1-SEPT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'[114]MD10000.20-OCT'!$C$1</f>
        <v>10000</v>
      </c>
      <c r="F11" s="20"/>
      <c r="G11" s="20"/>
      <c r="H11" s="20">
        <f>'[114]MD10000.20-OCT'!$K$1</f>
        <v>0</v>
      </c>
      <c r="I11" s="20">
        <f>'[114]MD10000.20-OCT'!$K$2</f>
        <v>17</v>
      </c>
      <c r="J11" s="21" t="s">
        <v>51</v>
      </c>
      <c r="K11" s="22">
        <f>'[114]MD10000.20-OCT'!$B$3</f>
        <v>45245</v>
      </c>
      <c r="L11" s="19">
        <f>'[114]MD10000.20-OCT'!$O$2</f>
        <v>0</v>
      </c>
      <c r="M11" s="19">
        <f>'[114]MD10000.20-OCT'!$O$1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'[115]MD15000.27-NOV'!$C$1</f>
        <v>15000</v>
      </c>
      <c r="F12" s="20"/>
      <c r="G12" s="20"/>
      <c r="H12" s="20">
        <f>'[115]MD15000.27-NOV'!$K$1</f>
        <v>0</v>
      </c>
      <c r="I12" s="20">
        <f>'[115]MD15000.27-NOV'!$K$2</f>
        <v>17</v>
      </c>
      <c r="J12" s="21" t="s">
        <v>51</v>
      </c>
      <c r="K12" s="22">
        <f>'[115]MD15000.27-NOV'!$B$3</f>
        <v>45266</v>
      </c>
      <c r="L12" s="19">
        <f>'[115]MD15000.27-NOV'!$O$2</f>
        <v>0</v>
      </c>
      <c r="M12" s="19">
        <f>'[115]MD15000.27-NOV'!$O$1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'[116]MD20000.15-DEC'!$C$1</f>
        <v>20000</v>
      </c>
      <c r="F13" s="20"/>
      <c r="G13" s="20"/>
      <c r="H13" s="20">
        <f>'[116]MD20000.15-DEC'!$K$1</f>
        <v>0</v>
      </c>
      <c r="I13" s="20">
        <f>'[116]MD20000.15-DEC'!$K$2</f>
        <v>17</v>
      </c>
      <c r="J13" s="21" t="s">
        <v>51</v>
      </c>
      <c r="K13" s="22">
        <f>'[116]MD20000.15-DEC'!$B$3</f>
        <v>45649</v>
      </c>
      <c r="L13" s="19">
        <f>'[116]MD20000.15-DEC'!$O$2</f>
        <v>0</v>
      </c>
      <c r="M13" s="19">
        <f>'[116]MD20000.15-DEC'!$O$1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'[117]MD20000.15-DEc'!$C$1</f>
        <v>20000</v>
      </c>
      <c r="F14" s="20"/>
      <c r="G14" s="20"/>
      <c r="H14" s="20">
        <f>'[117]MD20000.15-DEc'!$K$1</f>
        <v>0</v>
      </c>
      <c r="I14" s="20">
        <f>'[117]MD20000.15-DEc'!$K$2</f>
        <v>17</v>
      </c>
      <c r="J14" s="21" t="s">
        <v>51</v>
      </c>
      <c r="K14" s="22">
        <f>'[117]MD20000.15-DEc'!$B$3</f>
        <v>45646</v>
      </c>
      <c r="L14" s="19">
        <f>'[117]MD20000.15-DEc'!$O$2</f>
        <v>0</v>
      </c>
      <c r="M14" s="19">
        <f>'[117]MD20000.15-DEc'!$O$1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'[118]MD50000.15-DEC'!$C$1</f>
        <v>50000</v>
      </c>
      <c r="F15" s="20"/>
      <c r="G15" s="20"/>
      <c r="H15" s="20">
        <f>'[118]MD50000.15-DEC'!$K$1</f>
        <v>0</v>
      </c>
      <c r="I15" s="20">
        <f>'[118]MD50000.15-DEC'!$K$2</f>
        <v>48</v>
      </c>
      <c r="J15" s="21" t="s">
        <v>51</v>
      </c>
      <c r="K15" s="22">
        <f>'[118]MD50000.15-DEC'!$B$3</f>
        <v>45648</v>
      </c>
      <c r="L15" s="19">
        <f>'[118]MD50000.15-DEC'!$O$2</f>
        <v>0</v>
      </c>
      <c r="M15" s="19">
        <f>'[118]MD50000.15-DEC'!$O$1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'[119]MD20000.18-DEC'!$C$1</f>
        <v>20000</v>
      </c>
      <c r="F16" s="20">
        <f>'[119]MD20000.18-DEC'!$K$1</f>
        <v>0</v>
      </c>
      <c r="G16" s="20">
        <f>'[119]MD20000.18-DEC'!$K$2</f>
        <v>120</v>
      </c>
      <c r="H16" s="20"/>
      <c r="I16" s="20"/>
      <c r="J16" s="21" t="s">
        <v>53</v>
      </c>
      <c r="K16" s="22">
        <f>'[119]MD20000.18-DEC'!$B$3</f>
        <v>45279</v>
      </c>
      <c r="L16" s="19">
        <f>'[119]MD20000.18-DEC'!$O$2</f>
        <v>0</v>
      </c>
      <c r="M16" s="19">
        <f>'[119]MD20000.18-DEC'!$O$1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'[120]MD20000.22-DEC'!$C$1</f>
        <v>20000</v>
      </c>
      <c r="F17" s="20">
        <f>'[120]MD20000.22-DEC'!$K$1</f>
        <v>120</v>
      </c>
      <c r="G17" s="20">
        <f>'[120]MD20000.22-DEC'!$K$2</f>
        <v>0</v>
      </c>
      <c r="H17" s="20"/>
      <c r="I17" s="20"/>
      <c r="J17" s="21" t="s">
        <v>51</v>
      </c>
      <c r="K17" s="22">
        <f>'[120]MD20000.22-DEC'!$B$3</f>
        <v>0</v>
      </c>
      <c r="L17" s="19"/>
      <c r="M17" s="19">
        <f>'[120]MD20000.22-DEC'!$O$1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'[121]MD50000.15-DEC'!$C$1</f>
        <v>10000</v>
      </c>
      <c r="F18" s="20"/>
      <c r="G18" s="20"/>
      <c r="H18" s="20">
        <f>'[121]MD50000.15-DEC'!$K$1</f>
        <v>0</v>
      </c>
      <c r="I18" s="20">
        <f>'[121]MD50000.15-DEC'!$K$2</f>
        <v>48</v>
      </c>
      <c r="J18" s="21" t="s">
        <v>51</v>
      </c>
      <c r="K18" s="22">
        <f>'[121]MD50000.15-DEC'!$B$3</f>
        <v>45310</v>
      </c>
      <c r="L18" s="19">
        <f>'[121]MD50000.15-DEC'!$O$2</f>
        <v>0</v>
      </c>
      <c r="M18" s="19">
        <f>'[121]MD50000.15-DEC'!$O$1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'[122]MD5000-Jan24'!$C$1</f>
        <v>5000</v>
      </c>
      <c r="F19" s="20">
        <f>'[122]MD5000-Jan24'!$K$1</f>
        <v>0</v>
      </c>
      <c r="G19" s="20">
        <f>'[122]MD5000-Jan24'!$K$2</f>
        <v>60</v>
      </c>
      <c r="H19" s="20"/>
      <c r="I19" s="20"/>
      <c r="J19" s="21" t="s">
        <v>51</v>
      </c>
      <c r="K19" s="22">
        <f>'[122]MD5000-Jan24'!$B$3</f>
        <v>45302</v>
      </c>
      <c r="L19" s="19">
        <f>'[122]MD5000-Jan24'!$O$2</f>
        <v>0</v>
      </c>
      <c r="M19" s="19">
        <f>'[122]MD5000-Jan24'!$O$1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'[123]MD10000.10-JAN'!$C$1</f>
        <v>10000</v>
      </c>
      <c r="F20" s="20"/>
      <c r="G20" s="20"/>
      <c r="H20" s="20">
        <f>'[123]MD10000.10-JAN'!$K$1</f>
        <v>0</v>
      </c>
      <c r="I20" s="20">
        <f>'[123]MD10000.10-JAN'!$K$2</f>
        <v>48</v>
      </c>
      <c r="J20" s="21" t="s">
        <v>12</v>
      </c>
      <c r="K20" s="22">
        <f>'[123]MD10000.10-JAN'!$B$3</f>
        <v>45308</v>
      </c>
      <c r="L20" s="19">
        <f>'[123]MD10000.10-JAN'!$O$2</f>
        <v>0</v>
      </c>
      <c r="M20" s="19">
        <f>'[123]MD10000.10-JAN'!$O$1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'[124]MD10000.10-JAN'!$C$1</f>
        <v>10000</v>
      </c>
      <c r="F21" s="20"/>
      <c r="G21" s="20"/>
      <c r="H21" s="20">
        <f>'[124]MD10000.10-JAN'!$K$1</f>
        <v>0</v>
      </c>
      <c r="I21" s="20">
        <f>'[124]MD10000.10-JAN'!$K$2</f>
        <v>48</v>
      </c>
      <c r="J21" s="21" t="s">
        <v>51</v>
      </c>
      <c r="K21" s="22">
        <f>'[124]MD10000.10-JAN'!$B$3</f>
        <v>45308</v>
      </c>
      <c r="L21" s="19">
        <f>'[124]MD10000.10-JAN'!$O$2</f>
        <v>0</v>
      </c>
      <c r="M21" s="19">
        <f>'[124]MD10000.10-JAN'!$O$1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'[125]MD10000.20-OCT'!$C$1</f>
        <v>5000</v>
      </c>
      <c r="F22" s="20"/>
      <c r="G22" s="20"/>
      <c r="H22" s="20">
        <f>'[125]MD10000.20-OCT'!$K$1</f>
        <v>0</v>
      </c>
      <c r="I22" s="20">
        <f>'[125]MD10000.20-OCT'!$K$2</f>
        <v>17</v>
      </c>
      <c r="J22" s="21" t="s">
        <v>51</v>
      </c>
      <c r="K22" s="22">
        <f>'[125]MD10000.20-OCT'!$B$3</f>
        <v>45316</v>
      </c>
      <c r="L22" s="19">
        <f>'[125]MD10000.20-OCT'!$O$2</f>
        <v>0</v>
      </c>
      <c r="M22" s="19">
        <f>'[125]MD10000.20-OCT'!$O$1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'[126]MD10000.20-OCT'!$C$1</f>
        <v>10000</v>
      </c>
      <c r="F23" s="20"/>
      <c r="G23" s="20"/>
      <c r="H23" s="20">
        <f>'[126]MD10000.20-OCT'!$K$1</f>
        <v>0</v>
      </c>
      <c r="I23" s="20">
        <f>'[126]MD10000.20-OCT'!$K$2</f>
        <v>48</v>
      </c>
      <c r="J23" s="21" t="s">
        <v>51</v>
      </c>
      <c r="K23" s="22">
        <f>'[126]MD10000.20-OCT'!$B$3</f>
        <v>45324</v>
      </c>
      <c r="L23" s="19">
        <f>'[126]MD10000.20-OCT'!$O$2</f>
        <v>0</v>
      </c>
      <c r="M23" s="19">
        <f>'[126]MD10000.20-OCT'!$O$1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'[127]MD10000.20-OCT'!$C$1</f>
        <v>10000</v>
      </c>
      <c r="F24" s="20"/>
      <c r="G24" s="20"/>
      <c r="H24" s="20">
        <f>'[127]MD10000.20-OCT'!$K$1</f>
        <v>0</v>
      </c>
      <c r="I24" s="20">
        <f>'[127]MD10000.20-OCT'!$K$2</f>
        <v>48</v>
      </c>
      <c r="J24" s="21" t="s">
        <v>51</v>
      </c>
      <c r="K24" s="22">
        <f>'[127]MD10000.20-OCT'!$B$3</f>
        <v>45327</v>
      </c>
      <c r="L24" s="19">
        <f>'[127]MD10000.20-OCT'!$O$2</f>
        <v>0</v>
      </c>
      <c r="M24" s="19">
        <f>'[127]MD10000.20-OCT'!$O$1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'[128]SM5000.1-oct'!$C$1</f>
        <v>5000</v>
      </c>
      <c r="F25" s="20">
        <f>'[128]SM5000.1-oct'!$K$1</f>
        <v>0</v>
      </c>
      <c r="G25" s="20">
        <f>'[128]SM5000.1-oct'!$K$2</f>
        <v>60</v>
      </c>
      <c r="H25" s="20"/>
      <c r="I25" s="20"/>
      <c r="J25" s="21" t="s">
        <v>12</v>
      </c>
      <c r="K25" s="22">
        <f>'[128]SM5000.1-oct'!$B$3</f>
        <v>45323</v>
      </c>
      <c r="L25" s="19">
        <f>'[128]SM5000.1-oct'!$O$2</f>
        <v>0</v>
      </c>
      <c r="M25" s="19">
        <f>'[128]SM5000.1-oct'!$O$1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'[129]MD10000.20-OCT'!$C$1</f>
        <v>5000</v>
      </c>
      <c r="F26" s="20"/>
      <c r="G26" s="20"/>
      <c r="H26" s="20">
        <f>'[129]MD10000.20-OCT'!$K$1</f>
        <v>0</v>
      </c>
      <c r="I26" s="20">
        <f>'[129]MD10000.20-OCT'!$K$2</f>
        <v>17</v>
      </c>
      <c r="J26" s="21" t="s">
        <v>51</v>
      </c>
      <c r="K26" s="22">
        <f>'[129]MD10000.20-OCT'!$B$3</f>
        <v>45332</v>
      </c>
      <c r="L26" s="19">
        <f>'[129]MD10000.20-OCT'!$O$2</f>
        <v>0</v>
      </c>
      <c r="M26" s="19">
        <f>'[129]MD10000.20-OCT'!$O$1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'[130]MD10000.1-OCT'!$C$1</f>
        <v>10000</v>
      </c>
      <c r="F27" s="20">
        <f>'[130]MD10000.1-OCT'!$K$1</f>
        <v>0</v>
      </c>
      <c r="G27" s="20">
        <f>'[130]MD10000.1-OCT'!$K$2</f>
        <v>120</v>
      </c>
      <c r="H27" s="20"/>
      <c r="I27" s="20"/>
      <c r="J27" s="21" t="s">
        <v>12</v>
      </c>
      <c r="K27" s="22">
        <f>'[130]MD10000.1-OCT'!$B$3</f>
        <v>45339</v>
      </c>
      <c r="L27" s="19">
        <f>'[130]MD10000.1-OCT'!$O$2</f>
        <v>0</v>
      </c>
      <c r="M27" s="19">
        <f>'[130]MD10000.1-OCT'!$O$1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'[131]MD10000.1-OCT'!$C$1</f>
        <v>10000</v>
      </c>
      <c r="F28" s="20">
        <f>'[131]MD10000.1-OCT'!$K$1</f>
        <v>0</v>
      </c>
      <c r="G28" s="20">
        <f>'[131]MD10000.1-OCT'!$K$2</f>
        <v>120</v>
      </c>
      <c r="H28" s="20"/>
      <c r="I28" s="20"/>
      <c r="J28" s="21" t="s">
        <v>51</v>
      </c>
      <c r="K28" s="22">
        <f>'[131]MD10000.1-OCT'!$B$3</f>
        <v>45334</v>
      </c>
      <c r="L28" s="19">
        <f>'[131]MD10000.1-OCT'!$O$2</f>
        <v>0</v>
      </c>
      <c r="M28" s="19">
        <f>'[131]MD10000.1-OCT'!$O$1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'[132]MD20000.15-DEC'!$C$1</f>
        <v>20000</v>
      </c>
      <c r="F29" s="20"/>
      <c r="G29" s="20"/>
      <c r="H29" s="20">
        <f>'[132]MD20000.15-DEC'!$K$1</f>
        <v>5</v>
      </c>
      <c r="I29" s="20">
        <f>'[132]MD20000.15-DEC'!$K$2</f>
        <v>12</v>
      </c>
      <c r="J29" s="21" t="s">
        <v>51</v>
      </c>
      <c r="K29" s="22">
        <f>'[132]MD20000.15-DEC'!$B$3</f>
        <v>45337</v>
      </c>
      <c r="L29" s="19">
        <f>'[133]MD20000.15-DEC'!$O$2</f>
        <v>0</v>
      </c>
      <c r="M29" s="19">
        <f>'[133]MD20000.15-DEC'!$O$1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'[134]MD20000.15-DEC'!$C$1</f>
        <v>20000</v>
      </c>
      <c r="F30" s="20"/>
      <c r="G30" s="20"/>
      <c r="H30" s="20">
        <f>'[134]MD20000.15-DEC'!$K$1</f>
        <v>0</v>
      </c>
      <c r="I30" s="20">
        <f>'[134]MD20000.15-DEC'!$K$2</f>
        <v>17</v>
      </c>
      <c r="J30" s="21" t="s">
        <v>51</v>
      </c>
      <c r="K30" s="22">
        <f>'[134]MD20000.15-DEC'!$B$3</f>
        <v>45345</v>
      </c>
      <c r="L30" s="19">
        <f>'[134]MD20000.15-DEC'!$O$2</f>
        <v>0</v>
      </c>
      <c r="M30" s="19">
        <f>'[134]MD20000.15-DEC'!$O$1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'[135]MD20000.18-DEC'!$C$1</f>
        <v>30000</v>
      </c>
      <c r="F31" s="20">
        <f>'[135]MD20000.18-DEC'!$K$1</f>
        <v>0</v>
      </c>
      <c r="G31" s="20">
        <f>'[135]MD20000.18-DEC'!$K$2</f>
        <v>120</v>
      </c>
      <c r="H31" s="20"/>
      <c r="I31" s="20"/>
      <c r="J31" s="21" t="s">
        <v>51</v>
      </c>
      <c r="K31" s="22">
        <f>'[135]MD20000.18-DEC'!$B$3</f>
        <v>45354</v>
      </c>
      <c r="L31" s="19">
        <f>'[135]MD20000.18-DEC'!$O$2</f>
        <v>0</v>
      </c>
      <c r="M31" s="19">
        <f>'[135]MD20000.18-DEC'!$O$1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'[136]MD10000.10-JAN'!$C$1</f>
        <v>10000</v>
      </c>
      <c r="F32" s="20"/>
      <c r="G32" s="20"/>
      <c r="H32" s="20">
        <f>'[136]MD10000.10-JAN'!$K$1</f>
        <v>0</v>
      </c>
      <c r="I32" s="20">
        <f>'[136]MD10000.10-JAN'!$K$2</f>
        <v>48</v>
      </c>
      <c r="J32" s="21" t="s">
        <v>12</v>
      </c>
      <c r="K32" s="22">
        <f>'[136]MD10000.10-JAN'!$B$3</f>
        <v>45366</v>
      </c>
      <c r="L32" s="19">
        <f>'[136]MD10000.10-JAN'!$O$2</f>
        <v>0</v>
      </c>
      <c r="M32" s="19">
        <f>'[136]MD10000.10-JAN'!$O$1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'[137]MD20000.15-DEc'!$C$1</f>
        <v>20000</v>
      </c>
      <c r="F33" s="20"/>
      <c r="G33" s="20"/>
      <c r="H33" s="20">
        <f>'[137]MD20000.15-DEc'!$K$1</f>
        <v>0</v>
      </c>
      <c r="I33" s="20">
        <f>'[137]MD20000.15-DEc'!$K$2</f>
        <v>17</v>
      </c>
      <c r="J33" s="21" t="s">
        <v>51</v>
      </c>
      <c r="K33" s="22">
        <f>'[137]MD20000.15-DEc'!$B$3</f>
        <v>45380</v>
      </c>
      <c r="L33" s="19">
        <f>'[137]MD20000.15-DEc'!$O$2</f>
        <v>0</v>
      </c>
      <c r="M33" s="19">
        <f>'[137]MD20000.15-DEc'!$O$1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'[138]MD10000.10-JAN'!$C$1</f>
        <v>10000</v>
      </c>
      <c r="F34" s="20"/>
      <c r="G34" s="20"/>
      <c r="H34" s="20">
        <f>'[138]MD10000.10-JAN'!$K$1</f>
        <v>0</v>
      </c>
      <c r="I34" s="20">
        <f>'[138]MD10000.10-JAN'!$K$2</f>
        <v>48</v>
      </c>
      <c r="J34" s="21" t="s">
        <v>12</v>
      </c>
      <c r="K34" s="22">
        <f>'[138]MD10000.10-JAN'!$B$3</f>
        <v>45389</v>
      </c>
      <c r="L34" s="19">
        <f>'[138]MD10000.10-JAN'!$O$2</f>
        <v>0</v>
      </c>
      <c r="M34" s="19">
        <f>'[138]MD10000.10-JAN'!$O$1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'[139]MD20000.15-DEc'!$C$1</f>
        <v>20000</v>
      </c>
      <c r="F35" s="20"/>
      <c r="G35" s="20"/>
      <c r="H35" s="20">
        <f>'[139]MD20000.15-DEc'!$G$1</f>
        <v>17</v>
      </c>
      <c r="I35" s="20">
        <f>'[139]MD20000.15-DEc'!$K$2</f>
        <v>17</v>
      </c>
      <c r="J35" s="21" t="s">
        <v>77</v>
      </c>
      <c r="K35" s="22">
        <f>'[139]MD20000.15-DEc'!$B$3</f>
        <v>45394</v>
      </c>
      <c r="L35" s="19">
        <f>'[139]MD20000.15-DEc'!$O$2</f>
        <v>0</v>
      </c>
      <c r="M35" s="19">
        <f>'[139]MD20000.15-DEc'!$O$1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'[140]MD20000.15-DEc'!$C$1</f>
        <v>20000</v>
      </c>
      <c r="F37" s="20"/>
      <c r="G37" s="20"/>
      <c r="H37" s="20">
        <f>'[140]MD20000.15-DEc'!$G$1</f>
        <v>17</v>
      </c>
      <c r="I37" s="20">
        <f>'[140]MD20000.15-DEc'!$K$2</f>
        <v>17</v>
      </c>
      <c r="J37" s="21" t="s">
        <v>12</v>
      </c>
      <c r="K37" s="22">
        <f>'[140]MD20000.15-DEc'!$B$3</f>
        <v>45406</v>
      </c>
      <c r="L37" s="19">
        <f>'[140]MD20000.15-DEc'!$O$2</f>
        <v>0</v>
      </c>
      <c r="M37" s="19">
        <f>'[140]MD20000.15-DEc'!$O$1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'[141]MD10000.20-OCT'!$C$1</f>
        <v>5000</v>
      </c>
      <c r="F38" s="20"/>
      <c r="G38" s="20"/>
      <c r="H38" s="20">
        <f>'[141]MD10000.20-OCT'!$G$1</f>
        <v>17</v>
      </c>
      <c r="I38" s="20">
        <f>'[141]MD10000.20-OCT'!$K$2</f>
        <v>17</v>
      </c>
      <c r="J38" s="21" t="s">
        <v>77</v>
      </c>
      <c r="K38" s="22">
        <f>'[141]MD10000.20-OCT'!$B$3</f>
        <v>45406</v>
      </c>
      <c r="L38" s="19">
        <f>'[141]MD10000.20-OCT'!$O$2</f>
        <v>0</v>
      </c>
      <c r="M38" s="19">
        <f>'[141]MD10000.20-OCT'!$O$1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'[142]MD50000.15-DEC'!$C$1</f>
        <v>40000</v>
      </c>
      <c r="F39" s="20"/>
      <c r="G39" s="20"/>
      <c r="H39" s="20">
        <f>'[142]MD50000.15-DEC'!$K$1</f>
        <v>47</v>
      </c>
      <c r="I39" s="20">
        <f>'[142]MD50000.15-DEC'!$K$2</f>
        <v>1</v>
      </c>
      <c r="J39" s="21" t="s">
        <v>12</v>
      </c>
      <c r="K39" s="22">
        <f>'[142]MD50000.15-DEC'!$B$3</f>
        <v>45416</v>
      </c>
      <c r="L39" s="19">
        <f>'[143]MD50000.15-DEC'!$O$2</f>
        <v>0</v>
      </c>
      <c r="M39" s="19">
        <f>'[142]MD50000.15-DEC'!$O$1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'[144]MD10000.20-OCT'!$C$1</f>
        <v>5000</v>
      </c>
      <c r="F40" s="20"/>
      <c r="G40" s="20"/>
      <c r="H40" s="20">
        <f>'[144]MD10000.20-OCT'!$K$1</f>
        <v>0</v>
      </c>
      <c r="I40" s="20">
        <f>'[144]MD10000.20-OCT'!$K$2</f>
        <v>17</v>
      </c>
      <c r="J40" s="21" t="s">
        <v>51</v>
      </c>
      <c r="K40" s="22">
        <f>'[144]MD10000.20-OCT'!$B$3</f>
        <v>45427</v>
      </c>
      <c r="L40" s="19">
        <f>'[144]MD10000.20-OCT'!$O$2</f>
        <v>0</v>
      </c>
      <c r="M40" s="19">
        <f>'[144]MD10000.20-OCT'!$O$1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'[145]MD20000.18-DEC'!$C$1</f>
        <v>20000</v>
      </c>
      <c r="F41" s="20">
        <f>'[145]MD20000.18-DEC'!$K$1</f>
        <v>0</v>
      </c>
      <c r="G41" s="20">
        <f>'[145]MD20000.18-DEC'!$K$2</f>
        <v>120</v>
      </c>
      <c r="H41" s="20"/>
      <c r="I41" s="20"/>
      <c r="J41" s="21" t="s">
        <v>77</v>
      </c>
      <c r="K41" s="22">
        <f>'[145]MD20000.18-DEC'!$B$3</f>
        <v>45425</v>
      </c>
      <c r="L41" s="19">
        <f>'[145]MD20000.18-DEC'!$O$2</f>
        <v>0</v>
      </c>
      <c r="M41" s="19">
        <f>'[145]MD20000.18-DEC'!$O$1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'[146]MD10000.20-OCT'!$C$1</f>
        <v>5000</v>
      </c>
      <c r="F42" s="20"/>
      <c r="G42" s="20"/>
      <c r="H42" s="20">
        <f>'[146]MD10000.20-OCT'!$K$1</f>
        <v>0</v>
      </c>
      <c r="I42" s="20">
        <f>'[146]MD10000.20-OCT'!$K$2</f>
        <v>17</v>
      </c>
      <c r="J42" s="21" t="s">
        <v>51</v>
      </c>
      <c r="K42" s="22">
        <f>'[146]MD10000.20-OCT'!$B$3</f>
        <v>45436</v>
      </c>
      <c r="L42" s="19">
        <f>'[146]MD10000.20-OCT'!$O$2</f>
        <v>0</v>
      </c>
      <c r="M42" s="19">
        <f>'[146]MD10000.20-OCT'!$O$1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'[147]MD20000.22-DEC'!$C$1</f>
        <v>20000</v>
      </c>
      <c r="F43" s="20">
        <f>'[147]MD20000.22-DEC'!$K$1</f>
        <v>0</v>
      </c>
      <c r="G43" s="20">
        <f>'[147]MD20000.22-DEC'!$K$2</f>
        <v>120</v>
      </c>
      <c r="H43" s="20"/>
      <c r="I43" s="20"/>
      <c r="J43" s="21" t="s">
        <v>12</v>
      </c>
      <c r="K43" s="22">
        <f>'[147]MD20000.22-DEC'!$B$3</f>
        <v>45432</v>
      </c>
      <c r="L43" s="19">
        <f>'[147]MD20000.22-DEC'!$O$2</f>
        <v>0</v>
      </c>
      <c r="M43" s="19">
        <f>'[147]MD20000.22-DEC'!$O$1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'[148]MD10000.1-OCT'!$C$1</f>
        <v>10000</v>
      </c>
      <c r="F44" s="20">
        <f>'[148]MD10000.1-OCT'!$G$1</f>
        <v>120</v>
      </c>
      <c r="G44" s="20">
        <f>'[148]MD10000.1-OCT'!$K$1</f>
        <v>0</v>
      </c>
      <c r="H44" s="20"/>
      <c r="I44" s="20"/>
      <c r="J44" s="21" t="s">
        <v>77</v>
      </c>
      <c r="K44" s="22">
        <f>'[148]MD10000.1-OCT'!$B$3</f>
        <v>45437</v>
      </c>
      <c r="L44" s="19">
        <f>'[148]MD10000.1-OCT'!$O$2</f>
        <v>0</v>
      </c>
      <c r="M44" s="19">
        <f>'[148]MD10000.1-OCT'!$O$1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'[149]MD10000.20-OCT'!$C$1</f>
        <v>5000</v>
      </c>
      <c r="F45" s="20"/>
      <c r="G45" s="20"/>
      <c r="H45" s="20">
        <f>'[149]MD10000.20-OCT'!$K$1</f>
        <v>0</v>
      </c>
      <c r="I45" s="20">
        <f>'[149]MD10000.20-OCT'!$K$2</f>
        <v>17</v>
      </c>
      <c r="J45" s="21" t="s">
        <v>51</v>
      </c>
      <c r="K45" s="22">
        <f>'[149]MD10000.20-OCT'!$B$3</f>
        <v>45444</v>
      </c>
      <c r="L45" s="19"/>
      <c r="M45" s="19">
        <f>'[149]MD10000.20-OCT'!$O$1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'[150]MD10000.1-OCT'!$C$1</f>
        <v>10000</v>
      </c>
      <c r="F46" s="20"/>
      <c r="G46" s="20"/>
      <c r="H46" s="20">
        <f>'[151]MD10000.1-OCT'!$K$1</f>
        <v>0</v>
      </c>
      <c r="I46" s="20">
        <f>'[151]MD10000.1-OCT'!$K$2</f>
        <v>17</v>
      </c>
      <c r="J46" s="21" t="s">
        <v>77</v>
      </c>
      <c r="K46" s="22">
        <f>'[150]MD10000.1-OCT'!$B$3</f>
        <v>45450</v>
      </c>
      <c r="L46" s="19">
        <f>'[151]MD10000.1-OCT'!$O$2</f>
        <v>0</v>
      </c>
      <c r="M46" s="19">
        <f>'[151]MD10000.1-OCT'!$O$1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'[152]MD20000.22-DEC'!$C$1</f>
        <v>20000</v>
      </c>
      <c r="F47" s="20">
        <f>'[152]MD20000.22-DEC'!$K$1</f>
        <v>0</v>
      </c>
      <c r="G47" s="20">
        <f>'[152]MD20000.22-DEC'!$K$2</f>
        <v>120</v>
      </c>
      <c r="H47" s="20"/>
      <c r="I47" s="20"/>
      <c r="J47" s="21" t="s">
        <v>77</v>
      </c>
      <c r="K47" s="22">
        <f>'[152]MD20000.22-DEC'!$B$3</f>
        <v>45446</v>
      </c>
      <c r="L47" s="19">
        <f>'[152]MD20000.22-DEC'!$O$2</f>
        <v>0</v>
      </c>
      <c r="M47" s="19">
        <f>'[152]MD20000.22-DEC'!$O$1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'[153]MD20000.22-DEC'!$C$1</f>
        <v>10000</v>
      </c>
      <c r="F48" s="20">
        <f>'[153]MD20000.22-DEC'!$K$1</f>
        <v>0</v>
      </c>
      <c r="G48" s="20">
        <f>'[153]MD20000.22-DEC'!$K$2</f>
        <v>120</v>
      </c>
      <c r="H48" s="20"/>
      <c r="I48" s="20"/>
      <c r="J48" s="21" t="s">
        <v>77</v>
      </c>
      <c r="K48" s="22">
        <f>'[153]MD20000.22-DEC'!$B$3</f>
        <v>45473</v>
      </c>
      <c r="L48" s="19">
        <f>'[153]MD20000.22-DEC'!$O$2</f>
        <v>0</v>
      </c>
      <c r="M48" s="19">
        <f>'[153]MD20000.22-DEC'!$O$1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'[154]MD20000.15-DEc'!$C$1</f>
        <v>20000</v>
      </c>
      <c r="F49" s="20"/>
      <c r="G49" s="20"/>
      <c r="H49" s="20">
        <f>'[154]MD20000.15-DEc'!$K$1</f>
        <v>0</v>
      </c>
      <c r="I49" s="20">
        <f>'[154]MD20000.15-DEc'!$K$2</f>
        <v>17</v>
      </c>
      <c r="J49" s="21" t="s">
        <v>12</v>
      </c>
      <c r="K49" s="22">
        <f>'[154]MD20000.15-DEc'!$B$3</f>
        <v>45495</v>
      </c>
      <c r="L49" s="19">
        <f>'[154]MD20000.15-DEc'!$O$2</f>
        <v>0</v>
      </c>
      <c r="M49" s="19">
        <f>'[154]MD20000.15-DEc'!$O$1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'[155]MD20000.15-DEc'!$C$1</f>
        <v>10000</v>
      </c>
      <c r="F50" s="20"/>
      <c r="G50" s="20"/>
      <c r="H50" s="20">
        <f>'[155]MD20000.15-DEc'!$K$1</f>
        <v>0</v>
      </c>
      <c r="I50" s="20">
        <f>'[155]MD20000.15-DEc'!$K$2</f>
        <v>17</v>
      </c>
      <c r="J50" s="21" t="s">
        <v>12</v>
      </c>
      <c r="K50" s="22">
        <f>'[155]MD20000.15-DEc'!$B$3</f>
        <v>45496</v>
      </c>
      <c r="L50" s="19">
        <f>'[155]MD20000.15-DEc'!$O$2</f>
        <v>0</v>
      </c>
      <c r="M50" s="19">
        <f>'[155]MD20000.15-DEc'!$O$1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'[156]MD20000.18-DEC'!$C$1</f>
        <v>20000</v>
      </c>
      <c r="F51" s="20">
        <f>'[156]MD20000.18-DEC'!$K$1</f>
        <v>0</v>
      </c>
      <c r="G51" s="20">
        <f>'[156]MD20000.18-DEC'!$K$2</f>
        <v>120</v>
      </c>
      <c r="H51" s="20"/>
      <c r="I51" s="20"/>
      <c r="J51" s="21" t="s">
        <v>12</v>
      </c>
      <c r="K51" s="22">
        <f>'[156]MD20000.18-DEC'!$B$3</f>
        <v>45493</v>
      </c>
      <c r="L51" s="19">
        <f>'[156]MD20000.18-DEC'!$O$2</f>
        <v>0</v>
      </c>
      <c r="M51" s="19">
        <f>'[156]MD20000.18-DEC'!$O$1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'[157]MD20000.15-DEc'!$C$1</f>
        <v>10000</v>
      </c>
      <c r="F52" s="20"/>
      <c r="G52" s="20"/>
      <c r="H52" s="20">
        <f>'[157]MD20000.15-DEc'!$K$1</f>
        <v>0</v>
      </c>
      <c r="I52" s="20">
        <f>'[157]MD20000.15-DEc'!$K$2</f>
        <v>17</v>
      </c>
      <c r="J52" s="21" t="s">
        <v>12</v>
      </c>
      <c r="K52" s="22">
        <f>'[157]MD20000.15-DEc'!$B$3</f>
        <v>45502</v>
      </c>
      <c r="L52" s="19">
        <f>'[157]MD20000.15-DEc'!$O$2</f>
        <v>0</v>
      </c>
      <c r="M52" s="19">
        <f>'[157]MD20000.15-DEc'!$O$1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'[158]MD50000.15-DEC'!$C$1</f>
        <v>20000</v>
      </c>
      <c r="F53" s="20"/>
      <c r="G53" s="20"/>
      <c r="H53" s="20">
        <f>'[158]MD50000.15-DEC'!$K$1</f>
        <v>0</v>
      </c>
      <c r="I53" s="20">
        <f>'[158]MD50000.15-DEC'!$K$2</f>
        <v>17</v>
      </c>
      <c r="J53" s="21" t="s">
        <v>12</v>
      </c>
      <c r="K53" s="22">
        <f>'[158]MD50000.15-DEC'!$B$3</f>
        <v>45504</v>
      </c>
      <c r="L53" s="19">
        <f>'[158]MD50000.15-DEC'!$O$2</f>
        <v>0</v>
      </c>
      <c r="M53" s="19">
        <f>'[158]MD50000.15-DEC'!$O$1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'[159]MD10000.20-OCT'!$C$1</f>
        <v>5000</v>
      </c>
      <c r="F54" s="20"/>
      <c r="G54" s="20"/>
      <c r="H54" s="20">
        <f>'[159]MD10000.20-OCT'!$K$1</f>
        <v>0</v>
      </c>
      <c r="I54" s="20">
        <f>'[159]MD10000.20-OCT'!$K$2</f>
        <v>17</v>
      </c>
      <c r="J54" s="21" t="s">
        <v>51</v>
      </c>
      <c r="K54" s="22">
        <f>'[159]MD10000.20-OCT'!$B$3</f>
        <v>45511</v>
      </c>
      <c r="L54" s="19">
        <f>'[159]MD10000.20-OCT'!$O$2</f>
        <v>0</v>
      </c>
      <c r="M54" s="19">
        <f>'[159]MD10000.20-OCT'!$O$1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'[160]MD20000.18-DEC'!$C$1</f>
        <v>30000</v>
      </c>
      <c r="F55" s="20">
        <f>'[160]MD20000.18-DEC'!$K$1</f>
        <v>0</v>
      </c>
      <c r="G55" s="20">
        <f>'[160]MD20000.18-DEC'!$K$2</f>
        <v>120</v>
      </c>
      <c r="H55" s="20"/>
      <c r="I55" s="20"/>
      <c r="J55" s="21" t="s">
        <v>51</v>
      </c>
      <c r="K55" s="22">
        <f>'[160]MD20000.18-DEC'!$B$3</f>
        <v>45508</v>
      </c>
      <c r="L55" s="19">
        <f>'[160]MD20000.18-DEC'!$O$2</f>
        <v>0</v>
      </c>
      <c r="M55" s="19">
        <f>'[160]MD20000.18-DEC'!$O$1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'[161]MD20000.18-DEC'!$C$1</f>
        <v>10000</v>
      </c>
      <c r="F56" s="20">
        <f>'[161]MD20000.18-DEC'!$K$1</f>
        <v>0</v>
      </c>
      <c r="G56" s="20">
        <f>'[161]MD20000.18-DEC'!$K$2</f>
        <v>120</v>
      </c>
      <c r="H56" s="20"/>
      <c r="I56" s="20"/>
      <c r="J56" s="21" t="s">
        <v>12</v>
      </c>
      <c r="K56" s="22">
        <f>'[161]MD20000.18-DEC'!$B$3</f>
        <v>45514</v>
      </c>
      <c r="L56" s="19">
        <f>'[161]MD20000.18-DEC'!$O$2</f>
        <v>0</v>
      </c>
      <c r="M56" s="19">
        <f>'[161]MD20000.18-DEC'!$O$1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'[162]MD20000.15-DEc'!$C$1</f>
        <v>20000</v>
      </c>
      <c r="F57" s="20"/>
      <c r="G57" s="20"/>
      <c r="H57" s="20">
        <f>'[162]MD20000.15-DEc'!$K$1</f>
        <v>0</v>
      </c>
      <c r="I57" s="20">
        <f>'[162]MD20000.15-DEc'!$K$2</f>
        <v>17</v>
      </c>
      <c r="J57" s="21" t="s">
        <v>12</v>
      </c>
      <c r="K57" s="22">
        <f>'[162]MD20000.15-DEc'!$B$3</f>
        <v>45527</v>
      </c>
      <c r="L57" s="19">
        <f>'[162]MD20000.15-DEc'!$O$2</f>
        <v>0</v>
      </c>
      <c r="M57" s="19">
        <f>'[162]MD20000.15-DEc'!$O$1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'[163]MD20000.15-DEc'!$C$1</f>
        <v>10000</v>
      </c>
      <c r="F58" s="20"/>
      <c r="G58" s="20"/>
      <c r="H58" s="20">
        <f>'[163]MD20000.15-DEc'!$K$1</f>
        <v>0</v>
      </c>
      <c r="I58" s="20">
        <f>'[163]MD20000.15-DEc'!$K$2</f>
        <v>17</v>
      </c>
      <c r="J58" s="21" t="s">
        <v>12</v>
      </c>
      <c r="K58" s="22">
        <f>'[163]MD20000.15-DEc'!$B$3</f>
        <v>45531</v>
      </c>
      <c r="L58" s="19">
        <f>'[163]MD20000.15-DEc'!$O$2</f>
        <v>0</v>
      </c>
      <c r="M58" s="19">
        <f>'[163]MD20000.15-DEc'!$O$1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'[164]MD10000.20-OCT'!$C$1</f>
        <v>5000</v>
      </c>
      <c r="F59" s="20"/>
      <c r="G59" s="20"/>
      <c r="H59" s="20">
        <f>'[164]MD10000.20-OCT'!$K$1</f>
        <v>0</v>
      </c>
      <c r="I59" s="20">
        <f>'[164]MD10000.20-OCT'!$K$2</f>
        <v>17</v>
      </c>
      <c r="J59" s="21" t="s">
        <v>51</v>
      </c>
      <c r="K59" s="22">
        <f>'[164]MD10000.20-OCT'!$B$3</f>
        <v>45532</v>
      </c>
      <c r="L59" s="19">
        <f>'[164]MD10000.20-OCT'!$O$2</f>
        <v>0</v>
      </c>
      <c r="M59" s="19">
        <f>'[164]MD10000.20-OCT'!$O$1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'[165]MD20000.15-DEc'!$C$1</f>
        <v>10000</v>
      </c>
      <c r="F60" s="20"/>
      <c r="G60" s="20"/>
      <c r="H60" s="20">
        <f>'[165]MD20000.15-DEc'!$K$1</f>
        <v>0</v>
      </c>
      <c r="I60" s="20">
        <f>'[165]MD20000.15-DEc'!$K$2</f>
        <v>17</v>
      </c>
      <c r="J60" s="21" t="s">
        <v>12</v>
      </c>
      <c r="K60" s="22">
        <f>'[165]MD20000.15-DEc'!$B$3</f>
        <v>45534</v>
      </c>
      <c r="L60" s="19">
        <f>'[165]MD20000.15-DEc'!$O$2</f>
        <v>0</v>
      </c>
      <c r="M60" s="19">
        <f>'[165]MD20000.15-DEc'!$O$1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'[166]MD10000.20-OCT'!$C$1</f>
        <v>5000</v>
      </c>
      <c r="F61" s="20"/>
      <c r="G61" s="20"/>
      <c r="H61" s="20">
        <f>'[166]MD10000.20-OCT'!$K$1</f>
        <v>0</v>
      </c>
      <c r="I61" s="20">
        <f>'[166]MD10000.20-OCT'!$K$2</f>
        <v>17</v>
      </c>
      <c r="J61" s="21" t="s">
        <v>51</v>
      </c>
      <c r="K61" s="22">
        <f>'[166]MD10000.20-OCT'!$B$3</f>
        <v>45536</v>
      </c>
      <c r="L61" s="19">
        <f>'[166]MD10000.20-OCT'!$O$2</f>
        <v>0</v>
      </c>
      <c r="M61" s="19">
        <f>'[166]MD10000.20-OCT'!$O$1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'[167]MD20000.22-DEC'!$C$1</f>
        <v>20000</v>
      </c>
      <c r="F62" s="20">
        <f>'[167]MD20000.22-DEC'!$K$1</f>
        <v>0</v>
      </c>
      <c r="G62" s="20">
        <f>'[167]MD20000.22-DEC'!$K$2</f>
        <v>120</v>
      </c>
      <c r="H62" s="20"/>
      <c r="I62" s="20"/>
      <c r="J62" s="21" t="s">
        <v>51</v>
      </c>
      <c r="K62" s="22">
        <f>'[167]MD20000.22-DEC'!$B$3</f>
        <v>45535</v>
      </c>
      <c r="L62" s="19">
        <f>'[167]MD20000.22-DEC'!$O$2</f>
        <v>0</v>
      </c>
      <c r="M62" s="19">
        <f>'[167]MD20000.22-DEC'!$O$1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'[168]MD10000.20-OCT'!$C$1</f>
        <v>5000</v>
      </c>
      <c r="F63" s="20"/>
      <c r="G63" s="20"/>
      <c r="H63" s="20">
        <f>'[168]MD10000.20-OCT'!$K$1</f>
        <v>0</v>
      </c>
      <c r="I63" s="20">
        <f>'[168]MD10000.20-OCT'!$K$2</f>
        <v>17</v>
      </c>
      <c r="J63" s="21" t="s">
        <v>51</v>
      </c>
      <c r="K63" s="22">
        <f>'[168]MD10000.20-OCT'!$B$3</f>
        <v>45549</v>
      </c>
      <c r="L63" s="19">
        <f>'[168]MD10000.20-OCT'!$O$2</f>
        <v>0</v>
      </c>
      <c r="M63" s="19">
        <f>'[168]MD10000.20-OCT'!$O$1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'[169]MD20000.22-DEC'!$C$1</f>
        <v>20000</v>
      </c>
      <c r="F64" s="20">
        <f>'[169]MD20000.22-DEC'!$K$1</f>
        <v>0</v>
      </c>
      <c r="G64" s="20">
        <f>'[169]MD20000.22-DEC'!$K$2</f>
        <v>120</v>
      </c>
      <c r="H64" s="20"/>
      <c r="I64" s="20"/>
      <c r="J64" s="21" t="s">
        <v>12</v>
      </c>
      <c r="K64" s="22">
        <f>'[169]MD20000.22-DEC'!$B$13</f>
        <v>45562</v>
      </c>
      <c r="L64" s="19">
        <f>'[169]MD20000.22-DEC'!$O$2</f>
        <v>0</v>
      </c>
      <c r="M64" s="19">
        <f>'[169]MD20000.22-DEC'!$O$1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'[170]MD10000.1-OCT'!$C$1</f>
        <v>10000</v>
      </c>
      <c r="F65" s="20">
        <f>'[170]MD10000.1-OCT'!$K$1</f>
        <v>0</v>
      </c>
      <c r="G65" s="20">
        <f>'[170]MD10000.1-OCT'!$K$2</f>
        <v>120</v>
      </c>
      <c r="H65" s="20"/>
      <c r="I65" s="20"/>
      <c r="J65" s="21" t="s">
        <v>12</v>
      </c>
      <c r="K65" s="22">
        <f>'[170]MD10000.1-OCT'!$B$3</f>
        <v>45557</v>
      </c>
      <c r="L65" s="19">
        <f>'[170]MD10000.1-OCT'!$O$2</f>
        <v>0</v>
      </c>
      <c r="M65" s="19">
        <f>'[170]MD10000.1-OCT'!$O$1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'[171]MD20000.18-DEC'!$C$1</f>
        <v>20000</v>
      </c>
      <c r="F68" s="20">
        <f>'[171]MD20000.18-DEC'!$K$1</f>
        <v>0</v>
      </c>
      <c r="G68" s="20">
        <f>'[171]MD20000.18-DEC'!$K$2</f>
        <v>120</v>
      </c>
      <c r="H68" s="20"/>
      <c r="I68" s="20"/>
      <c r="J68" s="21" t="s">
        <v>12</v>
      </c>
      <c r="K68" s="22">
        <f>'[171]MD20000.18-DEC'!$B$3</f>
        <v>45562</v>
      </c>
      <c r="L68" s="19">
        <f>'[171]MD20000.18-DEC'!$O$2</f>
        <v>0</v>
      </c>
      <c r="M68" s="19">
        <f>'[171]MD20000.18-DEC'!$O$1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'[172]MD20000.18-DEC'!$C$1</f>
        <v>50000</v>
      </c>
      <c r="F71" s="24">
        <f>'[172]MD20000.18-DEC'!$K$1</f>
        <v>66</v>
      </c>
      <c r="G71" s="24">
        <f>'[172]MD20000.18-DEC'!$K$2</f>
        <v>54</v>
      </c>
      <c r="H71" s="24"/>
      <c r="I71" s="24"/>
      <c r="J71" s="27" t="s">
        <v>12</v>
      </c>
      <c r="K71" s="25">
        <f>'[172]MD20000.18-DEC'!$B$3</f>
        <v>45579</v>
      </c>
      <c r="L71" s="26">
        <f>'[172]MD20000.18-DEC'!$O$2</f>
        <v>33000</v>
      </c>
      <c r="M71" s="26">
        <f>'[172]MD20000.18-DEC'!$O$1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'[173]MD20000.18-DEC'!$C$1</f>
        <v>50000</v>
      </c>
      <c r="F73" s="20">
        <f>'[173]MD20000.18-DEC'!$K$1</f>
        <v>0</v>
      </c>
      <c r="G73" s="20">
        <f>'[173]MD20000.18-DEC'!$K$2</f>
        <v>120</v>
      </c>
      <c r="H73" s="20"/>
      <c r="I73" s="20"/>
      <c r="J73" s="21" t="s">
        <v>12</v>
      </c>
      <c r="K73" s="22">
        <f>'[173]MD20000.18-DEC'!$B$3</f>
        <v>45584</v>
      </c>
      <c r="L73" s="19">
        <f>'[173]MD20000.18-DEC'!$O$2</f>
        <v>0</v>
      </c>
      <c r="M73" s="19">
        <f>'[173]MD20000.18-DEC'!$O$1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'[174]MD20000.18-DEC'!$C$1</f>
        <v>20000</v>
      </c>
      <c r="F74" s="20">
        <f>'[174]MD20000.18-DEC'!$K$1</f>
        <v>0</v>
      </c>
      <c r="G74" s="20">
        <f>'[174]MD20000.18-DEC'!$K$2</f>
        <v>120</v>
      </c>
      <c r="H74" s="20"/>
      <c r="I74" s="20"/>
      <c r="J74" s="21" t="s">
        <v>12</v>
      </c>
      <c r="K74" s="22">
        <f>'[174]MD20000.18-DEC'!$B$3</f>
        <v>45584</v>
      </c>
      <c r="L74" s="19">
        <f>'[174]MD20000.18-DEC'!$O$2</f>
        <v>0</v>
      </c>
      <c r="M74" s="19">
        <f>'[174]MD20000.18-DEC'!$O$1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'[175]MD20000.18-DEC'!$C$1</f>
        <v>20000</v>
      </c>
      <c r="F76" s="20">
        <f>'[175]MD20000.18-DEC'!$K$1</f>
        <v>0</v>
      </c>
      <c r="G76" s="20">
        <f>'[175]MD20000.18-DEC'!$K$2</f>
        <v>120</v>
      </c>
      <c r="H76" s="20"/>
      <c r="I76" s="20"/>
      <c r="J76" s="21" t="s">
        <v>12</v>
      </c>
      <c r="K76" s="22">
        <f>'[175]MD20000.18-DEC'!$B$3</f>
        <v>45584</v>
      </c>
      <c r="L76" s="19">
        <f>'[175]MD20000.18-DEC'!$O$2</f>
        <v>0</v>
      </c>
      <c r="M76" s="19">
        <f>'[175]MD20000.18-DEC'!$O$1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'[176]MD20000.18-DEC'!$C$1</f>
        <v>10000</v>
      </c>
      <c r="F80" s="20">
        <f>'[176]MD20000.18-DEC'!$K$1</f>
        <v>0</v>
      </c>
      <c r="G80" s="20">
        <f>'[176]MD20000.18-DEC'!$K$2</f>
        <v>120</v>
      </c>
      <c r="H80" s="20"/>
      <c r="I80" s="20"/>
      <c r="J80" s="21" t="s">
        <v>12</v>
      </c>
      <c r="K80" s="22">
        <f>'[176]MD20000.18-DEC'!$B$3</f>
        <v>45587</v>
      </c>
      <c r="L80" s="19">
        <f>'[176]MD20000.18-DEC'!$O$2</f>
        <v>0</v>
      </c>
      <c r="M80" s="19">
        <f>'[176]MD20000.18-DEC'!$O$1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'[177]MD20000.22-DEC'!$C$1</f>
        <v>20000</v>
      </c>
      <c r="F83" s="20">
        <f>'[177]MD20000.22-DEC'!$K$1</f>
        <v>0</v>
      </c>
      <c r="G83" s="20">
        <f>'[177]MD20000.22-DEC'!$K$2</f>
        <v>120</v>
      </c>
      <c r="H83" s="20"/>
      <c r="I83" s="20"/>
      <c r="J83" s="21" t="s">
        <v>12</v>
      </c>
      <c r="K83" s="22">
        <f>'[177]MD20000.22-DEC'!$B$3</f>
        <v>45597</v>
      </c>
      <c r="L83" s="19">
        <f>'[177]MD20000.22-DEC'!$O$2</f>
        <v>0</v>
      </c>
      <c r="M83" s="19">
        <f>'[177]MD20000.22-DEC'!$O$1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'[178]MD20000.18-DEC'!$C$1</f>
        <v>30000</v>
      </c>
      <c r="F84" s="20">
        <f>'[178]MD20000.18-DEC'!$K$1</f>
        <v>0</v>
      </c>
      <c r="G84" s="20">
        <f>'[178]MD20000.18-DEC'!$K$2</f>
        <v>120</v>
      </c>
      <c r="H84" s="20"/>
      <c r="I84" s="20"/>
      <c r="J84" s="21" t="s">
        <v>12</v>
      </c>
      <c r="K84" s="22">
        <f>'[178]MD20000.18-DEC'!$B$3</f>
        <v>45602</v>
      </c>
      <c r="L84" s="19">
        <f>'[178]MD20000.18-DEC'!$O$2</f>
        <v>0</v>
      </c>
      <c r="M84" s="19">
        <f>'[178]MD20000.18-DEC'!$O$1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'[179]MD20000.18-DEC'!$C$1</f>
        <v>50000</v>
      </c>
      <c r="F85" s="24">
        <f>'[179]MD20000.18-DEC'!$K$1</f>
        <v>100</v>
      </c>
      <c r="G85" s="24">
        <f>'[179]MD20000.18-DEC'!$K$2</f>
        <v>20</v>
      </c>
      <c r="H85" s="24"/>
      <c r="I85" s="24"/>
      <c r="J85" s="27" t="s">
        <v>12</v>
      </c>
      <c r="K85" s="25">
        <f>'[179]MD20000.18-DEC'!$B$3</f>
        <v>45612</v>
      </c>
      <c r="L85" s="26">
        <f>'[179]MD20000.18-DEC'!$O$2</f>
        <v>50000</v>
      </c>
      <c r="M85" s="26">
        <f>'[179]MD20000.18-DEC'!$O$1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'[180]MD20000.18-DEC'!$C$1</f>
        <v>30000</v>
      </c>
      <c r="F89" s="20">
        <f>'[180]MD20000.18-DEC'!$K$1</f>
        <v>0</v>
      </c>
      <c r="G89" s="20">
        <f>'[180]MD20000.18-DEC'!$K$2</f>
        <v>120</v>
      </c>
      <c r="H89" s="20"/>
      <c r="I89" s="20"/>
      <c r="J89" s="21" t="s">
        <v>12</v>
      </c>
      <c r="K89" s="22">
        <f>'[180]MD20000.18-DEC'!$B$3</f>
        <v>45647</v>
      </c>
      <c r="L89" s="19">
        <f>'[180]MD20000.18-DEC'!$O$2</f>
        <v>0</v>
      </c>
      <c r="M89" s="19">
        <f>'[180]MD20000.18-DEC'!$O$1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2026-06-05T04:18:13Z</dcterms:modified>
</cp:coreProperties>
</file>