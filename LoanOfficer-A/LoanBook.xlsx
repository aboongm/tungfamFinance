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</externalReferences>
  <calcPr calcId="145621" iterateDelta="1E-4"/>
</workbook>
</file>

<file path=xl/calcChain.xml><?xml version="1.0" encoding="utf-8"?>
<calcChain xmlns="http://schemas.openxmlformats.org/spreadsheetml/2006/main">
  <c r="M69" i="6" l="1"/>
  <c r="L69" i="6"/>
  <c r="K69" i="6"/>
  <c r="G69" i="6"/>
  <c r="F69" i="6"/>
  <c r="E69" i="6"/>
  <c r="N2" i="6" l="1"/>
  <c r="K68" i="6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L46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M46" i="6" l="1"/>
  <c r="K46" i="6"/>
  <c r="I46" i="6"/>
  <c r="H46" i="6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L2" i="6" s="1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<sst xmlns="http://schemas.openxmlformats.org/spreadsheetml/2006/main" count="209" uniqueCount="93">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</sst>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" Type="http://schemas.openxmlformats.org/officeDocument/2006/relationships/externalLink" Target="externalLinks/externalLink6.xml"/><Relationship Id="rId71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61" Type="http://schemas.openxmlformats.org/officeDocument/2006/relationships/externalLink" Target="externalLinks/externalLink60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theme" Target="theme/theme1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8</v>
          </cell>
          <cell r="O1">
            <v>70000</v>
          </cell>
        </row>
        <row r="2">
          <cell r="K2">
            <v>40</v>
          </cell>
          <cell r="O2">
            <v>14000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13300</v>
          </cell>
        </row>
        <row r="2">
          <cell r="K2">
            <v>38</v>
          </cell>
          <cell r="O2">
            <v>3500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11</v>
          </cell>
          <cell r="O1">
            <v>12950</v>
          </cell>
        </row>
        <row r="2">
          <cell r="K2">
            <v>37</v>
          </cell>
          <cell r="O2">
            <v>3850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11</v>
          </cell>
          <cell r="O1">
            <v>12950</v>
          </cell>
        </row>
        <row r="2">
          <cell r="K2">
            <v>37</v>
          </cell>
          <cell r="O2">
            <v>3850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13</v>
          </cell>
          <cell r="O1">
            <v>12250</v>
          </cell>
        </row>
        <row r="2">
          <cell r="K2">
            <v>35</v>
          </cell>
          <cell r="O2">
            <v>4550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14</v>
          </cell>
          <cell r="O1">
            <v>11900</v>
          </cell>
        </row>
        <row r="2">
          <cell r="K2">
            <v>34</v>
          </cell>
          <cell r="O2">
            <v>4900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/>
      <sheetData sheetId="1"/>
      <sheetData sheetId="2">
        <row r="1">
          <cell r="C1">
            <v>5000</v>
          </cell>
          <cell r="K1">
            <v>9</v>
          </cell>
          <cell r="O1">
            <v>5100</v>
          </cell>
        </row>
        <row r="2">
          <cell r="K2">
            <v>51</v>
          </cell>
          <cell r="O2">
            <v>900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25</v>
          </cell>
          <cell r="O1">
            <v>9500</v>
          </cell>
        </row>
        <row r="2">
          <cell r="K2">
            <v>95</v>
          </cell>
          <cell r="O2">
            <v>2500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19</v>
          </cell>
          <cell r="O1">
            <v>10150</v>
          </cell>
        </row>
        <row r="2">
          <cell r="K2">
            <v>29</v>
          </cell>
          <cell r="O2">
            <v>6650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23</v>
          </cell>
          <cell r="O1">
            <v>8750</v>
          </cell>
        </row>
        <row r="2">
          <cell r="K2">
            <v>25</v>
          </cell>
          <cell r="O2">
            <v>8050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8400</v>
          </cell>
        </row>
        <row r="2">
          <cell r="K2">
            <v>24</v>
          </cell>
          <cell r="O2">
            <v>8400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46200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2900</v>
          </cell>
        </row>
        <row r="2">
          <cell r="K2">
            <v>4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2"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10</v>
          </cell>
          <cell r="O1">
            <v>22000</v>
          </cell>
        </row>
        <row r="2">
          <cell r="K2">
            <v>110</v>
          </cell>
          <cell r="O2">
            <v>2000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15600</v>
          </cell>
        </row>
        <row r="2">
          <cell r="K2">
            <v>11</v>
          </cell>
          <cell r="O2">
            <v>8400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7</v>
          </cell>
          <cell r="O1">
            <v>7100</v>
          </cell>
        </row>
        <row r="2">
          <cell r="K2">
            <v>10</v>
          </cell>
          <cell r="O2">
            <v>4900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8</v>
          </cell>
          <cell r="O1">
            <v>6400</v>
          </cell>
        </row>
        <row r="2">
          <cell r="K2">
            <v>9</v>
          </cell>
          <cell r="O2">
            <v>5600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62</v>
          </cell>
          <cell r="O1">
            <v>17400</v>
          </cell>
        </row>
        <row r="2">
          <cell r="K2">
            <v>58</v>
          </cell>
          <cell r="O2">
            <v>18600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75</v>
          </cell>
          <cell r="O1">
            <v>4500</v>
          </cell>
        </row>
        <row r="2">
          <cell r="K2">
            <v>45</v>
          </cell>
          <cell r="O2">
            <v>7500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7200</v>
          </cell>
        </row>
        <row r="2">
          <cell r="K2">
            <v>5</v>
          </cell>
          <cell r="O2">
            <v>16800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12</v>
          </cell>
          <cell r="O1">
            <v>3600</v>
          </cell>
        </row>
        <row r="2">
          <cell r="K2">
            <v>5</v>
          </cell>
          <cell r="O2">
            <v>8400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12</v>
          </cell>
          <cell r="O1">
            <v>1800</v>
          </cell>
        </row>
        <row r="2">
          <cell r="K2">
            <v>5</v>
          </cell>
          <cell r="O2">
            <v>4200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13</v>
          </cell>
          <cell r="O1">
            <v>2900</v>
          </cell>
        </row>
        <row r="2">
          <cell r="K2">
            <v>4</v>
          </cell>
          <cell r="O2">
            <v>9100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13</v>
          </cell>
          <cell r="O1">
            <v>1450</v>
          </cell>
        </row>
        <row r="2">
          <cell r="K2">
            <v>4</v>
          </cell>
          <cell r="O2">
            <v>4550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94</v>
          </cell>
          <cell r="O1">
            <v>5200</v>
          </cell>
        </row>
        <row r="2">
          <cell r="K2">
            <v>26</v>
          </cell>
          <cell r="O2">
            <v>18800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15</v>
          </cell>
          <cell r="O1">
            <v>750</v>
          </cell>
        </row>
        <row r="2">
          <cell r="K2">
            <v>2</v>
          </cell>
          <cell r="O2">
            <v>5250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109</v>
          </cell>
          <cell r="O1">
            <v>2200</v>
          </cell>
        </row>
        <row r="2">
          <cell r="K2">
            <v>11</v>
          </cell>
          <cell r="O2">
            <v>21800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114</v>
          </cell>
          <cell r="O1">
            <v>600</v>
          </cell>
        </row>
        <row r="2">
          <cell r="K2">
            <v>6</v>
          </cell>
          <cell r="O2">
            <v>11400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114</v>
          </cell>
          <cell r="O1">
            <v>600</v>
          </cell>
        </row>
        <row r="2">
          <cell r="K2">
            <v>6</v>
          </cell>
          <cell r="O2">
            <v>11400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118</v>
          </cell>
          <cell r="O1">
            <v>200</v>
          </cell>
        </row>
        <row r="2">
          <cell r="K2">
            <v>2</v>
          </cell>
          <cell r="O2">
            <v>11800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119</v>
          </cell>
          <cell r="O1">
            <v>200</v>
          </cell>
        </row>
        <row r="2">
          <cell r="K2">
            <v>1</v>
          </cell>
          <cell r="O2">
            <v>23800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12000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78"/>
  <sheetViews>
    <sheetView tabSelected="1" topLeftCell="A58" zoomScale="70" zoomScaleNormal="70" workbookViewId="0">
      <selection activeCell="N70" sqref="N70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4" t="s">
        <v>8</v>
      </c>
      <c r="C2" s="25"/>
      <c r="I2" s="21" t="s">
        <v>21</v>
      </c>
      <c r="J2" s="22"/>
      <c r="K2" s="23"/>
      <c r="L2" s="19">
        <f>SUM(L5:L86)</f>
        <v>331850</v>
      </c>
      <c r="M2" s="20"/>
      <c r="N2" s="1">
        <f>SUM(N5:N71)</f>
        <v>25200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18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8</v>
      </c>
      <c r="I15" s="9">
        <f>'[10]MD50000.15-DEC'!$K$2</f>
        <v>40</v>
      </c>
      <c r="J15" s="10" t="s">
        <v>12</v>
      </c>
      <c r="K15" s="11">
        <f>'[10]MD50000.15-DEC'!$B$3</f>
        <v>45648</v>
      </c>
      <c r="L15" s="8">
        <f>'[10]MD50000.15-DEC'!$O$2</f>
        <v>14000</v>
      </c>
      <c r="M15" s="8">
        <f>'[10]MD50000.15-DEC'!$O$1</f>
        <v>70000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51</v>
      </c>
      <c r="K17" s="11">
        <f>'[12]MD20000.22-DEC'!$B$3</f>
        <v>0</v>
      </c>
      <c r="L17" s="8"/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10</v>
      </c>
      <c r="I18" s="14">
        <f>'[13]MD50000.15-DEC'!$K$2</f>
        <v>38</v>
      </c>
      <c r="J18" s="17" t="s">
        <v>12</v>
      </c>
      <c r="K18" s="15">
        <f>'[13]MD50000.15-DEC'!$B$3</f>
        <v>45310</v>
      </c>
      <c r="L18" s="16">
        <f>'[13]MD50000.15-DEC'!$O$2</f>
        <v>3500</v>
      </c>
      <c r="M18" s="16">
        <f>'[13]MD50000.15-DEC'!$O$1</f>
        <v>13300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11</v>
      </c>
      <c r="I20" s="14">
        <f>'[15]MD10000.10-JAN'!$K$2</f>
        <v>37</v>
      </c>
      <c r="J20" s="17" t="s">
        <v>12</v>
      </c>
      <c r="K20" s="15">
        <f>'[15]MD10000.10-JAN'!$B$3</f>
        <v>45308</v>
      </c>
      <c r="L20" s="16">
        <f>'[15]MD10000.10-JAN'!$O$2</f>
        <v>3850</v>
      </c>
      <c r="M20" s="16">
        <f>'[15]MD10000.10-JAN'!$O$1</f>
        <v>12950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11</v>
      </c>
      <c r="I21" s="9">
        <f>'[16]MD10000.10-JAN'!$K$2</f>
        <v>37</v>
      </c>
      <c r="J21" s="10" t="s">
        <v>12</v>
      </c>
      <c r="K21" s="11">
        <f>'[16]MD10000.10-JAN'!$B$3</f>
        <v>45308</v>
      </c>
      <c r="L21" s="8">
        <f>'[16]MD10000.10-JAN'!$O$2</f>
        <v>3850</v>
      </c>
      <c r="M21" s="8">
        <f>'[16]MD10000.10-JAN'!$O$1</f>
        <v>12950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13</v>
      </c>
      <c r="I23" s="9">
        <f>'[18]MD10000.20-OCT'!$K$2</f>
        <v>35</v>
      </c>
      <c r="J23" s="10" t="s">
        <v>12</v>
      </c>
      <c r="K23" s="11">
        <f>'[18]MD10000.20-OCT'!$B$3</f>
        <v>45324</v>
      </c>
      <c r="L23" s="8">
        <f>'[18]MD10000.20-OCT'!$O$2</f>
        <v>4550</v>
      </c>
      <c r="M23" s="8">
        <f>'[18]MD10000.20-OCT'!$O$1</f>
        <v>12250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14</v>
      </c>
      <c r="I24" s="9">
        <f>'[19]MD10000.20-OCT'!$K$2</f>
        <v>34</v>
      </c>
      <c r="J24" s="10" t="s">
        <v>12</v>
      </c>
      <c r="K24" s="11">
        <f>'[19]MD10000.20-OCT'!$B$3</f>
        <v>45327</v>
      </c>
      <c r="L24" s="8">
        <f>'[19]MD10000.20-OCT'!$O$2</f>
        <v>4900</v>
      </c>
      <c r="M24" s="8">
        <f>'[19]MD10000.20-OCT'!$O$1</f>
        <v>11900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9</v>
      </c>
      <c r="G25" s="9">
        <f>'[20]SM5000.1-oct'!$K$2</f>
        <v>51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900</v>
      </c>
      <c r="M25" s="8">
        <f>'[20]SM5000.1-oct'!$O$1</f>
        <v>5100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0</v>
      </c>
      <c r="I26" s="9">
        <f>'[21]MD10000.20-OCT'!$K$2</f>
        <v>17</v>
      </c>
      <c r="J26" s="10" t="s">
        <v>51</v>
      </c>
      <c r="K26" s="11">
        <f>'[21]MD10000.20-OCT'!$B$3</f>
        <v>45332</v>
      </c>
      <c r="L26" s="8">
        <f>'[21]MD10000.20-OCT'!$O$2</f>
        <v>0</v>
      </c>
      <c r="M26" s="8">
        <f>'[21]MD10000.20-OCT'!$O$1</f>
        <v>6000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25</v>
      </c>
      <c r="G27" s="14">
        <f>'[22]MD10000.1-OCT'!$K$2</f>
        <v>95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2500</v>
      </c>
      <c r="M27" s="16">
        <f>'[22]MD10000.1-OCT'!$O$1</f>
        <v>9500</v>
      </c>
      <c r="N27" s="1">
        <v>350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0</v>
      </c>
      <c r="G28" s="9">
        <f>'[23]MD10000.1-OCT'!$K$2</f>
        <v>120</v>
      </c>
      <c r="H28" s="9"/>
      <c r="I28" s="9"/>
      <c r="J28" s="10" t="s">
        <v>51</v>
      </c>
      <c r="K28" s="11">
        <f>'[23]MD10000.1-OCT'!$B$3</f>
        <v>45334</v>
      </c>
      <c r="L28" s="8">
        <f>'[23]MD10000.1-OCT'!$O$2</f>
        <v>0</v>
      </c>
      <c r="M28" s="8">
        <f>'[23]MD10000.1-OCT'!$O$1</f>
        <v>12000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51</v>
      </c>
      <c r="K29" s="11">
        <f>'[24]MD20000.15-DEC'!$B$3</f>
        <v>45337</v>
      </c>
      <c r="L29" s="8">
        <f>'[25]MD20000.15-DEC'!$O$2</f>
        <v>0</v>
      </c>
      <c r="M29" s="8">
        <f>'[25]MD20000.15-DEC'!$O$1</f>
        <v>24000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'[26]MD20000.15-DEC'!$C$1</f>
        <v>20000</v>
      </c>
      <c r="F30" s="9"/>
      <c r="G30" s="9"/>
      <c r="H30" s="9">
        <f>'[26]MD20000.15-DEC'!$K$1</f>
        <v>0</v>
      </c>
      <c r="I30" s="9">
        <f>'[26]MD20000.15-DEC'!$K$2</f>
        <v>17</v>
      </c>
      <c r="J30" s="10" t="s">
        <v>51</v>
      </c>
      <c r="K30" s="11">
        <f>'[26]MD20000.15-DEC'!$B$3</f>
        <v>45345</v>
      </c>
      <c r="L30" s="8">
        <f>'[26]MD20000.15-DEC'!$O$2</f>
        <v>0</v>
      </c>
      <c r="M30" s="8">
        <f>'[26]MD20000.15-DEC'!$O$1</f>
        <v>24000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'[27]MD20000.18-DEC'!$C$1</f>
        <v>30000</v>
      </c>
      <c r="F31" s="14">
        <f>'[27]MD20000.18-DEC'!$K$1</f>
        <v>0</v>
      </c>
      <c r="G31" s="14">
        <f>'[27]MD20000.18-DEC'!$K$2</f>
        <v>120</v>
      </c>
      <c r="H31" s="14"/>
      <c r="I31" s="14"/>
      <c r="J31" s="17" t="s">
        <v>51</v>
      </c>
      <c r="K31" s="15">
        <f>'[27]MD20000.18-DEC'!$B$3</f>
        <v>45354</v>
      </c>
      <c r="L31" s="16">
        <f>'[27]MD20000.18-DEC'!$O$2</f>
        <v>0</v>
      </c>
      <c r="M31" s="16">
        <f>'[27]MD20000.18-DEC'!$O$1</f>
        <v>36000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'[28]MD10000.10-JAN'!$C$1</f>
        <v>10000</v>
      </c>
      <c r="F32" s="14"/>
      <c r="G32" s="14"/>
      <c r="H32" s="14">
        <f>'[28]MD10000.10-JAN'!$K$1</f>
        <v>19</v>
      </c>
      <c r="I32" s="14">
        <f>'[28]MD10000.10-JAN'!$K$2</f>
        <v>29</v>
      </c>
      <c r="J32" s="17" t="s">
        <v>12</v>
      </c>
      <c r="K32" s="15">
        <f>'[28]MD10000.10-JAN'!$B$3</f>
        <v>45366</v>
      </c>
      <c r="L32" s="16">
        <f>'[28]MD10000.10-JAN'!$O$2</f>
        <v>6650</v>
      </c>
      <c r="M32" s="16">
        <f>'[28]MD10000.10-JAN'!$O$1</f>
        <v>10150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'[29]MD20000.15-DEc'!$C$1</f>
        <v>20000</v>
      </c>
      <c r="F33" s="14"/>
      <c r="G33" s="14"/>
      <c r="H33" s="14">
        <f>'[29]MD20000.15-DEc'!$K$1</f>
        <v>0</v>
      </c>
      <c r="I33" s="14">
        <f>'[29]MD20000.15-DEc'!$K$2</f>
        <v>17</v>
      </c>
      <c r="J33" s="17" t="s">
        <v>51</v>
      </c>
      <c r="K33" s="15">
        <f>'[29]MD20000.15-DEc'!$B$3</f>
        <v>45380</v>
      </c>
      <c r="L33" s="16">
        <f>'[29]MD20000.15-DEc'!$O$2</f>
        <v>0</v>
      </c>
      <c r="M33" s="16">
        <f>'[29]MD20000.15-DEc'!$O$1</f>
        <v>24000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'[30]MD10000.10-JAN'!$C$1</f>
        <v>10000</v>
      </c>
      <c r="F34" s="14"/>
      <c r="G34" s="14"/>
      <c r="H34" s="14">
        <f>'[30]MD10000.10-JAN'!$K$1</f>
        <v>23</v>
      </c>
      <c r="I34" s="14">
        <f>'[30]MD10000.10-JAN'!$K$2</f>
        <v>25</v>
      </c>
      <c r="J34" s="17" t="s">
        <v>12</v>
      </c>
      <c r="K34" s="15">
        <f>'[30]MD10000.10-JAN'!$B$3</f>
        <v>45389</v>
      </c>
      <c r="L34" s="16">
        <f>'[30]MD10000.10-JAN'!$O$2</f>
        <v>8050</v>
      </c>
      <c r="M34" s="16">
        <f>'[30]MD10000.10-JAN'!$O$1</f>
        <v>8750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'[31]MD20000.15-DEc'!$C$1</f>
        <v>20000</v>
      </c>
      <c r="F35" s="9"/>
      <c r="G35" s="9"/>
      <c r="H35" s="9">
        <f>'[31]MD20000.15-DEc'!$G$1</f>
        <v>17</v>
      </c>
      <c r="I35" s="9">
        <f>'[31]MD20000.15-DEc'!$K$2</f>
        <v>17</v>
      </c>
      <c r="J35" s="10" t="s">
        <v>77</v>
      </c>
      <c r="K35" s="11">
        <f>'[31]MD20000.15-DEc'!$B$3</f>
        <v>45394</v>
      </c>
      <c r="L35" s="8">
        <f>'[31]MD20000.15-DEc'!$O$2</f>
        <v>0</v>
      </c>
      <c r="M35" s="8">
        <f>'[31]MD20000.15-DEc'!$O$1</f>
        <v>24000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'[32]MD10000.10-JAN'!$C$1</f>
        <v>10000</v>
      </c>
      <c r="F36" s="14"/>
      <c r="G36" s="14"/>
      <c r="H36" s="14">
        <f>'[32]MD10000.10-JAN'!$G$1</f>
        <v>48</v>
      </c>
      <c r="I36" s="14">
        <f>'[32]MD10000.10-JAN'!$K$2</f>
        <v>24</v>
      </c>
      <c r="J36" s="17" t="s">
        <v>12</v>
      </c>
      <c r="K36" s="15">
        <f>'[32]MD10000.10-JAN'!$B$3</f>
        <v>45399</v>
      </c>
      <c r="L36" s="16">
        <f>'[32]MD10000.10-JAN'!$O$2</f>
        <v>8400</v>
      </c>
      <c r="M36" s="16">
        <f>'[32]MD10000.10-JAN'!$O$1</f>
        <v>8400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'[33]MD20000.15-DEc'!$C$1</f>
        <v>20000</v>
      </c>
      <c r="F37" s="9"/>
      <c r="G37" s="9"/>
      <c r="H37" s="9">
        <f>'[33]MD20000.15-DEc'!$G$1</f>
        <v>17</v>
      </c>
      <c r="I37" s="9">
        <f>'[33]MD20000.15-DEc'!$K$2</f>
        <v>17</v>
      </c>
      <c r="J37" s="10" t="s">
        <v>12</v>
      </c>
      <c r="K37" s="11">
        <f>'[33]MD20000.15-DEc'!$B$3</f>
        <v>45406</v>
      </c>
      <c r="L37" s="8">
        <f>'[33]MD20000.15-DEc'!$O$2</f>
        <v>0</v>
      </c>
      <c r="M37" s="8">
        <f>'[33]MD20000.15-DEc'!$O$1</f>
        <v>24000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'[34]MD10000.20-OCT'!$C$1</f>
        <v>5000</v>
      </c>
      <c r="F38" s="14"/>
      <c r="G38" s="14"/>
      <c r="H38" s="14">
        <f>'[34]MD10000.20-OCT'!$G$1</f>
        <v>17</v>
      </c>
      <c r="I38" s="14">
        <f>'[34]MD10000.20-OCT'!$K$2</f>
        <v>17</v>
      </c>
      <c r="J38" s="17" t="s">
        <v>77</v>
      </c>
      <c r="K38" s="15">
        <f>'[34]MD10000.20-OCT'!$B$3</f>
        <v>45406</v>
      </c>
      <c r="L38" s="16">
        <f>'[34]MD10000.20-OCT'!$O$2</f>
        <v>0</v>
      </c>
      <c r="M38" s="16">
        <f>'[34]MD10000.20-OCT'!$O$1</f>
        <v>5950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'[35]MD50000.15-DEC'!$C$1</f>
        <v>40000</v>
      </c>
      <c r="F39" s="9"/>
      <c r="G39" s="9"/>
      <c r="H39" s="9">
        <f>'[35]MD50000.15-DEC'!$K$1</f>
        <v>47</v>
      </c>
      <c r="I39" s="9">
        <f>'[35]MD50000.15-DEC'!$K$2</f>
        <v>1</v>
      </c>
      <c r="J39" s="10" t="s">
        <v>12</v>
      </c>
      <c r="K39" s="11">
        <f>'[35]MD50000.15-DEC'!$B$3</f>
        <v>45416</v>
      </c>
      <c r="L39" s="8">
        <f>'[36]MD50000.15-DEC'!$O$2</f>
        <v>46200</v>
      </c>
      <c r="M39" s="8">
        <f>'[35]MD50000.15-DEC'!$O$1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85</v>
      </c>
      <c r="E40" s="8">
        <f>'[37]MD10000.20-OCT'!$C$1</f>
        <v>5000</v>
      </c>
      <c r="F40" s="9"/>
      <c r="G40" s="9"/>
      <c r="H40" s="9">
        <f>'[37]MD10000.20-OCT'!$K$1</f>
        <v>0</v>
      </c>
      <c r="I40" s="9">
        <f>'[37]MD10000.20-OCT'!$K$2</f>
        <v>17</v>
      </c>
      <c r="J40" s="10" t="s">
        <v>51</v>
      </c>
      <c r="K40" s="11">
        <f>'[37]MD10000.20-OCT'!$B$3</f>
        <v>45427</v>
      </c>
      <c r="L40" s="8">
        <f>'[37]MD10000.20-OCT'!$O$2</f>
        <v>0</v>
      </c>
      <c r="M40" s="8">
        <f>'[37]MD10000.20-OCT'!$O$1</f>
        <v>6000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'[38]MD20000.18-DEC'!$C$1</f>
        <v>20000</v>
      </c>
      <c r="F41" s="9">
        <f>'[38]MD20000.18-DEC'!$K$1</f>
        <v>0</v>
      </c>
      <c r="G41" s="9">
        <f>'[38]MD20000.18-DEC'!$K$2</f>
        <v>120</v>
      </c>
      <c r="H41" s="9"/>
      <c r="I41" s="9"/>
      <c r="J41" s="10" t="s">
        <v>77</v>
      </c>
      <c r="K41" s="11">
        <f>'[38]MD20000.18-DEC'!$B$3</f>
        <v>45425</v>
      </c>
      <c r="L41" s="8">
        <f>'[38]MD20000.18-DEC'!$O$2</f>
        <v>0</v>
      </c>
      <c r="M41" s="8">
        <f>'[38]MD20000.18-DEC'!$O$1</f>
        <v>24000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'[39]MD10000.20-OCT'!$C$1</f>
        <v>5000</v>
      </c>
      <c r="F42" s="9"/>
      <c r="G42" s="9"/>
      <c r="H42" s="9">
        <f>'[39]MD10000.20-OCT'!$K$1</f>
        <v>0</v>
      </c>
      <c r="I42" s="9">
        <f>'[39]MD10000.20-OCT'!$K$2</f>
        <v>17</v>
      </c>
      <c r="J42" s="10" t="s">
        <v>51</v>
      </c>
      <c r="K42" s="11">
        <f>'[39]MD10000.20-OCT'!$B$3</f>
        <v>45436</v>
      </c>
      <c r="L42" s="8">
        <f>'[39]MD10000.20-OCT'!$O$2</f>
        <v>0</v>
      </c>
      <c r="M42" s="8">
        <f>'[39]MD10000.20-OCT'!$O$1</f>
        <v>6000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'[40]MD20000.22-DEC'!$C$1</f>
        <v>20000</v>
      </c>
      <c r="F43" s="9">
        <f>'[40]MD20000.22-DEC'!$K$1</f>
        <v>0</v>
      </c>
      <c r="G43" s="9">
        <f>'[40]MD20000.22-DEC'!$K$2</f>
        <v>120</v>
      </c>
      <c r="H43" s="9"/>
      <c r="I43" s="9"/>
      <c r="J43" s="10" t="s">
        <v>12</v>
      </c>
      <c r="K43" s="11">
        <f>'[40]MD20000.22-DEC'!$B$3</f>
        <v>45432</v>
      </c>
      <c r="L43" s="8">
        <f>'[40]MD20000.22-DEC'!$O$2</f>
        <v>0</v>
      </c>
      <c r="M43" s="8">
        <f>'[40]MD20000.22-DEC'!$O$1</f>
        <v>24000</v>
      </c>
    </row>
    <row r="44" spans="2:14" ht="22.5" customHeight="1" x14ac:dyDescent="0.2">
      <c r="B44" s="6">
        <v>40</v>
      </c>
      <c r="C44" s="9" t="s">
        <v>67</v>
      </c>
      <c r="D44" s="15" t="s">
        <v>68</v>
      </c>
      <c r="E44" s="8">
        <f>'[41]MD10000.1-OCT'!$C$1</f>
        <v>10000</v>
      </c>
      <c r="F44" s="9">
        <f>'[41]MD10000.1-OCT'!$G$1</f>
        <v>120</v>
      </c>
      <c r="G44" s="9">
        <f>'[41]MD10000.1-OCT'!$K$1</f>
        <v>0</v>
      </c>
      <c r="H44" s="9"/>
      <c r="I44" s="9"/>
      <c r="J44" s="10" t="s">
        <v>77</v>
      </c>
      <c r="K44" s="11">
        <f>'[41]MD10000.1-OCT'!$B$3</f>
        <v>45437</v>
      </c>
      <c r="L44" s="8">
        <f>'[41]MD10000.1-OCT'!$O$2</f>
        <v>0</v>
      </c>
      <c r="M44" s="8">
        <f>'[41]MD10000.1-OCT'!$O$1</f>
        <v>12000</v>
      </c>
    </row>
    <row r="45" spans="2:14" ht="22.5" customHeight="1" x14ac:dyDescent="0.2">
      <c r="B45" s="6">
        <v>41</v>
      </c>
      <c r="C45" s="9" t="s">
        <v>69</v>
      </c>
      <c r="D45" s="15" t="s">
        <v>48</v>
      </c>
      <c r="E45" s="8">
        <f>'[42]MD10000.20-OCT'!$C$1</f>
        <v>5000</v>
      </c>
      <c r="F45" s="9"/>
      <c r="G45" s="9"/>
      <c r="H45" s="9">
        <f>'[42]MD10000.20-OCT'!$K$1</f>
        <v>0</v>
      </c>
      <c r="I45" s="9">
        <f>'[42]MD10000.20-OCT'!$K$2</f>
        <v>17</v>
      </c>
      <c r="J45" s="10" t="s">
        <v>51</v>
      </c>
      <c r="K45" s="11">
        <f>'[42]MD10000.20-OCT'!$B$3</f>
        <v>45444</v>
      </c>
      <c r="L45" s="8"/>
      <c r="M45" s="8">
        <f>'[42]MD10000.20-OCT'!$O$1</f>
        <v>5950</v>
      </c>
    </row>
    <row r="46" spans="2:14" ht="22.5" customHeight="1" x14ac:dyDescent="0.2">
      <c r="B46" s="6">
        <v>42</v>
      </c>
      <c r="C46" s="9" t="s">
        <v>70</v>
      </c>
      <c r="D46" s="15" t="s">
        <v>71</v>
      </c>
      <c r="E46" s="8">
        <f>'[43]MD10000.1-OCT'!$C$1</f>
        <v>10000</v>
      </c>
      <c r="F46" s="9"/>
      <c r="G46" s="9"/>
      <c r="H46" s="9">
        <f>'[43]MD10000.1-OCT'!$K$1</f>
        <v>17</v>
      </c>
      <c r="I46" s="9">
        <f>'[43]MD10000.1-OCT'!$K$2</f>
        <v>4</v>
      </c>
      <c r="J46" s="10" t="s">
        <v>12</v>
      </c>
      <c r="K46" s="11">
        <f>'[43]MD10000.1-OCT'!$B$3</f>
        <v>45450</v>
      </c>
      <c r="L46" s="8">
        <f>'[44]MD10000.1-OCT'!$O$2</f>
        <v>0</v>
      </c>
      <c r="M46" s="8">
        <f>'[43]MD10000.1-OCT'!$O$1</f>
        <v>2900</v>
      </c>
      <c r="N46" s="1">
        <v>700</v>
      </c>
    </row>
    <row r="47" spans="2:14" ht="22.5" customHeight="1" x14ac:dyDescent="0.2">
      <c r="B47" s="6">
        <v>43</v>
      </c>
      <c r="C47" s="9" t="s">
        <v>72</v>
      </c>
      <c r="D47" s="15" t="s">
        <v>33</v>
      </c>
      <c r="E47" s="8">
        <f>'[45]MD20000.22-DEC'!$C$1</f>
        <v>20000</v>
      </c>
      <c r="F47" s="9">
        <f>'[45]MD20000.22-DEC'!$K$1</f>
        <v>10</v>
      </c>
      <c r="G47" s="9">
        <f>'[45]MD20000.22-DEC'!$K$2</f>
        <v>110</v>
      </c>
      <c r="H47" s="9"/>
      <c r="I47" s="9"/>
      <c r="J47" s="10" t="s">
        <v>12</v>
      </c>
      <c r="K47" s="11">
        <f>'[45]MD20000.22-DEC'!$B$3</f>
        <v>45446</v>
      </c>
      <c r="L47" s="8">
        <f>'[45]MD20000.22-DEC'!$O$2</f>
        <v>2000</v>
      </c>
      <c r="M47" s="8">
        <f>'[45]MD20000.22-DEC'!$O$1</f>
        <v>22000</v>
      </c>
      <c r="N47" s="1">
        <v>1400</v>
      </c>
    </row>
    <row r="48" spans="2:14" ht="22.5" customHeight="1" x14ac:dyDescent="0.2">
      <c r="B48" s="6">
        <v>44</v>
      </c>
      <c r="C48" s="9" t="s">
        <v>73</v>
      </c>
      <c r="D48" s="15" t="s">
        <v>68</v>
      </c>
      <c r="E48" s="8">
        <f>'[46]MD20000.22-DEC'!$C$1</f>
        <v>10000</v>
      </c>
      <c r="F48" s="9">
        <f>'[46]MD20000.22-DEC'!$K$1</f>
        <v>0</v>
      </c>
      <c r="G48" s="9">
        <f>'[46]MD20000.22-DEC'!$K$2</f>
        <v>120</v>
      </c>
      <c r="H48" s="9"/>
      <c r="I48" s="9"/>
      <c r="J48" s="10" t="s">
        <v>77</v>
      </c>
      <c r="K48" s="11">
        <f>'[46]MD20000.22-DEC'!$B$3</f>
        <v>45473</v>
      </c>
      <c r="L48" s="8">
        <f>'[46]MD20000.22-DEC'!$O$2</f>
        <v>0</v>
      </c>
      <c r="M48" s="8">
        <f>'[46]MD20000.22-DEC'!$O$1</f>
        <v>12000</v>
      </c>
    </row>
    <row r="49" spans="2:14" ht="22.5" customHeight="1" x14ac:dyDescent="0.2">
      <c r="B49" s="6">
        <v>45</v>
      </c>
      <c r="C49" s="9" t="s">
        <v>15</v>
      </c>
      <c r="D49" s="11" t="s">
        <v>50</v>
      </c>
      <c r="E49" s="8">
        <f>'[47]MD20000.15-DEc'!$C$1</f>
        <v>20000</v>
      </c>
      <c r="F49" s="9"/>
      <c r="G49" s="9"/>
      <c r="H49" s="9">
        <f>'[47]MD20000.15-DEc'!$K$1</f>
        <v>6</v>
      </c>
      <c r="I49" s="9">
        <f>'[47]MD20000.15-DEc'!$K$2</f>
        <v>11</v>
      </c>
      <c r="J49" s="10" t="s">
        <v>12</v>
      </c>
      <c r="K49" s="11">
        <f>'[47]MD20000.15-DEc'!$B$3</f>
        <v>45495</v>
      </c>
      <c r="L49" s="8">
        <f>'[47]MD20000.15-DEc'!$O$2</f>
        <v>8400</v>
      </c>
      <c r="M49" s="8">
        <f>'[47]MD20000.15-DEc'!$O$1</f>
        <v>15600</v>
      </c>
      <c r="N49" s="1">
        <v>1400</v>
      </c>
    </row>
    <row r="50" spans="2:14" ht="22.5" customHeight="1" x14ac:dyDescent="0.2">
      <c r="B50" s="6">
        <v>46</v>
      </c>
      <c r="C50" s="9" t="s">
        <v>74</v>
      </c>
      <c r="D50" s="11" t="s">
        <v>75</v>
      </c>
      <c r="E50" s="8">
        <f>'[48]MD20000.15-DEc'!$C$1</f>
        <v>10000</v>
      </c>
      <c r="F50" s="9"/>
      <c r="G50" s="9"/>
      <c r="H50" s="9">
        <f>'[48]MD20000.15-DEc'!$K$1</f>
        <v>7</v>
      </c>
      <c r="I50" s="9">
        <f>'[48]MD20000.15-DEc'!$K$2</f>
        <v>10</v>
      </c>
      <c r="J50" s="10" t="s">
        <v>12</v>
      </c>
      <c r="K50" s="11">
        <f>'[48]MD20000.15-DEc'!$B$3</f>
        <v>45496</v>
      </c>
      <c r="L50" s="8">
        <f>'[48]MD20000.15-DEc'!$O$2</f>
        <v>4900</v>
      </c>
      <c r="M50" s="8">
        <f>'[48]MD20000.15-DEc'!$O$1</f>
        <v>7100</v>
      </c>
      <c r="N50" s="1">
        <v>700</v>
      </c>
    </row>
    <row r="51" spans="2:14" ht="22.5" customHeight="1" x14ac:dyDescent="0.2">
      <c r="B51" s="6">
        <v>47</v>
      </c>
      <c r="C51" s="14" t="s">
        <v>32</v>
      </c>
      <c r="D51" s="15" t="s">
        <v>33</v>
      </c>
      <c r="E51" s="8">
        <f>'[49]MD20000.18-DEC'!$C$1</f>
        <v>20000</v>
      </c>
      <c r="F51" s="9">
        <f>'[49]MD20000.18-DEC'!$K$1</f>
        <v>0</v>
      </c>
      <c r="G51" s="9">
        <f>'[49]MD20000.18-DEC'!$K$2</f>
        <v>120</v>
      </c>
      <c r="H51" s="9"/>
      <c r="I51" s="9"/>
      <c r="J51" s="10" t="s">
        <v>12</v>
      </c>
      <c r="K51" s="11">
        <f>'[49]MD20000.18-DEC'!$B$3</f>
        <v>45493</v>
      </c>
      <c r="L51" s="8">
        <f>'[49]MD20000.18-DEC'!$O$2</f>
        <v>0</v>
      </c>
      <c r="M51" s="8">
        <f>'[49]MD20000.18-DEC'!$O$1</f>
        <v>24000</v>
      </c>
    </row>
    <row r="52" spans="2:14" ht="22.5" customHeight="1" x14ac:dyDescent="0.2">
      <c r="B52" s="6">
        <v>48</v>
      </c>
      <c r="C52" s="9" t="s">
        <v>13</v>
      </c>
      <c r="D52" s="11" t="s">
        <v>76</v>
      </c>
      <c r="E52" s="8">
        <f>'[50]MD20000.15-DEc'!$C$1</f>
        <v>10000</v>
      </c>
      <c r="F52" s="9"/>
      <c r="G52" s="9"/>
      <c r="H52" s="9">
        <f>'[50]MD20000.15-DEc'!$K$1</f>
        <v>8</v>
      </c>
      <c r="I52" s="9">
        <f>'[50]MD20000.15-DEc'!$K$2</f>
        <v>9</v>
      </c>
      <c r="J52" s="10" t="s">
        <v>12</v>
      </c>
      <c r="K52" s="11">
        <f>'[50]MD20000.15-DEc'!$B$3</f>
        <v>45502</v>
      </c>
      <c r="L52" s="8">
        <f>'[50]MD20000.15-DEc'!$O$2</f>
        <v>5600</v>
      </c>
      <c r="M52" s="8">
        <f>'[50]MD20000.15-DEc'!$O$1</f>
        <v>6400</v>
      </c>
      <c r="N52" s="1">
        <v>700</v>
      </c>
    </row>
    <row r="53" spans="2:14" ht="22.5" customHeight="1" x14ac:dyDescent="0.2">
      <c r="B53" s="6">
        <v>49</v>
      </c>
      <c r="C53" s="9" t="s">
        <v>23</v>
      </c>
      <c r="D53" s="11" t="s">
        <v>50</v>
      </c>
      <c r="E53" s="8">
        <f>'[51]MD50000.15-DEC'!$C$1</f>
        <v>20000</v>
      </c>
      <c r="F53" s="9"/>
      <c r="G53" s="9"/>
      <c r="H53" s="9">
        <f>'[51]MD50000.15-DEC'!$K$1</f>
        <v>13</v>
      </c>
      <c r="I53" s="9">
        <f>'[51]MD50000.15-DEC'!$K$2</f>
        <v>4</v>
      </c>
      <c r="J53" s="10" t="s">
        <v>12</v>
      </c>
      <c r="K53" s="11">
        <f>'[51]MD50000.15-DEC'!$B$3</f>
        <v>45504</v>
      </c>
      <c r="L53" s="8">
        <f>'[51]MD50000.15-DEC'!$O$2</f>
        <v>18200</v>
      </c>
      <c r="M53" s="8">
        <f>'[51]MD50000.15-DEC'!$O$1</f>
        <v>5800</v>
      </c>
    </row>
    <row r="54" spans="2:14" ht="22.5" customHeight="1" x14ac:dyDescent="0.2">
      <c r="B54" s="6">
        <v>50</v>
      </c>
      <c r="C54" s="9" t="s">
        <v>78</v>
      </c>
      <c r="D54" s="15" t="s">
        <v>79</v>
      </c>
      <c r="E54" s="8">
        <f>'[52]MD10000.20-OCT'!$C$1</f>
        <v>5000</v>
      </c>
      <c r="F54" s="9"/>
      <c r="G54" s="9"/>
      <c r="H54" s="9">
        <f>'[52]MD10000.20-OCT'!$K$1</f>
        <v>0</v>
      </c>
      <c r="I54" s="9">
        <f>'[52]MD10000.20-OCT'!$K$2</f>
        <v>17</v>
      </c>
      <c r="J54" s="10" t="s">
        <v>51</v>
      </c>
      <c r="K54" s="11">
        <f>'[52]MD10000.20-OCT'!$B$3</f>
        <v>45511</v>
      </c>
      <c r="L54" s="8">
        <f>'[52]MD10000.20-OCT'!$O$2</f>
        <v>0</v>
      </c>
      <c r="M54" s="8">
        <f>'[52]MD10000.20-OCT'!$O$1</f>
        <v>5950</v>
      </c>
    </row>
    <row r="55" spans="2:14" ht="22.5" customHeight="1" x14ac:dyDescent="0.2">
      <c r="B55" s="6">
        <v>51</v>
      </c>
      <c r="C55" s="9" t="s">
        <v>64</v>
      </c>
      <c r="D55" s="15" t="s">
        <v>80</v>
      </c>
      <c r="E55" s="8">
        <f>'[53]MD20000.18-DEC'!$C$1</f>
        <v>30000</v>
      </c>
      <c r="F55" s="9">
        <f>'[53]MD20000.18-DEC'!$K$1</f>
        <v>62</v>
      </c>
      <c r="G55" s="9">
        <f>'[53]MD20000.18-DEC'!$K$2</f>
        <v>58</v>
      </c>
      <c r="H55" s="9"/>
      <c r="I55" s="9"/>
      <c r="J55" s="10" t="s">
        <v>12</v>
      </c>
      <c r="K55" s="11">
        <f>'[53]MD20000.18-DEC'!$B$3</f>
        <v>45508</v>
      </c>
      <c r="L55" s="8">
        <f>'[53]MD20000.18-DEC'!$O$2</f>
        <v>18600</v>
      </c>
      <c r="M55" s="8">
        <f>'[53]MD20000.18-DEC'!$O$1</f>
        <v>17400</v>
      </c>
      <c r="N55" s="1">
        <v>2100</v>
      </c>
    </row>
    <row r="56" spans="2:14" ht="22.5" customHeight="1" x14ac:dyDescent="0.2">
      <c r="B56" s="6">
        <v>52</v>
      </c>
      <c r="C56" s="9" t="s">
        <v>81</v>
      </c>
      <c r="D56" s="15" t="s">
        <v>82</v>
      </c>
      <c r="E56" s="8">
        <f>'[54]MD20000.18-DEC'!$C$1</f>
        <v>10000</v>
      </c>
      <c r="F56" s="9">
        <f>'[54]MD20000.18-DEC'!$K$1</f>
        <v>75</v>
      </c>
      <c r="G56" s="9">
        <f>'[54]MD20000.18-DEC'!$K$2</f>
        <v>45</v>
      </c>
      <c r="H56" s="9"/>
      <c r="I56" s="9"/>
      <c r="J56" s="10" t="s">
        <v>12</v>
      </c>
      <c r="K56" s="11">
        <f>'[54]MD20000.18-DEC'!$B$3</f>
        <v>45514</v>
      </c>
      <c r="L56" s="8">
        <f>'[54]MD20000.18-DEC'!$O$2</f>
        <v>7500</v>
      </c>
      <c r="M56" s="8">
        <f>'[54]MD20000.18-DEC'!$O$1</f>
        <v>4500</v>
      </c>
      <c r="N56" s="1">
        <v>700</v>
      </c>
    </row>
    <row r="57" spans="2:14" ht="22.5" customHeight="1" x14ac:dyDescent="0.2">
      <c r="B57" s="6">
        <v>53</v>
      </c>
      <c r="C57" s="9" t="s">
        <v>58</v>
      </c>
      <c r="D57" s="11" t="s">
        <v>52</v>
      </c>
      <c r="E57" s="8">
        <f>'[55]MD20000.15-DEc'!$C$1</f>
        <v>20000</v>
      </c>
      <c r="F57" s="9"/>
      <c r="G57" s="9"/>
      <c r="H57" s="9">
        <f>'[55]MD20000.15-DEc'!$K$1</f>
        <v>12</v>
      </c>
      <c r="I57" s="9">
        <f>'[55]MD20000.15-DEc'!$K$2</f>
        <v>5</v>
      </c>
      <c r="J57" s="10" t="s">
        <v>12</v>
      </c>
      <c r="K57" s="11">
        <f>'[55]MD20000.15-DEc'!$B$3</f>
        <v>45527</v>
      </c>
      <c r="L57" s="8">
        <f>'[55]MD20000.15-DEc'!$O$2</f>
        <v>16800</v>
      </c>
      <c r="M57" s="8">
        <f>'[55]MD20000.15-DEc'!$O$1</f>
        <v>7200</v>
      </c>
      <c r="N57" s="1">
        <v>1400</v>
      </c>
    </row>
    <row r="58" spans="2:14" ht="22.5" customHeight="1" x14ac:dyDescent="0.2">
      <c r="B58" s="6">
        <v>54</v>
      </c>
      <c r="C58" s="9" t="s">
        <v>83</v>
      </c>
      <c r="D58" s="11" t="s">
        <v>76</v>
      </c>
      <c r="E58" s="8">
        <f>'[56]MD20000.15-DEc'!$C$1</f>
        <v>10000</v>
      </c>
      <c r="F58" s="9"/>
      <c r="G58" s="9"/>
      <c r="H58" s="9">
        <f>'[56]MD20000.15-DEc'!$K$1</f>
        <v>12</v>
      </c>
      <c r="I58" s="9">
        <f>'[56]MD20000.15-DEc'!$K$2</f>
        <v>5</v>
      </c>
      <c r="J58" s="10" t="s">
        <v>12</v>
      </c>
      <c r="K58" s="11">
        <f>'[56]MD20000.15-DEc'!$B$3</f>
        <v>45531</v>
      </c>
      <c r="L58" s="8">
        <f>'[56]MD20000.15-DEc'!$O$2</f>
        <v>8400</v>
      </c>
      <c r="M58" s="8">
        <f>'[56]MD20000.15-DEc'!$O$1</f>
        <v>3600</v>
      </c>
      <c r="N58" s="1">
        <v>700</v>
      </c>
    </row>
    <row r="59" spans="2:14" ht="22.5" customHeight="1" x14ac:dyDescent="0.2">
      <c r="B59" s="6">
        <v>55</v>
      </c>
      <c r="C59" s="9" t="s">
        <v>84</v>
      </c>
      <c r="D59" s="15" t="s">
        <v>85</v>
      </c>
      <c r="E59" s="8">
        <f>'[57]MD10000.20-OCT'!$C$1</f>
        <v>5000</v>
      </c>
      <c r="F59" s="9"/>
      <c r="G59" s="9"/>
      <c r="H59" s="9">
        <f>'[57]MD10000.20-OCT'!$K$1</f>
        <v>12</v>
      </c>
      <c r="I59" s="9">
        <f>'[57]MD10000.20-OCT'!$K$2</f>
        <v>5</v>
      </c>
      <c r="J59" s="10" t="s">
        <v>12</v>
      </c>
      <c r="K59" s="11">
        <f>'[57]MD10000.20-OCT'!$B$3</f>
        <v>45532</v>
      </c>
      <c r="L59" s="8">
        <f>'[57]MD10000.20-OCT'!$O$2</f>
        <v>4200</v>
      </c>
      <c r="M59" s="8">
        <f>'[57]MD10000.20-OCT'!$O$1</f>
        <v>1800</v>
      </c>
      <c r="N59" s="1">
        <v>700</v>
      </c>
    </row>
    <row r="60" spans="2:14" ht="22.5" customHeight="1" x14ac:dyDescent="0.2">
      <c r="B60" s="6">
        <v>56</v>
      </c>
      <c r="C60" s="9" t="s">
        <v>86</v>
      </c>
      <c r="D60" s="11" t="s">
        <v>76</v>
      </c>
      <c r="E60" s="8">
        <f>'[58]MD20000.15-DEc'!$C$1</f>
        <v>10000</v>
      </c>
      <c r="F60" s="9"/>
      <c r="G60" s="9"/>
      <c r="H60" s="9">
        <f>'[58]MD20000.15-DEc'!$K$1</f>
        <v>13</v>
      </c>
      <c r="I60" s="9">
        <f>'[58]MD20000.15-DEc'!$K$2</f>
        <v>4</v>
      </c>
      <c r="J60" s="10" t="s">
        <v>12</v>
      </c>
      <c r="K60" s="11">
        <f>'[58]MD20000.15-DEc'!$B$3</f>
        <v>45534</v>
      </c>
      <c r="L60" s="8">
        <f>'[58]MD20000.15-DEc'!$O$2</f>
        <v>9100</v>
      </c>
      <c r="M60" s="8">
        <f>'[58]MD20000.15-DEc'!$O$1</f>
        <v>2900</v>
      </c>
      <c r="N60" s="1">
        <v>700</v>
      </c>
    </row>
    <row r="61" spans="2:14" ht="22.5" customHeight="1" x14ac:dyDescent="0.2">
      <c r="B61" s="6">
        <v>57</v>
      </c>
      <c r="C61" s="9" t="s">
        <v>65</v>
      </c>
      <c r="D61" s="15" t="s">
        <v>87</v>
      </c>
      <c r="E61" s="8">
        <f>'[59]MD10000.20-OCT'!$C$1</f>
        <v>5000</v>
      </c>
      <c r="F61" s="9"/>
      <c r="G61" s="9"/>
      <c r="H61" s="9">
        <f>'[59]MD10000.20-OCT'!$K$1</f>
        <v>13</v>
      </c>
      <c r="I61" s="9">
        <f>'[59]MD10000.20-OCT'!$K$2</f>
        <v>4</v>
      </c>
      <c r="J61" s="10" t="s">
        <v>12</v>
      </c>
      <c r="K61" s="11">
        <f>'[59]MD10000.20-OCT'!$B$3</f>
        <v>45536</v>
      </c>
      <c r="L61" s="8">
        <f>'[59]MD10000.20-OCT'!$O$2</f>
        <v>4550</v>
      </c>
      <c r="M61" s="8">
        <f>'[59]MD10000.20-OCT'!$O$1</f>
        <v>1450</v>
      </c>
      <c r="N61" s="1">
        <v>350</v>
      </c>
    </row>
    <row r="62" spans="2:14" ht="22.5" customHeight="1" x14ac:dyDescent="0.2">
      <c r="B62" s="6">
        <v>58</v>
      </c>
      <c r="C62" s="9" t="s">
        <v>34</v>
      </c>
      <c r="D62" s="11" t="s">
        <v>33</v>
      </c>
      <c r="E62" s="8">
        <f>'[60]MD20000.22-DEC'!$C$1</f>
        <v>20000</v>
      </c>
      <c r="F62" s="9">
        <f>'[60]MD20000.22-DEC'!$K$1</f>
        <v>94</v>
      </c>
      <c r="G62" s="9">
        <f>'[60]MD20000.22-DEC'!$K$2</f>
        <v>26</v>
      </c>
      <c r="H62" s="9"/>
      <c r="I62" s="9"/>
      <c r="J62" s="10" t="s">
        <v>12</v>
      </c>
      <c r="K62" s="11">
        <f>'[60]MD20000.22-DEC'!$B$3</f>
        <v>45535</v>
      </c>
      <c r="L62" s="8">
        <f>'[60]MD20000.22-DEC'!$O$2</f>
        <v>18800</v>
      </c>
      <c r="M62" s="8">
        <f>'[60]MD20000.22-DEC'!$O$1</f>
        <v>5200</v>
      </c>
      <c r="N62" s="1">
        <v>1400</v>
      </c>
    </row>
    <row r="63" spans="2:14" ht="22.5" customHeight="1" x14ac:dyDescent="0.2">
      <c r="B63" s="6">
        <v>59</v>
      </c>
      <c r="C63" s="9" t="s">
        <v>88</v>
      </c>
      <c r="D63" s="15" t="s">
        <v>48</v>
      </c>
      <c r="E63" s="8">
        <f>'[61]MD10000.20-OCT'!$C$1</f>
        <v>5000</v>
      </c>
      <c r="F63" s="9"/>
      <c r="G63" s="9"/>
      <c r="H63" s="9">
        <f>'[61]MD10000.20-OCT'!$K$1</f>
        <v>15</v>
      </c>
      <c r="I63" s="9">
        <f>'[61]MD10000.20-OCT'!$K$2</f>
        <v>2</v>
      </c>
      <c r="J63" s="10" t="s">
        <v>12</v>
      </c>
      <c r="K63" s="11">
        <f>'[61]MD10000.20-OCT'!$B$3</f>
        <v>45549</v>
      </c>
      <c r="L63" s="8">
        <f>'[61]MD10000.20-OCT'!$O$2</f>
        <v>5250</v>
      </c>
      <c r="M63" s="8">
        <f>'[61]MD10000.20-OCT'!$O$1</f>
        <v>750</v>
      </c>
      <c r="N63" s="1">
        <v>350</v>
      </c>
    </row>
    <row r="64" spans="2:14" ht="22.5" customHeight="1" x14ac:dyDescent="0.2">
      <c r="B64" s="6">
        <v>60</v>
      </c>
      <c r="C64" s="9" t="s">
        <v>89</v>
      </c>
      <c r="D64" s="15" t="s">
        <v>90</v>
      </c>
      <c r="E64" s="8">
        <f>'[62]MD20000.22-DEC'!$C$1</f>
        <v>20000</v>
      </c>
      <c r="F64" s="9">
        <f>'[62]MD20000.22-DEC'!$K$1</f>
        <v>109</v>
      </c>
      <c r="G64" s="9">
        <f>'[62]MD20000.22-DEC'!$K$2</f>
        <v>11</v>
      </c>
      <c r="H64" s="9"/>
      <c r="I64" s="9"/>
      <c r="J64" s="10" t="s">
        <v>12</v>
      </c>
      <c r="K64" s="11">
        <f>'[62]MD20000.22-DEC'!$B$13</f>
        <v>45562</v>
      </c>
      <c r="L64" s="8">
        <f>'[62]MD20000.22-DEC'!$O$2</f>
        <v>21800</v>
      </c>
      <c r="M64" s="8">
        <f>'[62]MD20000.22-DEC'!$O$1</f>
        <v>2200</v>
      </c>
      <c r="N64" s="1">
        <v>1400</v>
      </c>
    </row>
    <row r="65" spans="2:14" ht="22.5" customHeight="1" x14ac:dyDescent="0.2">
      <c r="B65" s="6">
        <v>61</v>
      </c>
      <c r="C65" s="9" t="s">
        <v>78</v>
      </c>
      <c r="D65" s="15" t="s">
        <v>68</v>
      </c>
      <c r="E65" s="8">
        <f>'[63]MD10000.1-OCT'!$C$1</f>
        <v>10000</v>
      </c>
      <c r="F65" s="9">
        <f>'[63]MD10000.1-OCT'!$K$1</f>
        <v>114</v>
      </c>
      <c r="G65" s="9">
        <f>'[63]MD10000.1-OCT'!$K$2</f>
        <v>6</v>
      </c>
      <c r="H65" s="9"/>
      <c r="I65" s="9"/>
      <c r="J65" s="10" t="s">
        <v>12</v>
      </c>
      <c r="K65" s="11">
        <f>'[63]MD10000.1-OCT'!$B$3</f>
        <v>45557</v>
      </c>
      <c r="L65" s="8">
        <f>'[63]MD10000.1-OCT'!$O$2</f>
        <v>11400</v>
      </c>
      <c r="M65" s="8">
        <f>'[63]MD10000.1-OCT'!$O$1</f>
        <v>600</v>
      </c>
      <c r="N65" s="1">
        <v>700</v>
      </c>
    </row>
    <row r="66" spans="2:14" ht="22.5" customHeight="1" x14ac:dyDescent="0.2">
      <c r="B66" s="6">
        <v>62</v>
      </c>
      <c r="C66" s="9" t="s">
        <v>91</v>
      </c>
      <c r="D66" s="15" t="s">
        <v>68</v>
      </c>
      <c r="E66" s="8">
        <f>'[64]MD10000.1-OCT'!$C$1</f>
        <v>10000</v>
      </c>
      <c r="F66" s="9">
        <f>'[64]MD10000.1-OCT'!$K$1</f>
        <v>114</v>
      </c>
      <c r="G66" s="9">
        <f>'[64]MD10000.1-OCT'!$K$2</f>
        <v>6</v>
      </c>
      <c r="H66" s="9"/>
      <c r="I66" s="9"/>
      <c r="J66" s="10" t="s">
        <v>12</v>
      </c>
      <c r="K66" s="11">
        <f>'[64]MD10000.1-OCT'!$B$3</f>
        <v>45557</v>
      </c>
      <c r="L66" s="8">
        <f>'[64]MD10000.1-OCT'!$O$2</f>
        <v>11400</v>
      </c>
      <c r="M66" s="8">
        <f>'[64]MD10000.1-OCT'!$O$1</f>
        <v>600</v>
      </c>
      <c r="N66" s="1">
        <v>700</v>
      </c>
    </row>
    <row r="67" spans="2:14" ht="22.5" customHeight="1" x14ac:dyDescent="0.2">
      <c r="B67" s="6">
        <v>63</v>
      </c>
      <c r="C67" s="9" t="s">
        <v>92</v>
      </c>
      <c r="D67" s="15" t="s">
        <v>68</v>
      </c>
      <c r="E67" s="8">
        <f>'[65]MD10000.1-OCT'!$C$1</f>
        <v>10000</v>
      </c>
      <c r="F67" s="9">
        <f>'[65]MD10000.1-OCT'!$K$1</f>
        <v>118</v>
      </c>
      <c r="G67" s="9">
        <f>'[65]MD10000.1-OCT'!$K$2</f>
        <v>2</v>
      </c>
      <c r="H67" s="9"/>
      <c r="I67" s="9"/>
      <c r="J67" s="10" t="s">
        <v>12</v>
      </c>
      <c r="K67" s="11">
        <f>'[65]MD10000.1-OCT'!$B$3</f>
        <v>45561</v>
      </c>
      <c r="L67" s="8">
        <f>'[65]MD10000.1-OCT'!$O$2</f>
        <v>11800</v>
      </c>
      <c r="M67" s="8">
        <f>'[65]MD10000.1-OCT'!$O$1</f>
        <v>200</v>
      </c>
      <c r="N67" s="1">
        <v>700</v>
      </c>
    </row>
    <row r="68" spans="2:14" ht="22.5" customHeight="1" x14ac:dyDescent="0.2">
      <c r="B68" s="6">
        <v>64</v>
      </c>
      <c r="C68" s="14" t="s">
        <v>32</v>
      </c>
      <c r="D68" s="15" t="s">
        <v>33</v>
      </c>
      <c r="E68" s="8">
        <f>'[66]MD20000.18-DEC'!$C$1</f>
        <v>20000</v>
      </c>
      <c r="F68" s="9">
        <f>'[66]MD20000.18-DEC'!$K$1</f>
        <v>119</v>
      </c>
      <c r="G68" s="9">
        <f>'[66]MD20000.18-DEC'!$K$2</f>
        <v>1</v>
      </c>
      <c r="H68" s="9"/>
      <c r="I68" s="9"/>
      <c r="J68" s="10" t="s">
        <v>12</v>
      </c>
      <c r="K68" s="11">
        <f>'[66]MD20000.18-DEC'!$B$3</f>
        <v>45562</v>
      </c>
      <c r="L68" s="8">
        <f>'[66]MD20000.18-DEC'!$O$2</f>
        <v>23800</v>
      </c>
      <c r="M68" s="8">
        <f>'[66]MD20000.18-DEC'!$O$1</f>
        <v>200</v>
      </c>
      <c r="N68" s="1">
        <v>1400</v>
      </c>
    </row>
    <row r="69" spans="2:14" ht="22.5" customHeight="1" x14ac:dyDescent="0.2">
      <c r="B69" s="6">
        <v>64</v>
      </c>
      <c r="C69" s="14" t="s">
        <v>70</v>
      </c>
      <c r="D69" s="15" t="s">
        <v>68</v>
      </c>
      <c r="E69" s="8">
        <f>'[67]MD10000.1-OCT'!$C$1</f>
        <v>10000</v>
      </c>
      <c r="F69" s="9">
        <f>'[67]MD10000.1-OCT'!$K$1</f>
        <v>120</v>
      </c>
      <c r="G69" s="9">
        <f>'[67]MD10000.1-OCT'!$K$2</f>
        <v>0</v>
      </c>
      <c r="H69" s="9"/>
      <c r="I69" s="9"/>
      <c r="J69" s="10" t="s">
        <v>12</v>
      </c>
      <c r="K69" s="11">
        <f>'[67]MD10000.1-OCT'!$B$3</f>
        <v>0</v>
      </c>
      <c r="L69" s="8">
        <f>'[67]MD10000.1-OCT'!$O$2</f>
        <v>12000</v>
      </c>
      <c r="M69" s="8">
        <f>'[67]MD10000.1-OCT'!$O$1</f>
        <v>0</v>
      </c>
      <c r="N69" s="1">
        <v>700</v>
      </c>
    </row>
    <row r="70" spans="2:14" ht="22.5" customHeight="1" x14ac:dyDescent="0.2">
      <c r="B70" s="6"/>
      <c r="C70" s="9"/>
      <c r="D70" s="15"/>
      <c r="E70" s="8"/>
      <c r="F70" s="9"/>
      <c r="G70" s="9"/>
      <c r="H70" s="9"/>
      <c r="I70" s="9"/>
      <c r="J70" s="10"/>
      <c r="K70" s="11"/>
      <c r="L70" s="8"/>
      <c r="M70" s="8"/>
    </row>
    <row r="71" spans="2:14" ht="22.5" customHeight="1" x14ac:dyDescent="0.2">
      <c r="B71" s="6"/>
      <c r="C71" s="9"/>
      <c r="D71" s="15"/>
      <c r="E71" s="8"/>
      <c r="F71" s="9"/>
      <c r="G71" s="9"/>
      <c r="H71" s="9"/>
      <c r="I71" s="9"/>
      <c r="J71" s="10"/>
      <c r="K71" s="11"/>
      <c r="L71" s="8"/>
      <c r="M71" s="8"/>
    </row>
    <row r="72" spans="2:14" ht="22.5" customHeight="1" x14ac:dyDescent="0.2">
      <c r="B72" s="6"/>
      <c r="C72" s="9"/>
      <c r="D72" s="15"/>
      <c r="E72" s="8"/>
      <c r="F72" s="9"/>
      <c r="G72" s="9"/>
      <c r="H72" s="9"/>
      <c r="I72" s="9"/>
      <c r="J72" s="10"/>
      <c r="K72" s="11"/>
      <c r="L72" s="8"/>
      <c r="M72" s="8"/>
    </row>
    <row r="73" spans="2:14" ht="22.5" customHeight="1" x14ac:dyDescent="0.2">
      <c r="B73" s="6"/>
      <c r="C73" s="9"/>
      <c r="D73" s="15"/>
      <c r="E73" s="8"/>
      <c r="F73" s="9"/>
      <c r="G73" s="9"/>
      <c r="H73" s="9"/>
      <c r="I73" s="9"/>
      <c r="J73" s="10"/>
      <c r="K73" s="11"/>
      <c r="L73" s="8"/>
      <c r="M73" s="8"/>
    </row>
    <row r="74" spans="2:14" ht="22.5" customHeight="1" x14ac:dyDescent="0.2">
      <c r="B74" s="6"/>
      <c r="C74" s="9"/>
      <c r="D74" s="15"/>
      <c r="E74" s="8"/>
      <c r="F74" s="9"/>
      <c r="G74" s="9"/>
      <c r="H74" s="9"/>
      <c r="I74" s="9"/>
      <c r="J74" s="10"/>
      <c r="K74" s="11"/>
      <c r="L74" s="8"/>
      <c r="M74" s="8"/>
    </row>
    <row r="75" spans="2:14" ht="22.5" customHeight="1" x14ac:dyDescent="0.2">
      <c r="B75" s="6"/>
      <c r="C75" s="9"/>
      <c r="D75" s="15"/>
      <c r="E75" s="8"/>
      <c r="F75" s="9"/>
      <c r="G75" s="9"/>
      <c r="H75" s="9"/>
      <c r="I75" s="9"/>
      <c r="J75" s="10"/>
      <c r="K75" s="11"/>
      <c r="L75" s="8"/>
      <c r="M75" s="8"/>
    </row>
    <row r="76" spans="2:14" ht="22.5" customHeight="1" x14ac:dyDescent="0.2">
      <c r="B76" s="6"/>
      <c r="C76" s="9"/>
      <c r="D76" s="15"/>
      <c r="E76" s="8"/>
      <c r="F76" s="9"/>
      <c r="G76" s="9"/>
      <c r="H76" s="9"/>
      <c r="I76" s="9"/>
      <c r="J76" s="10"/>
      <c r="K76" s="11"/>
      <c r="L76" s="8"/>
      <c r="M76" s="8"/>
    </row>
    <row r="77" spans="2:14" ht="22.5" customHeight="1" x14ac:dyDescent="0.2">
      <c r="B77" s="6"/>
      <c r="C77" s="9"/>
      <c r="D77" s="15"/>
      <c r="E77" s="8"/>
      <c r="F77" s="9"/>
      <c r="G77" s="9"/>
      <c r="H77" s="9"/>
      <c r="I77" s="9"/>
      <c r="J77" s="10"/>
      <c r="K77" s="11"/>
      <c r="L77" s="8"/>
      <c r="M77" s="8"/>
    </row>
    <row r="78" spans="2:14" ht="22.5" customHeight="1" x14ac:dyDescent="0.2">
      <c r="B78" s="6"/>
      <c r="C78" s="9"/>
      <c r="D78" s="15"/>
      <c r="E78" s="8"/>
      <c r="F78" s="9"/>
      <c r="G78" s="9"/>
      <c r="H78" s="9"/>
      <c r="I78" s="9"/>
      <c r="J78" s="10"/>
      <c r="K78" s="11"/>
      <c r="L78" s="8"/>
      <c r="M78" s="8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2024-09-27T12:46:08Z</dcterms:modified>
</cp:coreProperties>
</file>