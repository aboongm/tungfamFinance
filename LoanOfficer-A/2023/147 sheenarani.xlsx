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/>
  <c r="K1" i="15" s="1"/>
  <c r="G2" i="15"/>
  <c r="O1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<sst xmlns="http://schemas.openxmlformats.org/spreadsheetml/2006/main" count="27" uniqueCount="27">
  <si>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</si>
  <si>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</si>
  <si>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</si>
  <si>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</si>
  <si>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</si>
  <si>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</si>
  <si>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</si>
  <si>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</si>
  <si>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</si>
  <si>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</si>
  <si>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</si>
  <si>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</si>
  <si>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</si>
  <si>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</si>
  <si>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</si>
  <si>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</si>
  <si>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</si>
  <si>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</si>
  <si>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</si>
  <si>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</si>
  <si>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</si>
  <si>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</si>
  <si>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</si>
  <si>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</si>
  <si>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Date of completion</t>
  </si>
  <si>
    <t>Outstanding (days):</t>
  </si>
  <si>
    <t>Paid (days):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</si>
</sst>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:H1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25</v>
      </c>
      <c r="K1" s="10">
        <f>G1-K2</f>
        <v>78</v>
      </c>
      <c r="L1" s="6"/>
      <c r="M1" s="5"/>
      <c r="N1" s="7" t="s">
        <v>4</v>
      </c>
      <c r="O1" s="8">
        <f>SUM(C3:C32)+SUM(G3:G32)+SUM(K3:K32)+SUM(O3:O32)</f>
        <v>8400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46100</v>
      </c>
      <c r="H2" s="6"/>
      <c r="I2" s="6"/>
      <c r="J2" s="7" t="s">
        <v>26</v>
      </c>
      <c r="K2" s="9">
        <f>SUM(D3:D32)+SUM(H3:H32)+SUM(L3:L32)+SUM(P3:P32)</f>
        <v>42</v>
      </c>
      <c r="L2" s="6"/>
      <c r="M2" s="5"/>
      <c r="N2" s="7" t="s">
        <v>2</v>
      </c>
      <c r="O2" s="11">
        <f>C2-O1</f>
        <v>15600</v>
      </c>
      <c r="P2" s="6"/>
    </row>
    <row r="3" spans="1:16" ht="16.5" customHeight="1" x14ac:dyDescent="0.25">
      <c r="A3" s="1">
        <v>1</v>
      </c>
      <c r="B3" s="3">
        <v>45981</v>
      </c>
      <c r="C3" s="4">
        <v>200</v>
      </c>
      <c r="D3" s="1">
        <v>1</v>
      </c>
      <c r="E3" s="1">
        <v>31</v>
      </c>
      <c r="F3" s="3">
        <v>46019</v>
      </c>
      <c r="G3" s="4">
        <v>200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45981</v>
      </c>
      <c r="C4" s="4">
        <v>200</v>
      </c>
      <c r="D4" s="1">
        <v>1</v>
      </c>
      <c r="E4" s="1">
        <v>32</v>
      </c>
      <c r="F4" s="3">
        <v>46019</v>
      </c>
      <c r="G4" s="4">
        <v>200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45983</v>
      </c>
      <c r="C5" s="4">
        <v>200</v>
      </c>
      <c r="D5" s="1">
        <v>1</v>
      </c>
      <c r="E5" s="1">
        <v>33</v>
      </c>
      <c r="F5" s="3">
        <v>46019</v>
      </c>
      <c r="G5" s="4">
        <v>200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45983</v>
      </c>
      <c r="C6" s="4">
        <v>200</v>
      </c>
      <c r="D6" s="1">
        <v>1</v>
      </c>
      <c r="E6" s="1">
        <v>34</v>
      </c>
      <c r="F6" s="3">
        <v>46019</v>
      </c>
      <c r="G6" s="4">
        <v>200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45983</v>
      </c>
      <c r="C7" s="4">
        <v>200</v>
      </c>
      <c r="D7" s="1">
        <v>1</v>
      </c>
      <c r="E7" s="1">
        <v>35</v>
      </c>
      <c r="F7" s="3">
        <v>46019</v>
      </c>
      <c r="G7" s="4">
        <v>200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45983</v>
      </c>
      <c r="C8" s="4">
        <v>200</v>
      </c>
      <c r="D8" s="1">
        <v>1</v>
      </c>
      <c r="E8" s="1">
        <v>36</v>
      </c>
      <c r="F8" s="3">
        <v>46019</v>
      </c>
      <c r="G8" s="4">
        <v>200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45985</v>
      </c>
      <c r="C9" s="4">
        <v>200</v>
      </c>
      <c r="D9" s="1">
        <v>1</v>
      </c>
      <c r="E9" s="1">
        <v>37</v>
      </c>
      <c r="F9" s="3">
        <v>46019</v>
      </c>
      <c r="G9" s="4">
        <v>200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45985</v>
      </c>
      <c r="C10" s="4">
        <v>200</v>
      </c>
      <c r="D10" s="1">
        <v>1</v>
      </c>
      <c r="E10" s="1">
        <v>38</v>
      </c>
      <c r="F10" s="3">
        <v>46019</v>
      </c>
      <c r="G10" s="4">
        <v>200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45991</v>
      </c>
      <c r="C11" s="4">
        <v>200</v>
      </c>
      <c r="D11" s="1">
        <v>1</v>
      </c>
      <c r="E11" s="1">
        <v>39</v>
      </c>
      <c r="F11" s="3">
        <v>46019</v>
      </c>
      <c r="G11" s="4">
        <v>200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45991</v>
      </c>
      <c r="C12" s="4">
        <v>200</v>
      </c>
      <c r="D12" s="1">
        <v>1</v>
      </c>
      <c r="E12" s="1">
        <v>40</v>
      </c>
      <c r="F12" s="3">
        <v>46019</v>
      </c>
      <c r="G12" s="4">
        <v>200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45991</v>
      </c>
      <c r="C13" s="4">
        <v>200</v>
      </c>
      <c r="D13" s="1">
        <v>1</v>
      </c>
      <c r="E13" s="1">
        <v>41</v>
      </c>
      <c r="F13" s="3">
        <v>46019</v>
      </c>
      <c r="G13" s="4">
        <v>200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45991</v>
      </c>
      <c r="C14" s="4">
        <v>200</v>
      </c>
      <c r="D14" s="1">
        <v>1</v>
      </c>
      <c r="E14" s="1">
        <v>42</v>
      </c>
      <c r="F14" s="3">
        <v>46019</v>
      </c>
      <c r="G14" s="4">
        <v>200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45991</v>
      </c>
      <c r="C15" s="4">
        <v>200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45997</v>
      </c>
      <c r="C16" s="4">
        <v>200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45997</v>
      </c>
      <c r="C17" s="4">
        <v>200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45997</v>
      </c>
      <c r="C18" s="4">
        <v>200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45997</v>
      </c>
      <c r="C19" s="4">
        <v>200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45997</v>
      </c>
      <c r="C20" s="4">
        <v>200</v>
      </c>
      <c r="D20" s="1">
        <v>1</v>
      </c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45997</v>
      </c>
      <c r="C21" s="4">
        <v>200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45997</v>
      </c>
      <c r="C22" s="4">
        <v>200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45997</v>
      </c>
      <c r="C23" s="4">
        <v>200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45997</v>
      </c>
      <c r="C24" s="4">
        <v>200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46006</v>
      </c>
      <c r="C25" s="4">
        <v>200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46006</v>
      </c>
      <c r="C26" s="4">
        <v>200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46006</v>
      </c>
      <c r="C27" s="4">
        <v>200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46006</v>
      </c>
      <c r="C28" s="4">
        <v>200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46006</v>
      </c>
      <c r="C29" s="4">
        <v>200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46006</v>
      </c>
      <c r="C30" s="4">
        <v>200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46019</v>
      </c>
      <c r="C31" s="4">
        <v>200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46019</v>
      </c>
      <c r="C32" s="4">
        <v>200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2026-01-27T09:38:31Z</dcterms:modified>
</cp:coreProperties>
</file>